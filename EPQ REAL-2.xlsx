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ed9e193f496ed9/Documents/EPQ/"/>
    </mc:Choice>
  </mc:AlternateContent>
  <xr:revisionPtr revIDLastSave="1694" documentId="8_{82DCC92E-36DF-4AA0-9E51-F0453A661ACE}" xr6:coauthVersionLast="47" xr6:coauthVersionMax="47" xr10:uidLastSave="{40548556-B8FB-4826-9F57-6FF98D0CCB1E}"/>
  <bookViews>
    <workbookView xWindow="-110" yWindow="-110" windowWidth="19420" windowHeight="10420" activeTab="3" xr2:uid="{C5A0ECEE-0A6B-47E4-B678-A88FB4B00355}"/>
    <workbookView minimized="1" xWindow="380" yWindow="380" windowWidth="7500" windowHeight="8440" activeTab="3" xr2:uid="{0F4EADCC-A357-4FC2-B79E-E8D076929649}"/>
  </bookViews>
  <sheets>
    <sheet name="EPL DATA" sheetId="1" r:id="rId1"/>
    <sheet name="Bet365 Odds" sheetId="7" r:id="rId2"/>
    <sheet name="Calculator" sheetId="2" r:id="rId3"/>
    <sheet name="BackTest" sheetId="6" r:id="rId4"/>
    <sheet name="Games" sheetId="4" r:id="rId5"/>
    <sheet name=" Poisson 2018" sheetId="3" r:id="rId6"/>
    <sheet name="Poisson BackTest" sheetId="5" r:id="rId7"/>
  </sheets>
  <definedNames>
    <definedName name="_xlnm._FilterDatabase" localSheetId="0" hidden="1">'EPL DATA'!$B$2:$X$1902</definedName>
    <definedName name="BackTest">BackTest!$E$16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6" l="1"/>
  <c r="C3" i="4"/>
  <c r="I5" i="2"/>
  <c r="AU3" i="6"/>
  <c r="AT3" i="6"/>
  <c r="AS3" i="6"/>
  <c r="AS2" i="6"/>
  <c r="AK305" i="6"/>
  <c r="AL305" i="6"/>
  <c r="AM305" i="6"/>
  <c r="AM509" i="6"/>
  <c r="AL509" i="6"/>
  <c r="AK509" i="6"/>
  <c r="AM508" i="6"/>
  <c r="AL508" i="6"/>
  <c r="AK508" i="6"/>
  <c r="AM507" i="6"/>
  <c r="AL507" i="6"/>
  <c r="AK507" i="6"/>
  <c r="AM506" i="6"/>
  <c r="AL506" i="6"/>
  <c r="AK506" i="6"/>
  <c r="AM505" i="6"/>
  <c r="AL505" i="6"/>
  <c r="AK505" i="6"/>
  <c r="AM504" i="6"/>
  <c r="AL504" i="6"/>
  <c r="AK504" i="6"/>
  <c r="AM503" i="6"/>
  <c r="AL503" i="6"/>
  <c r="AK503" i="6"/>
  <c r="AM502" i="6"/>
  <c r="AL502" i="6"/>
  <c r="AK502" i="6"/>
  <c r="AM501" i="6"/>
  <c r="AL501" i="6"/>
  <c r="AK501" i="6"/>
  <c r="AM500" i="6"/>
  <c r="AL500" i="6"/>
  <c r="AK500" i="6"/>
  <c r="AM494" i="6"/>
  <c r="AL494" i="6"/>
  <c r="AK494" i="6"/>
  <c r="AM493" i="6"/>
  <c r="AL493" i="6"/>
  <c r="AK493" i="6"/>
  <c r="AM492" i="6"/>
  <c r="AL492" i="6"/>
  <c r="AK492" i="6"/>
  <c r="AM491" i="6"/>
  <c r="AL491" i="6"/>
  <c r="AK491" i="6"/>
  <c r="AM490" i="6"/>
  <c r="AL490" i="6"/>
  <c r="AK490" i="6"/>
  <c r="AM489" i="6"/>
  <c r="AL489" i="6"/>
  <c r="AK489" i="6"/>
  <c r="AM488" i="6"/>
  <c r="AL488" i="6"/>
  <c r="AK488" i="6"/>
  <c r="AM487" i="6"/>
  <c r="AL487" i="6"/>
  <c r="AK487" i="6"/>
  <c r="AM486" i="6"/>
  <c r="AL486" i="6"/>
  <c r="AK486" i="6"/>
  <c r="AM485" i="6"/>
  <c r="AL485" i="6"/>
  <c r="AK485" i="6"/>
  <c r="AM479" i="6"/>
  <c r="AL479" i="6"/>
  <c r="AK479" i="6"/>
  <c r="AM478" i="6"/>
  <c r="AL478" i="6"/>
  <c r="AK478" i="6"/>
  <c r="AM477" i="6"/>
  <c r="AL477" i="6"/>
  <c r="AK477" i="6"/>
  <c r="AM476" i="6"/>
  <c r="AL476" i="6"/>
  <c r="AK476" i="6"/>
  <c r="AM475" i="6"/>
  <c r="AL475" i="6"/>
  <c r="AK475" i="6"/>
  <c r="AM474" i="6"/>
  <c r="AL474" i="6"/>
  <c r="AK474" i="6"/>
  <c r="AM473" i="6"/>
  <c r="AL473" i="6"/>
  <c r="AK473" i="6"/>
  <c r="AM472" i="6"/>
  <c r="AL472" i="6"/>
  <c r="AK472" i="6"/>
  <c r="AM471" i="6"/>
  <c r="AL471" i="6"/>
  <c r="AK471" i="6"/>
  <c r="AM470" i="6"/>
  <c r="AL470" i="6"/>
  <c r="AK470" i="6"/>
  <c r="AM464" i="6"/>
  <c r="AL464" i="6"/>
  <c r="AK464" i="6"/>
  <c r="AM463" i="6"/>
  <c r="AL463" i="6"/>
  <c r="AK463" i="6"/>
  <c r="AM462" i="6"/>
  <c r="AL462" i="6"/>
  <c r="AK462" i="6"/>
  <c r="AM461" i="6"/>
  <c r="AL461" i="6"/>
  <c r="AK461" i="6"/>
  <c r="AM460" i="6"/>
  <c r="AL460" i="6"/>
  <c r="AK460" i="6"/>
  <c r="AM459" i="6"/>
  <c r="AL459" i="6"/>
  <c r="AK459" i="6"/>
  <c r="AM458" i="6"/>
  <c r="AL458" i="6"/>
  <c r="AK458" i="6"/>
  <c r="AM457" i="6"/>
  <c r="AL457" i="6"/>
  <c r="AK457" i="6"/>
  <c r="AM456" i="6"/>
  <c r="AL456" i="6"/>
  <c r="AK456" i="6"/>
  <c r="AM455" i="6"/>
  <c r="AL455" i="6"/>
  <c r="AK455" i="6"/>
  <c r="AM448" i="6"/>
  <c r="AL448" i="6"/>
  <c r="AK448" i="6"/>
  <c r="AM447" i="6"/>
  <c r="AL447" i="6"/>
  <c r="AK447" i="6"/>
  <c r="AM446" i="6"/>
  <c r="AL446" i="6"/>
  <c r="AK446" i="6"/>
  <c r="AM445" i="6"/>
  <c r="AL445" i="6"/>
  <c r="AK445" i="6"/>
  <c r="AM444" i="6"/>
  <c r="AL444" i="6"/>
  <c r="AK444" i="6"/>
  <c r="AM443" i="6"/>
  <c r="AL443" i="6"/>
  <c r="AK443" i="6"/>
  <c r="AM442" i="6"/>
  <c r="AL442" i="6"/>
  <c r="AK442" i="6"/>
  <c r="AM441" i="6"/>
  <c r="AL441" i="6"/>
  <c r="AK441" i="6"/>
  <c r="AM440" i="6"/>
  <c r="AL440" i="6"/>
  <c r="AK440" i="6"/>
  <c r="AM439" i="6"/>
  <c r="AL439" i="6"/>
  <c r="AK439" i="6"/>
  <c r="AM433" i="6"/>
  <c r="AL433" i="6"/>
  <c r="AK433" i="6"/>
  <c r="AM432" i="6"/>
  <c r="AL432" i="6"/>
  <c r="AK432" i="6"/>
  <c r="AM431" i="6"/>
  <c r="AL431" i="6"/>
  <c r="AK431" i="6"/>
  <c r="AM430" i="6"/>
  <c r="AL430" i="6"/>
  <c r="AK430" i="6"/>
  <c r="AM429" i="6"/>
  <c r="AL429" i="6"/>
  <c r="AK429" i="6"/>
  <c r="AM428" i="6"/>
  <c r="AL428" i="6"/>
  <c r="AK428" i="6"/>
  <c r="AM427" i="6"/>
  <c r="AL427" i="6"/>
  <c r="AK427" i="6"/>
  <c r="AM426" i="6"/>
  <c r="AL426" i="6"/>
  <c r="AK426" i="6"/>
  <c r="AM425" i="6"/>
  <c r="AL425" i="6"/>
  <c r="AK425" i="6"/>
  <c r="AM424" i="6"/>
  <c r="AL424" i="6"/>
  <c r="AK424" i="6"/>
  <c r="AM416" i="6"/>
  <c r="AL416" i="6"/>
  <c r="AK416" i="6"/>
  <c r="AM415" i="6"/>
  <c r="AL415" i="6"/>
  <c r="AK415" i="6"/>
  <c r="AM414" i="6"/>
  <c r="AL414" i="6"/>
  <c r="AK414" i="6"/>
  <c r="AM413" i="6"/>
  <c r="AL413" i="6"/>
  <c r="AK413" i="6"/>
  <c r="AM412" i="6"/>
  <c r="AL412" i="6"/>
  <c r="AK412" i="6"/>
  <c r="AM411" i="6"/>
  <c r="AL411" i="6"/>
  <c r="AK411" i="6"/>
  <c r="AM410" i="6"/>
  <c r="AL410" i="6"/>
  <c r="AK410" i="6"/>
  <c r="AM409" i="6"/>
  <c r="AL409" i="6"/>
  <c r="AK409" i="6"/>
  <c r="AM408" i="6"/>
  <c r="AL408" i="6"/>
  <c r="AK408" i="6"/>
  <c r="AM407" i="6"/>
  <c r="AL407" i="6"/>
  <c r="AK407" i="6"/>
  <c r="AM399" i="6"/>
  <c r="AL399" i="6"/>
  <c r="AK399" i="6"/>
  <c r="AM398" i="6"/>
  <c r="AL398" i="6"/>
  <c r="AK398" i="6"/>
  <c r="AM397" i="6"/>
  <c r="AL397" i="6"/>
  <c r="AK397" i="6"/>
  <c r="AM396" i="6"/>
  <c r="AL396" i="6"/>
  <c r="AK396" i="6"/>
  <c r="AM395" i="6"/>
  <c r="AL395" i="6"/>
  <c r="AK395" i="6"/>
  <c r="AM394" i="6"/>
  <c r="AL394" i="6"/>
  <c r="AK394" i="6"/>
  <c r="AM393" i="6"/>
  <c r="AL393" i="6"/>
  <c r="AK393" i="6"/>
  <c r="AM392" i="6"/>
  <c r="AL392" i="6"/>
  <c r="AK392" i="6"/>
  <c r="AM391" i="6"/>
  <c r="AL391" i="6"/>
  <c r="AK391" i="6"/>
  <c r="AM390" i="6"/>
  <c r="AL390" i="6"/>
  <c r="AK390" i="6"/>
  <c r="AM382" i="6"/>
  <c r="AL382" i="6"/>
  <c r="AK382" i="6"/>
  <c r="AM381" i="6"/>
  <c r="AL381" i="6"/>
  <c r="AK381" i="6"/>
  <c r="AM380" i="6"/>
  <c r="AL380" i="6"/>
  <c r="AK380" i="6"/>
  <c r="AM379" i="6"/>
  <c r="AL379" i="6"/>
  <c r="AK379" i="6"/>
  <c r="AM378" i="6"/>
  <c r="AL378" i="6"/>
  <c r="AK378" i="6"/>
  <c r="AM377" i="6"/>
  <c r="AL377" i="6"/>
  <c r="AK377" i="6"/>
  <c r="AM376" i="6"/>
  <c r="AL376" i="6"/>
  <c r="AK376" i="6"/>
  <c r="AM375" i="6"/>
  <c r="AL375" i="6"/>
  <c r="AK375" i="6"/>
  <c r="AM374" i="6"/>
  <c r="AL374" i="6"/>
  <c r="AK374" i="6"/>
  <c r="AM373" i="6"/>
  <c r="AL373" i="6"/>
  <c r="AK373" i="6"/>
  <c r="AM367" i="6"/>
  <c r="AL367" i="6"/>
  <c r="AK367" i="6"/>
  <c r="AM366" i="6"/>
  <c r="AL366" i="6"/>
  <c r="AK366" i="6"/>
  <c r="AM365" i="6"/>
  <c r="AL365" i="6"/>
  <c r="AK365" i="6"/>
  <c r="AM364" i="6"/>
  <c r="AL364" i="6"/>
  <c r="AK364" i="6"/>
  <c r="AM363" i="6"/>
  <c r="AL363" i="6"/>
  <c r="AK363" i="6"/>
  <c r="AM362" i="6"/>
  <c r="AL362" i="6"/>
  <c r="AK362" i="6"/>
  <c r="AM361" i="6"/>
  <c r="AL361" i="6"/>
  <c r="AK361" i="6"/>
  <c r="AM360" i="6"/>
  <c r="AL360" i="6"/>
  <c r="AK360" i="6"/>
  <c r="AM359" i="6"/>
  <c r="AL359" i="6"/>
  <c r="AK359" i="6"/>
  <c r="AM358" i="6"/>
  <c r="AL358" i="6"/>
  <c r="AK358" i="6"/>
  <c r="AM352" i="6"/>
  <c r="AL352" i="6"/>
  <c r="AK352" i="6"/>
  <c r="AM351" i="6"/>
  <c r="AL351" i="6"/>
  <c r="AK351" i="6"/>
  <c r="AM350" i="6"/>
  <c r="AL350" i="6"/>
  <c r="AK350" i="6"/>
  <c r="AM349" i="6"/>
  <c r="AL349" i="6"/>
  <c r="AK349" i="6"/>
  <c r="AM348" i="6"/>
  <c r="AL348" i="6"/>
  <c r="AK348" i="6"/>
  <c r="AM347" i="6"/>
  <c r="AL347" i="6"/>
  <c r="AK347" i="6"/>
  <c r="AM346" i="6"/>
  <c r="AL346" i="6"/>
  <c r="AK346" i="6"/>
  <c r="AM345" i="6"/>
  <c r="AL345" i="6"/>
  <c r="AK345" i="6"/>
  <c r="AM344" i="6"/>
  <c r="AL344" i="6"/>
  <c r="AK344" i="6"/>
  <c r="AM343" i="6"/>
  <c r="AL343" i="6"/>
  <c r="AK343" i="6"/>
  <c r="AM335" i="6"/>
  <c r="AL335" i="6"/>
  <c r="AK335" i="6"/>
  <c r="AM334" i="6"/>
  <c r="AL334" i="6"/>
  <c r="AK334" i="6"/>
  <c r="AM333" i="6"/>
  <c r="AL333" i="6"/>
  <c r="AK333" i="6"/>
  <c r="AM332" i="6"/>
  <c r="AL332" i="6"/>
  <c r="AK332" i="6"/>
  <c r="AM331" i="6"/>
  <c r="AL331" i="6"/>
  <c r="AK331" i="6"/>
  <c r="AM330" i="6"/>
  <c r="AL330" i="6"/>
  <c r="AK330" i="6"/>
  <c r="AM329" i="6"/>
  <c r="AL329" i="6"/>
  <c r="AK329" i="6"/>
  <c r="AM328" i="6"/>
  <c r="AL328" i="6"/>
  <c r="AK328" i="6"/>
  <c r="AM327" i="6"/>
  <c r="AL327" i="6"/>
  <c r="AK327" i="6"/>
  <c r="AM326" i="6"/>
  <c r="AL326" i="6"/>
  <c r="AK326" i="6"/>
  <c r="AM320" i="6"/>
  <c r="AL320" i="6"/>
  <c r="AK320" i="6"/>
  <c r="AM319" i="6"/>
  <c r="AL319" i="6"/>
  <c r="AK319" i="6"/>
  <c r="AM318" i="6"/>
  <c r="AL318" i="6"/>
  <c r="AK318" i="6"/>
  <c r="AM317" i="6"/>
  <c r="AL317" i="6"/>
  <c r="AK317" i="6"/>
  <c r="AM316" i="6"/>
  <c r="AL316" i="6"/>
  <c r="AK316" i="6"/>
  <c r="AM315" i="6"/>
  <c r="AL315" i="6"/>
  <c r="AK315" i="6"/>
  <c r="AM314" i="6"/>
  <c r="AL314" i="6"/>
  <c r="AK314" i="6"/>
  <c r="AM313" i="6"/>
  <c r="AL313" i="6"/>
  <c r="AK313" i="6"/>
  <c r="AM312" i="6"/>
  <c r="AL312" i="6"/>
  <c r="AK312" i="6"/>
  <c r="AM311" i="6"/>
  <c r="AL311" i="6"/>
  <c r="AK311" i="6"/>
  <c r="AM304" i="6"/>
  <c r="AL304" i="6"/>
  <c r="AK304" i="6"/>
  <c r="AM303" i="6"/>
  <c r="AL303" i="6"/>
  <c r="AK303" i="6"/>
  <c r="AM302" i="6"/>
  <c r="AL302" i="6"/>
  <c r="AK302" i="6"/>
  <c r="AM301" i="6"/>
  <c r="AL301" i="6"/>
  <c r="AK301" i="6"/>
  <c r="AM300" i="6"/>
  <c r="AL300" i="6"/>
  <c r="AK300" i="6"/>
  <c r="AM299" i="6"/>
  <c r="AL299" i="6"/>
  <c r="AK299" i="6"/>
  <c r="AM298" i="6"/>
  <c r="AL298" i="6"/>
  <c r="AK298" i="6"/>
  <c r="AM297" i="6"/>
  <c r="AL297" i="6"/>
  <c r="AK297" i="6"/>
  <c r="AM296" i="6"/>
  <c r="AL296" i="6"/>
  <c r="AK296" i="6"/>
  <c r="AM295" i="6"/>
  <c r="AL295" i="6"/>
  <c r="AK295" i="6"/>
  <c r="AM288" i="6"/>
  <c r="AL288" i="6"/>
  <c r="AK288" i="6"/>
  <c r="AM287" i="6"/>
  <c r="AL287" i="6"/>
  <c r="AK287" i="6"/>
  <c r="AM286" i="6"/>
  <c r="AL286" i="6"/>
  <c r="AK286" i="6"/>
  <c r="AM285" i="6"/>
  <c r="AL285" i="6"/>
  <c r="AK285" i="6"/>
  <c r="AM284" i="6"/>
  <c r="AL284" i="6"/>
  <c r="AK284" i="6"/>
  <c r="AM283" i="6"/>
  <c r="AL283" i="6"/>
  <c r="AK283" i="6"/>
  <c r="AM282" i="6"/>
  <c r="AL282" i="6"/>
  <c r="AK282" i="6"/>
  <c r="AM281" i="6"/>
  <c r="AL281" i="6"/>
  <c r="AK281" i="6"/>
  <c r="AM280" i="6"/>
  <c r="AL280" i="6"/>
  <c r="AK280" i="6"/>
  <c r="AM279" i="6"/>
  <c r="AL279" i="6"/>
  <c r="AK279" i="6"/>
  <c r="AM272" i="6"/>
  <c r="AL272" i="6"/>
  <c r="AK272" i="6"/>
  <c r="AM271" i="6"/>
  <c r="AL271" i="6"/>
  <c r="AK271" i="6"/>
  <c r="AM270" i="6"/>
  <c r="AL270" i="6"/>
  <c r="AK270" i="6"/>
  <c r="AM269" i="6"/>
  <c r="AL269" i="6"/>
  <c r="AK269" i="6"/>
  <c r="AM268" i="6"/>
  <c r="AL268" i="6"/>
  <c r="AK268" i="6"/>
  <c r="AM267" i="6"/>
  <c r="AL267" i="6"/>
  <c r="AK267" i="6"/>
  <c r="AM266" i="6"/>
  <c r="AL266" i="6"/>
  <c r="AK266" i="6"/>
  <c r="AM265" i="6"/>
  <c r="AL265" i="6"/>
  <c r="AK265" i="6"/>
  <c r="AM264" i="6"/>
  <c r="AL264" i="6"/>
  <c r="AK264" i="6"/>
  <c r="AM263" i="6"/>
  <c r="AL263" i="6"/>
  <c r="AK263" i="6"/>
  <c r="AM256" i="6"/>
  <c r="AL256" i="6"/>
  <c r="AK256" i="6"/>
  <c r="AM255" i="6"/>
  <c r="AL255" i="6"/>
  <c r="AK255" i="6"/>
  <c r="AM254" i="6"/>
  <c r="AL254" i="6"/>
  <c r="AK254" i="6"/>
  <c r="AM253" i="6"/>
  <c r="AL253" i="6"/>
  <c r="AK253" i="6"/>
  <c r="AM252" i="6"/>
  <c r="AL252" i="6"/>
  <c r="AK252" i="6"/>
  <c r="AM251" i="6"/>
  <c r="AL251" i="6"/>
  <c r="AK251" i="6"/>
  <c r="AM250" i="6"/>
  <c r="AL250" i="6"/>
  <c r="AK250" i="6"/>
  <c r="AM249" i="6"/>
  <c r="AL249" i="6"/>
  <c r="AK249" i="6"/>
  <c r="AM248" i="6"/>
  <c r="AL248" i="6"/>
  <c r="AK248" i="6"/>
  <c r="AM247" i="6"/>
  <c r="AL247" i="6"/>
  <c r="AK247" i="6"/>
  <c r="AM241" i="6"/>
  <c r="AL241" i="6"/>
  <c r="AK241" i="6"/>
  <c r="AM240" i="6"/>
  <c r="AL240" i="6"/>
  <c r="AK240" i="6"/>
  <c r="AM239" i="6"/>
  <c r="AL239" i="6"/>
  <c r="AK239" i="6"/>
  <c r="AM238" i="6"/>
  <c r="AL238" i="6"/>
  <c r="AK238" i="6"/>
  <c r="AM237" i="6"/>
  <c r="AL237" i="6"/>
  <c r="AK237" i="6"/>
  <c r="AM236" i="6"/>
  <c r="AL236" i="6"/>
  <c r="AK236" i="6"/>
  <c r="AM235" i="6"/>
  <c r="AL235" i="6"/>
  <c r="AK235" i="6"/>
  <c r="AM234" i="6"/>
  <c r="AL234" i="6"/>
  <c r="AK234" i="6"/>
  <c r="AM233" i="6"/>
  <c r="AL233" i="6"/>
  <c r="AK233" i="6"/>
  <c r="AM232" i="6"/>
  <c r="AL232" i="6"/>
  <c r="AK232" i="6"/>
  <c r="AM226" i="6"/>
  <c r="AL226" i="6"/>
  <c r="AK226" i="6"/>
  <c r="AM225" i="6"/>
  <c r="AL225" i="6"/>
  <c r="AK225" i="6"/>
  <c r="AM224" i="6"/>
  <c r="AL224" i="6"/>
  <c r="AK224" i="6"/>
  <c r="AM223" i="6"/>
  <c r="AL223" i="6"/>
  <c r="AK223" i="6"/>
  <c r="AM222" i="6"/>
  <c r="AL222" i="6"/>
  <c r="AK222" i="6"/>
  <c r="AM221" i="6"/>
  <c r="AL221" i="6"/>
  <c r="AK221" i="6"/>
  <c r="AM220" i="6"/>
  <c r="AL220" i="6"/>
  <c r="AK220" i="6"/>
  <c r="AM219" i="6"/>
  <c r="AL219" i="6"/>
  <c r="AK219" i="6"/>
  <c r="AM218" i="6"/>
  <c r="AL218" i="6"/>
  <c r="AK218" i="6"/>
  <c r="AM217" i="6"/>
  <c r="AL217" i="6"/>
  <c r="AK217" i="6"/>
  <c r="AM211" i="6"/>
  <c r="AL211" i="6"/>
  <c r="AK211" i="6"/>
  <c r="AM210" i="6"/>
  <c r="AL210" i="6"/>
  <c r="AK210" i="6"/>
  <c r="AM209" i="6"/>
  <c r="AL209" i="6"/>
  <c r="AK209" i="6"/>
  <c r="AM208" i="6"/>
  <c r="AL208" i="6"/>
  <c r="AK208" i="6"/>
  <c r="AM207" i="6"/>
  <c r="AL207" i="6"/>
  <c r="AK207" i="6"/>
  <c r="AM206" i="6"/>
  <c r="AL206" i="6"/>
  <c r="AK206" i="6"/>
  <c r="AM205" i="6"/>
  <c r="AL205" i="6"/>
  <c r="AK205" i="6"/>
  <c r="AM204" i="6"/>
  <c r="AL204" i="6"/>
  <c r="AK204" i="6"/>
  <c r="AM203" i="6"/>
  <c r="AL203" i="6"/>
  <c r="AK203" i="6"/>
  <c r="AM202" i="6"/>
  <c r="AL202" i="6"/>
  <c r="AK202" i="6"/>
  <c r="AM196" i="6"/>
  <c r="AL196" i="6"/>
  <c r="AK196" i="6"/>
  <c r="AM195" i="6"/>
  <c r="AL195" i="6"/>
  <c r="AK195" i="6"/>
  <c r="AM194" i="6"/>
  <c r="AL194" i="6"/>
  <c r="AK194" i="6"/>
  <c r="AM193" i="6"/>
  <c r="AL193" i="6"/>
  <c r="AK193" i="6"/>
  <c r="AM192" i="6"/>
  <c r="AL192" i="6"/>
  <c r="AK192" i="6"/>
  <c r="AM191" i="6"/>
  <c r="AL191" i="6"/>
  <c r="AK191" i="6"/>
  <c r="AM190" i="6"/>
  <c r="AL190" i="6"/>
  <c r="AK190" i="6"/>
  <c r="AM189" i="6"/>
  <c r="AL189" i="6"/>
  <c r="AK189" i="6"/>
  <c r="AM188" i="6"/>
  <c r="AL188" i="6"/>
  <c r="AK188" i="6"/>
  <c r="AK173" i="6"/>
  <c r="AL173" i="6"/>
  <c r="AM173" i="6"/>
  <c r="AK174" i="6"/>
  <c r="AL174" i="6"/>
  <c r="AM174" i="6"/>
  <c r="AK175" i="6"/>
  <c r="AL175" i="6"/>
  <c r="AM175" i="6"/>
  <c r="AK176" i="6"/>
  <c r="AL176" i="6"/>
  <c r="AM176" i="6"/>
  <c r="AK177" i="6"/>
  <c r="AL177" i="6"/>
  <c r="AM177" i="6"/>
  <c r="AK178" i="6"/>
  <c r="AL178" i="6"/>
  <c r="AM178" i="6"/>
  <c r="AK179" i="6"/>
  <c r="AL179" i="6"/>
  <c r="AM179" i="6"/>
  <c r="AK180" i="6"/>
  <c r="AL180" i="6"/>
  <c r="AM180" i="6"/>
  <c r="AK181" i="6"/>
  <c r="AL181" i="6"/>
  <c r="AM181" i="6"/>
  <c r="AK182" i="6"/>
  <c r="AL182" i="6"/>
  <c r="AM182" i="6"/>
  <c r="AL187" i="6"/>
  <c r="AM187" i="6"/>
  <c r="AM167" i="6"/>
  <c r="AL167" i="6"/>
  <c r="AK167" i="6"/>
  <c r="AM166" i="6"/>
  <c r="AL166" i="6"/>
  <c r="AK166" i="6"/>
  <c r="AM165" i="6"/>
  <c r="AL165" i="6"/>
  <c r="AK165" i="6"/>
  <c r="AM164" i="6"/>
  <c r="AL164" i="6"/>
  <c r="AK164" i="6"/>
  <c r="AM163" i="6"/>
  <c r="AL163" i="6"/>
  <c r="AK163" i="6"/>
  <c r="AM162" i="6"/>
  <c r="AL162" i="6"/>
  <c r="AK162" i="6"/>
  <c r="AM161" i="6"/>
  <c r="AL161" i="6"/>
  <c r="AK161" i="6"/>
  <c r="AM160" i="6"/>
  <c r="AL160" i="6"/>
  <c r="AK160" i="6"/>
  <c r="AM159" i="6"/>
  <c r="AL159" i="6"/>
  <c r="AK159" i="6"/>
  <c r="AM158" i="6"/>
  <c r="AL158" i="6"/>
  <c r="AK158" i="6"/>
  <c r="AM152" i="6"/>
  <c r="AL152" i="6"/>
  <c r="AK152" i="6"/>
  <c r="AM151" i="6"/>
  <c r="AL151" i="6"/>
  <c r="AK151" i="6"/>
  <c r="AM150" i="6"/>
  <c r="AL150" i="6"/>
  <c r="AK150" i="6"/>
  <c r="AM149" i="6"/>
  <c r="AL149" i="6"/>
  <c r="AK149" i="6"/>
  <c r="AM148" i="6"/>
  <c r="AL148" i="6"/>
  <c r="AK148" i="6"/>
  <c r="AM147" i="6"/>
  <c r="AL147" i="6"/>
  <c r="AK147" i="6"/>
  <c r="AM146" i="6"/>
  <c r="AL146" i="6"/>
  <c r="AK146" i="6"/>
  <c r="AM145" i="6"/>
  <c r="AL145" i="6"/>
  <c r="AK145" i="6"/>
  <c r="AM144" i="6"/>
  <c r="AL144" i="6"/>
  <c r="AK144" i="6"/>
  <c r="AM143" i="6"/>
  <c r="AL143" i="6"/>
  <c r="AK143" i="6"/>
  <c r="AM136" i="6"/>
  <c r="AL136" i="6"/>
  <c r="AK136" i="6"/>
  <c r="AM135" i="6"/>
  <c r="AL135" i="6"/>
  <c r="AK135" i="6"/>
  <c r="AM134" i="6"/>
  <c r="AL134" i="6"/>
  <c r="AK134" i="6"/>
  <c r="AM133" i="6"/>
  <c r="AL133" i="6"/>
  <c r="AK133" i="6"/>
  <c r="AM132" i="6"/>
  <c r="AL132" i="6"/>
  <c r="AK132" i="6"/>
  <c r="AM131" i="6"/>
  <c r="AL131" i="6"/>
  <c r="AK131" i="6"/>
  <c r="AM130" i="6"/>
  <c r="AL130" i="6"/>
  <c r="AK130" i="6"/>
  <c r="AM129" i="6"/>
  <c r="AL129" i="6"/>
  <c r="AK129" i="6"/>
  <c r="AM128" i="6"/>
  <c r="AL128" i="6"/>
  <c r="AK128" i="6"/>
  <c r="AM127" i="6"/>
  <c r="AL127" i="6"/>
  <c r="AK127" i="6"/>
  <c r="AM121" i="6"/>
  <c r="AL121" i="6"/>
  <c r="AK121" i="6"/>
  <c r="AM120" i="6"/>
  <c r="AL120" i="6"/>
  <c r="AK120" i="6"/>
  <c r="AM119" i="6"/>
  <c r="AL119" i="6"/>
  <c r="AK119" i="6"/>
  <c r="AM118" i="6"/>
  <c r="AL118" i="6"/>
  <c r="AK118" i="6"/>
  <c r="AM117" i="6"/>
  <c r="AL117" i="6"/>
  <c r="AK117" i="6"/>
  <c r="AM116" i="6"/>
  <c r="AL116" i="6"/>
  <c r="AK116" i="6"/>
  <c r="AM115" i="6"/>
  <c r="AL115" i="6"/>
  <c r="AK115" i="6"/>
  <c r="AM114" i="6"/>
  <c r="AL114" i="6"/>
  <c r="AK114" i="6"/>
  <c r="AM113" i="6"/>
  <c r="AL113" i="6"/>
  <c r="AK113" i="6"/>
  <c r="AM112" i="6"/>
  <c r="AL112" i="6"/>
  <c r="AK112" i="6"/>
  <c r="AM106" i="6"/>
  <c r="AL106" i="6"/>
  <c r="AK106" i="6"/>
  <c r="AM105" i="6"/>
  <c r="AL105" i="6"/>
  <c r="AK105" i="6"/>
  <c r="AM104" i="6"/>
  <c r="AL104" i="6"/>
  <c r="AK104" i="6"/>
  <c r="AM103" i="6"/>
  <c r="AL103" i="6"/>
  <c r="AK103" i="6"/>
  <c r="AM102" i="6"/>
  <c r="AL102" i="6"/>
  <c r="AK102" i="6"/>
  <c r="AM101" i="6"/>
  <c r="AL101" i="6"/>
  <c r="AK101" i="6"/>
  <c r="AM100" i="6"/>
  <c r="AL100" i="6"/>
  <c r="AK100" i="6"/>
  <c r="AM99" i="6"/>
  <c r="AL99" i="6"/>
  <c r="AK99" i="6"/>
  <c r="AM98" i="6"/>
  <c r="AL98" i="6"/>
  <c r="AK98" i="6"/>
  <c r="AM97" i="6"/>
  <c r="AL97" i="6"/>
  <c r="AK97" i="6"/>
  <c r="AM91" i="6"/>
  <c r="AL91" i="6"/>
  <c r="AK91" i="6"/>
  <c r="AM90" i="6"/>
  <c r="AL90" i="6"/>
  <c r="AK90" i="6"/>
  <c r="AM89" i="6"/>
  <c r="AL89" i="6"/>
  <c r="AK89" i="6"/>
  <c r="AM88" i="6"/>
  <c r="AL88" i="6"/>
  <c r="AK88" i="6"/>
  <c r="AM87" i="6"/>
  <c r="AL87" i="6"/>
  <c r="AK87" i="6"/>
  <c r="AM86" i="6"/>
  <c r="AL86" i="6"/>
  <c r="AK86" i="6"/>
  <c r="AM85" i="6"/>
  <c r="AL85" i="6"/>
  <c r="AK85" i="6"/>
  <c r="AM84" i="6"/>
  <c r="AL84" i="6"/>
  <c r="AK84" i="6"/>
  <c r="AM83" i="6"/>
  <c r="AL83" i="6"/>
  <c r="AK83" i="6"/>
  <c r="AM82" i="6"/>
  <c r="AL82" i="6"/>
  <c r="AK82" i="6"/>
  <c r="AM76" i="6"/>
  <c r="AL76" i="6"/>
  <c r="AK76" i="6"/>
  <c r="AM75" i="6"/>
  <c r="AL75" i="6"/>
  <c r="AK75" i="6"/>
  <c r="AM74" i="6"/>
  <c r="AL74" i="6"/>
  <c r="AK74" i="6"/>
  <c r="AM73" i="6"/>
  <c r="AL73" i="6"/>
  <c r="AK73" i="6"/>
  <c r="AM72" i="6"/>
  <c r="AL72" i="6"/>
  <c r="AK72" i="6"/>
  <c r="AM71" i="6"/>
  <c r="AL71" i="6"/>
  <c r="AK71" i="6"/>
  <c r="AM70" i="6"/>
  <c r="AL70" i="6"/>
  <c r="AK70" i="6"/>
  <c r="AM69" i="6"/>
  <c r="AL69" i="6"/>
  <c r="AK69" i="6"/>
  <c r="AM68" i="6"/>
  <c r="AL68" i="6"/>
  <c r="AK68" i="6"/>
  <c r="AM67" i="6"/>
  <c r="AL67" i="6"/>
  <c r="AK67" i="6"/>
  <c r="AM61" i="6"/>
  <c r="AL61" i="6"/>
  <c r="AK61" i="6"/>
  <c r="AM60" i="6"/>
  <c r="AL60" i="6"/>
  <c r="AK60" i="6"/>
  <c r="AM59" i="6"/>
  <c r="AL59" i="6"/>
  <c r="AK59" i="6"/>
  <c r="AM58" i="6"/>
  <c r="AL58" i="6"/>
  <c r="AK58" i="6"/>
  <c r="AM57" i="6"/>
  <c r="AL57" i="6"/>
  <c r="AK57" i="6"/>
  <c r="AM56" i="6"/>
  <c r="AL56" i="6"/>
  <c r="AK56" i="6"/>
  <c r="AM55" i="6"/>
  <c r="AL55" i="6"/>
  <c r="AK55" i="6"/>
  <c r="AM54" i="6"/>
  <c r="AL54" i="6"/>
  <c r="AK54" i="6"/>
  <c r="AM53" i="6"/>
  <c r="AL53" i="6"/>
  <c r="AK53" i="6"/>
  <c r="AM52" i="6"/>
  <c r="AL52" i="6"/>
  <c r="AK52" i="6"/>
  <c r="AM46" i="6"/>
  <c r="AL46" i="6"/>
  <c r="AK46" i="6"/>
  <c r="AM45" i="6"/>
  <c r="AL45" i="6"/>
  <c r="AK45" i="6"/>
  <c r="AM44" i="6"/>
  <c r="AL44" i="6"/>
  <c r="AK44" i="6"/>
  <c r="AM43" i="6"/>
  <c r="AL43" i="6"/>
  <c r="AK43" i="6"/>
  <c r="AM42" i="6"/>
  <c r="AL42" i="6"/>
  <c r="AK42" i="6"/>
  <c r="AM41" i="6"/>
  <c r="AL41" i="6"/>
  <c r="AK41" i="6"/>
  <c r="AM40" i="6"/>
  <c r="AL40" i="6"/>
  <c r="AK40" i="6"/>
  <c r="AM39" i="6"/>
  <c r="AL39" i="6"/>
  <c r="AK39" i="6"/>
  <c r="AM38" i="6"/>
  <c r="AL38" i="6"/>
  <c r="AK38" i="6"/>
  <c r="AM37" i="6"/>
  <c r="AL37" i="6"/>
  <c r="AK37" i="6"/>
  <c r="AM31" i="6"/>
  <c r="AL31" i="6"/>
  <c r="AK31" i="6"/>
  <c r="AM30" i="6"/>
  <c r="AL30" i="6"/>
  <c r="AK30" i="6"/>
  <c r="AM29" i="6"/>
  <c r="AL29" i="6"/>
  <c r="AK29" i="6"/>
  <c r="AM28" i="6"/>
  <c r="AL28" i="6"/>
  <c r="AK28" i="6"/>
  <c r="AM27" i="6"/>
  <c r="AL27" i="6"/>
  <c r="AK27" i="6"/>
  <c r="AM26" i="6"/>
  <c r="AL26" i="6"/>
  <c r="AK26" i="6"/>
  <c r="AM25" i="6"/>
  <c r="AL25" i="6"/>
  <c r="AK25" i="6"/>
  <c r="AM24" i="6"/>
  <c r="AL24" i="6"/>
  <c r="AK24" i="6"/>
  <c r="AM23" i="6"/>
  <c r="AL23" i="6"/>
  <c r="AK23" i="6"/>
  <c r="AM22" i="6"/>
  <c r="AL22" i="6"/>
  <c r="AK22" i="6"/>
  <c r="AK21" i="6"/>
  <c r="AL21" i="6"/>
  <c r="AM21" i="6"/>
  <c r="AK36" i="6"/>
  <c r="AL36" i="6"/>
  <c r="AM36" i="6"/>
  <c r="AK51" i="6"/>
  <c r="AL51" i="6"/>
  <c r="AM51" i="6"/>
  <c r="AK66" i="6"/>
  <c r="AL66" i="6"/>
  <c r="AM66" i="6"/>
  <c r="AK81" i="6"/>
  <c r="AL81" i="6"/>
  <c r="AM81" i="6"/>
  <c r="AK96" i="6"/>
  <c r="AL96" i="6"/>
  <c r="AM96" i="6"/>
  <c r="AK111" i="6"/>
  <c r="AL111" i="6"/>
  <c r="AM111" i="6"/>
  <c r="AK126" i="6"/>
  <c r="AL126" i="6"/>
  <c r="AM126" i="6"/>
  <c r="AK142" i="6"/>
  <c r="AL142" i="6"/>
  <c r="AM142" i="6"/>
  <c r="AK157" i="6"/>
  <c r="AL157" i="6"/>
  <c r="AM157" i="6"/>
  <c r="AK172" i="6"/>
  <c r="AL172" i="6"/>
  <c r="AM172" i="6"/>
  <c r="AK187" i="6"/>
  <c r="AK201" i="6"/>
  <c r="AL201" i="6"/>
  <c r="AM201" i="6"/>
  <c r="AK216" i="6"/>
  <c r="AL216" i="6"/>
  <c r="AM216" i="6"/>
  <c r="AK231" i="6"/>
  <c r="AL231" i="6"/>
  <c r="AM231" i="6"/>
  <c r="AK246" i="6"/>
  <c r="AL246" i="6"/>
  <c r="AM246" i="6"/>
  <c r="AK262" i="6"/>
  <c r="AL262" i="6"/>
  <c r="AM262" i="6"/>
  <c r="AK278" i="6"/>
  <c r="AL278" i="6"/>
  <c r="AM278" i="6"/>
  <c r="AK294" i="6"/>
  <c r="AL294" i="6"/>
  <c r="AM294" i="6"/>
  <c r="AK310" i="6"/>
  <c r="AL310" i="6"/>
  <c r="AM310" i="6"/>
  <c r="AK325" i="6"/>
  <c r="AL325" i="6"/>
  <c r="AM325" i="6"/>
  <c r="AK342" i="6"/>
  <c r="AL342" i="6"/>
  <c r="AM342" i="6"/>
  <c r="AK357" i="6"/>
  <c r="AL357" i="6"/>
  <c r="AM357" i="6"/>
  <c r="AK372" i="6"/>
  <c r="AL372" i="6"/>
  <c r="AM372" i="6"/>
  <c r="AK389" i="6"/>
  <c r="AL389" i="6"/>
  <c r="AM389" i="6"/>
  <c r="AK406" i="6"/>
  <c r="AL406" i="6"/>
  <c r="AM406" i="6"/>
  <c r="AK423" i="6"/>
  <c r="AL423" i="6"/>
  <c r="AM423" i="6"/>
  <c r="AK438" i="6"/>
  <c r="AL438" i="6"/>
  <c r="AM438" i="6"/>
  <c r="AK454" i="6"/>
  <c r="AL454" i="6"/>
  <c r="AM454" i="6"/>
  <c r="AK484" i="6"/>
  <c r="AL484" i="6"/>
  <c r="AM484" i="6"/>
  <c r="AK499" i="6"/>
  <c r="AL499" i="6"/>
  <c r="AM499" i="6"/>
  <c r="AQ3" i="6"/>
  <c r="AO3" i="6"/>
  <c r="AL3" i="6"/>
  <c r="AK3" i="6"/>
  <c r="AJ3" i="6"/>
  <c r="AJ2" i="6"/>
  <c r="AO2" i="6"/>
  <c r="AQ2" i="6"/>
  <c r="AL2" i="6"/>
  <c r="AK2" i="6"/>
  <c r="L381" i="7"/>
  <c r="AJ305" i="6"/>
  <c r="AI305" i="6"/>
  <c r="AH305" i="6"/>
  <c r="AE6" i="6"/>
  <c r="AJ509" i="6"/>
  <c r="AI509" i="6"/>
  <c r="AH509" i="6"/>
  <c r="AJ508" i="6"/>
  <c r="AI508" i="6"/>
  <c r="AH508" i="6"/>
  <c r="AJ507" i="6"/>
  <c r="AI507" i="6"/>
  <c r="AH507" i="6"/>
  <c r="AJ506" i="6"/>
  <c r="AI506" i="6"/>
  <c r="AH506" i="6"/>
  <c r="AJ505" i="6"/>
  <c r="AI505" i="6"/>
  <c r="AH505" i="6"/>
  <c r="AJ504" i="6"/>
  <c r="AI504" i="6"/>
  <c r="AH504" i="6"/>
  <c r="AJ503" i="6"/>
  <c r="AI503" i="6"/>
  <c r="AH503" i="6"/>
  <c r="AJ502" i="6"/>
  <c r="AI502" i="6"/>
  <c r="AH502" i="6"/>
  <c r="AJ501" i="6"/>
  <c r="AI501" i="6"/>
  <c r="AH501" i="6"/>
  <c r="AJ500" i="6"/>
  <c r="AI500" i="6"/>
  <c r="AH500" i="6"/>
  <c r="AJ494" i="6"/>
  <c r="AI494" i="6"/>
  <c r="AH494" i="6"/>
  <c r="AJ493" i="6"/>
  <c r="AI493" i="6"/>
  <c r="AH493" i="6"/>
  <c r="AJ492" i="6"/>
  <c r="AI492" i="6"/>
  <c r="AH492" i="6"/>
  <c r="AJ491" i="6"/>
  <c r="AI491" i="6"/>
  <c r="AH491" i="6"/>
  <c r="AJ490" i="6"/>
  <c r="AI490" i="6"/>
  <c r="AH490" i="6"/>
  <c r="AJ489" i="6"/>
  <c r="AI489" i="6"/>
  <c r="AH489" i="6"/>
  <c r="AJ488" i="6"/>
  <c r="AI488" i="6"/>
  <c r="AH488" i="6"/>
  <c r="AJ487" i="6"/>
  <c r="AI487" i="6"/>
  <c r="AH487" i="6"/>
  <c r="AJ486" i="6"/>
  <c r="AI486" i="6"/>
  <c r="AH486" i="6"/>
  <c r="AJ485" i="6"/>
  <c r="AI485" i="6"/>
  <c r="AH485" i="6"/>
  <c r="AJ479" i="6"/>
  <c r="AI479" i="6"/>
  <c r="AH479" i="6"/>
  <c r="AJ478" i="6"/>
  <c r="AI478" i="6"/>
  <c r="AH478" i="6"/>
  <c r="AJ477" i="6"/>
  <c r="AI477" i="6"/>
  <c r="AH477" i="6"/>
  <c r="AJ476" i="6"/>
  <c r="AI476" i="6"/>
  <c r="AH476" i="6"/>
  <c r="AJ475" i="6"/>
  <c r="AI475" i="6"/>
  <c r="AH475" i="6"/>
  <c r="AJ474" i="6"/>
  <c r="AI474" i="6"/>
  <c r="AH474" i="6"/>
  <c r="AJ473" i="6"/>
  <c r="AI473" i="6"/>
  <c r="AH473" i="6"/>
  <c r="AJ472" i="6"/>
  <c r="AI472" i="6"/>
  <c r="AH472" i="6"/>
  <c r="AJ471" i="6"/>
  <c r="AI471" i="6"/>
  <c r="AH471" i="6"/>
  <c r="AJ470" i="6"/>
  <c r="AI470" i="6"/>
  <c r="AH470" i="6"/>
  <c r="AJ464" i="6"/>
  <c r="AI464" i="6"/>
  <c r="AH464" i="6"/>
  <c r="AJ463" i="6"/>
  <c r="AI463" i="6"/>
  <c r="AH463" i="6"/>
  <c r="AJ462" i="6"/>
  <c r="AI462" i="6"/>
  <c r="AH462" i="6"/>
  <c r="AJ461" i="6"/>
  <c r="AI461" i="6"/>
  <c r="AH461" i="6"/>
  <c r="AJ460" i="6"/>
  <c r="AI460" i="6"/>
  <c r="AH460" i="6"/>
  <c r="AJ459" i="6"/>
  <c r="AI459" i="6"/>
  <c r="AH459" i="6"/>
  <c r="AJ458" i="6"/>
  <c r="AI458" i="6"/>
  <c r="AH458" i="6"/>
  <c r="AJ457" i="6"/>
  <c r="AI457" i="6"/>
  <c r="AH457" i="6"/>
  <c r="AJ456" i="6"/>
  <c r="AI456" i="6"/>
  <c r="AH456" i="6"/>
  <c r="AJ455" i="6"/>
  <c r="AI455" i="6"/>
  <c r="AH455" i="6"/>
  <c r="AJ448" i="6"/>
  <c r="AI448" i="6"/>
  <c r="AH448" i="6"/>
  <c r="AJ447" i="6"/>
  <c r="AI447" i="6"/>
  <c r="AH447" i="6"/>
  <c r="AJ446" i="6"/>
  <c r="AI446" i="6"/>
  <c r="AH446" i="6"/>
  <c r="AJ445" i="6"/>
  <c r="AI445" i="6"/>
  <c r="AH445" i="6"/>
  <c r="AJ444" i="6"/>
  <c r="AI444" i="6"/>
  <c r="AH444" i="6"/>
  <c r="AJ443" i="6"/>
  <c r="AI443" i="6"/>
  <c r="AH443" i="6"/>
  <c r="AJ442" i="6"/>
  <c r="AI442" i="6"/>
  <c r="AH442" i="6"/>
  <c r="AJ441" i="6"/>
  <c r="AI441" i="6"/>
  <c r="AH441" i="6"/>
  <c r="AJ440" i="6"/>
  <c r="AI440" i="6"/>
  <c r="AH440" i="6"/>
  <c r="AJ439" i="6"/>
  <c r="AI439" i="6"/>
  <c r="AH439" i="6"/>
  <c r="AJ433" i="6"/>
  <c r="AI433" i="6"/>
  <c r="AH433" i="6"/>
  <c r="AJ432" i="6"/>
  <c r="AI432" i="6"/>
  <c r="AH432" i="6"/>
  <c r="AJ431" i="6"/>
  <c r="AI431" i="6"/>
  <c r="AH431" i="6"/>
  <c r="AJ430" i="6"/>
  <c r="AI430" i="6"/>
  <c r="AH430" i="6"/>
  <c r="AJ429" i="6"/>
  <c r="AI429" i="6"/>
  <c r="AH429" i="6"/>
  <c r="AJ428" i="6"/>
  <c r="AI428" i="6"/>
  <c r="AH428" i="6"/>
  <c r="AJ427" i="6"/>
  <c r="AI427" i="6"/>
  <c r="AH427" i="6"/>
  <c r="AJ426" i="6"/>
  <c r="AI426" i="6"/>
  <c r="AH426" i="6"/>
  <c r="AJ425" i="6"/>
  <c r="AI425" i="6"/>
  <c r="AH425" i="6"/>
  <c r="AJ424" i="6"/>
  <c r="AI424" i="6"/>
  <c r="AH424" i="6"/>
  <c r="AJ416" i="6"/>
  <c r="AI416" i="6"/>
  <c r="AH416" i="6"/>
  <c r="AJ415" i="6"/>
  <c r="AI415" i="6"/>
  <c r="AH415" i="6"/>
  <c r="AJ414" i="6"/>
  <c r="AI414" i="6"/>
  <c r="AH414" i="6"/>
  <c r="AJ413" i="6"/>
  <c r="AI413" i="6"/>
  <c r="AH413" i="6"/>
  <c r="AJ412" i="6"/>
  <c r="AI412" i="6"/>
  <c r="AH412" i="6"/>
  <c r="AJ411" i="6"/>
  <c r="AI411" i="6"/>
  <c r="AH411" i="6"/>
  <c r="AJ410" i="6"/>
  <c r="AI410" i="6"/>
  <c r="AH410" i="6"/>
  <c r="AJ409" i="6"/>
  <c r="AI409" i="6"/>
  <c r="AH409" i="6"/>
  <c r="AJ408" i="6"/>
  <c r="AI408" i="6"/>
  <c r="AH408" i="6"/>
  <c r="AJ407" i="6"/>
  <c r="AI407" i="6"/>
  <c r="AH407" i="6"/>
  <c r="AJ399" i="6"/>
  <c r="AI399" i="6"/>
  <c r="AH399" i="6"/>
  <c r="AJ398" i="6"/>
  <c r="AI398" i="6"/>
  <c r="AH398" i="6"/>
  <c r="AJ397" i="6"/>
  <c r="AI397" i="6"/>
  <c r="AH397" i="6"/>
  <c r="AJ396" i="6"/>
  <c r="AI396" i="6"/>
  <c r="AH396" i="6"/>
  <c r="AJ395" i="6"/>
  <c r="AI395" i="6"/>
  <c r="AH395" i="6"/>
  <c r="AJ394" i="6"/>
  <c r="AI394" i="6"/>
  <c r="AH394" i="6"/>
  <c r="AJ393" i="6"/>
  <c r="AI393" i="6"/>
  <c r="AH393" i="6"/>
  <c r="AJ392" i="6"/>
  <c r="AI392" i="6"/>
  <c r="AH392" i="6"/>
  <c r="AJ391" i="6"/>
  <c r="AI391" i="6"/>
  <c r="AH391" i="6"/>
  <c r="AJ390" i="6"/>
  <c r="AI390" i="6"/>
  <c r="AH390" i="6"/>
  <c r="AJ382" i="6"/>
  <c r="AI382" i="6"/>
  <c r="AH382" i="6"/>
  <c r="AJ381" i="6"/>
  <c r="AI381" i="6"/>
  <c r="AH381" i="6"/>
  <c r="AJ380" i="6"/>
  <c r="AI380" i="6"/>
  <c r="AH380" i="6"/>
  <c r="AJ379" i="6"/>
  <c r="AI379" i="6"/>
  <c r="AH379" i="6"/>
  <c r="AJ378" i="6"/>
  <c r="AI378" i="6"/>
  <c r="AH378" i="6"/>
  <c r="AJ377" i="6"/>
  <c r="AI377" i="6"/>
  <c r="AH377" i="6"/>
  <c r="AJ376" i="6"/>
  <c r="AI376" i="6"/>
  <c r="AH376" i="6"/>
  <c r="AJ375" i="6"/>
  <c r="AI375" i="6"/>
  <c r="AH375" i="6"/>
  <c r="AJ374" i="6"/>
  <c r="AI374" i="6"/>
  <c r="AH374" i="6"/>
  <c r="AJ373" i="6"/>
  <c r="AI373" i="6"/>
  <c r="AH373" i="6"/>
  <c r="AJ367" i="6"/>
  <c r="AI367" i="6"/>
  <c r="AH367" i="6"/>
  <c r="AJ366" i="6"/>
  <c r="AI366" i="6"/>
  <c r="AH366" i="6"/>
  <c r="AJ365" i="6"/>
  <c r="AI365" i="6"/>
  <c r="AH365" i="6"/>
  <c r="AJ364" i="6"/>
  <c r="AI364" i="6"/>
  <c r="AH364" i="6"/>
  <c r="AJ363" i="6"/>
  <c r="AI363" i="6"/>
  <c r="AH363" i="6"/>
  <c r="AJ362" i="6"/>
  <c r="AI362" i="6"/>
  <c r="AH362" i="6"/>
  <c r="AJ361" i="6"/>
  <c r="AI361" i="6"/>
  <c r="AH361" i="6"/>
  <c r="AJ360" i="6"/>
  <c r="AI360" i="6"/>
  <c r="AH360" i="6"/>
  <c r="AJ359" i="6"/>
  <c r="AI359" i="6"/>
  <c r="AH359" i="6"/>
  <c r="AJ358" i="6"/>
  <c r="AI358" i="6"/>
  <c r="AH358" i="6"/>
  <c r="AJ352" i="6"/>
  <c r="AI352" i="6"/>
  <c r="AH352" i="6"/>
  <c r="AJ351" i="6"/>
  <c r="AI351" i="6"/>
  <c r="AH351" i="6"/>
  <c r="AJ350" i="6"/>
  <c r="AI350" i="6"/>
  <c r="AH350" i="6"/>
  <c r="AJ349" i="6"/>
  <c r="AI349" i="6"/>
  <c r="AH349" i="6"/>
  <c r="AJ348" i="6"/>
  <c r="AI348" i="6"/>
  <c r="AH348" i="6"/>
  <c r="AJ347" i="6"/>
  <c r="AI347" i="6"/>
  <c r="AH347" i="6"/>
  <c r="AJ346" i="6"/>
  <c r="AI346" i="6"/>
  <c r="AH346" i="6"/>
  <c r="AJ345" i="6"/>
  <c r="AI345" i="6"/>
  <c r="AH345" i="6"/>
  <c r="AJ344" i="6"/>
  <c r="AI344" i="6"/>
  <c r="AH344" i="6"/>
  <c r="AJ343" i="6"/>
  <c r="AI343" i="6"/>
  <c r="AH343" i="6"/>
  <c r="AJ335" i="6"/>
  <c r="AI335" i="6"/>
  <c r="AH335" i="6"/>
  <c r="AJ334" i="6"/>
  <c r="AI334" i="6"/>
  <c r="AH334" i="6"/>
  <c r="AJ333" i="6"/>
  <c r="AI333" i="6"/>
  <c r="AH333" i="6"/>
  <c r="AJ332" i="6"/>
  <c r="AI332" i="6"/>
  <c r="AH332" i="6"/>
  <c r="AJ331" i="6"/>
  <c r="AI331" i="6"/>
  <c r="AH331" i="6"/>
  <c r="AJ330" i="6"/>
  <c r="AI330" i="6"/>
  <c r="AH330" i="6"/>
  <c r="AJ329" i="6"/>
  <c r="AI329" i="6"/>
  <c r="AH329" i="6"/>
  <c r="AJ328" i="6"/>
  <c r="AI328" i="6"/>
  <c r="AH328" i="6"/>
  <c r="AJ327" i="6"/>
  <c r="AI327" i="6"/>
  <c r="AH327" i="6"/>
  <c r="AJ326" i="6"/>
  <c r="AI326" i="6"/>
  <c r="AH326" i="6"/>
  <c r="AJ320" i="6"/>
  <c r="AI320" i="6"/>
  <c r="AH320" i="6"/>
  <c r="AJ319" i="6"/>
  <c r="AI319" i="6"/>
  <c r="AH319" i="6"/>
  <c r="AJ318" i="6"/>
  <c r="AI318" i="6"/>
  <c r="AH318" i="6"/>
  <c r="AJ317" i="6"/>
  <c r="AI317" i="6"/>
  <c r="AH317" i="6"/>
  <c r="AJ316" i="6"/>
  <c r="AI316" i="6"/>
  <c r="AH316" i="6"/>
  <c r="AJ315" i="6"/>
  <c r="AI315" i="6"/>
  <c r="AH315" i="6"/>
  <c r="AJ314" i="6"/>
  <c r="AI314" i="6"/>
  <c r="AH314" i="6"/>
  <c r="AJ313" i="6"/>
  <c r="AI313" i="6"/>
  <c r="AH313" i="6"/>
  <c r="AJ312" i="6"/>
  <c r="AI312" i="6"/>
  <c r="AH312" i="6"/>
  <c r="AJ311" i="6"/>
  <c r="AI311" i="6"/>
  <c r="AH311" i="6"/>
  <c r="AJ304" i="6"/>
  <c r="AI304" i="6"/>
  <c r="AH304" i="6"/>
  <c r="AJ303" i="6"/>
  <c r="AI303" i="6"/>
  <c r="AH303" i="6"/>
  <c r="AJ302" i="6"/>
  <c r="AI302" i="6"/>
  <c r="AH302" i="6"/>
  <c r="AJ301" i="6"/>
  <c r="AI301" i="6"/>
  <c r="AH301" i="6"/>
  <c r="AJ300" i="6"/>
  <c r="AI300" i="6"/>
  <c r="AH300" i="6"/>
  <c r="AJ299" i="6"/>
  <c r="AI299" i="6"/>
  <c r="AH299" i="6"/>
  <c r="AJ298" i="6"/>
  <c r="AI298" i="6"/>
  <c r="AH298" i="6"/>
  <c r="AJ297" i="6"/>
  <c r="AI297" i="6"/>
  <c r="AH297" i="6"/>
  <c r="AJ296" i="6"/>
  <c r="AI296" i="6"/>
  <c r="AH296" i="6"/>
  <c r="AJ295" i="6"/>
  <c r="AI295" i="6"/>
  <c r="AH295" i="6"/>
  <c r="AJ288" i="6"/>
  <c r="AI288" i="6"/>
  <c r="AH288" i="6"/>
  <c r="AJ287" i="6"/>
  <c r="AI287" i="6"/>
  <c r="AH287" i="6"/>
  <c r="AJ286" i="6"/>
  <c r="AI286" i="6"/>
  <c r="AH286" i="6"/>
  <c r="AJ285" i="6"/>
  <c r="AI285" i="6"/>
  <c r="AH285" i="6"/>
  <c r="AJ284" i="6"/>
  <c r="AI284" i="6"/>
  <c r="AH284" i="6"/>
  <c r="AJ283" i="6"/>
  <c r="AI283" i="6"/>
  <c r="AH283" i="6"/>
  <c r="AJ282" i="6"/>
  <c r="AI282" i="6"/>
  <c r="AH282" i="6"/>
  <c r="AJ281" i="6"/>
  <c r="AI281" i="6"/>
  <c r="AH281" i="6"/>
  <c r="AJ280" i="6"/>
  <c r="AI280" i="6"/>
  <c r="AH280" i="6"/>
  <c r="AJ279" i="6"/>
  <c r="AI279" i="6"/>
  <c r="AH279" i="6"/>
  <c r="AJ272" i="6"/>
  <c r="AI272" i="6"/>
  <c r="AH272" i="6"/>
  <c r="AJ271" i="6"/>
  <c r="AI271" i="6"/>
  <c r="AH271" i="6"/>
  <c r="AJ270" i="6"/>
  <c r="AI270" i="6"/>
  <c r="AH270" i="6"/>
  <c r="AJ269" i="6"/>
  <c r="AI269" i="6"/>
  <c r="AH269" i="6"/>
  <c r="AJ268" i="6"/>
  <c r="AI268" i="6"/>
  <c r="AH268" i="6"/>
  <c r="AJ267" i="6"/>
  <c r="AI267" i="6"/>
  <c r="AH267" i="6"/>
  <c r="AJ266" i="6"/>
  <c r="AI266" i="6"/>
  <c r="AH266" i="6"/>
  <c r="AJ265" i="6"/>
  <c r="AI265" i="6"/>
  <c r="AH265" i="6"/>
  <c r="AJ264" i="6"/>
  <c r="AI264" i="6"/>
  <c r="AH264" i="6"/>
  <c r="AJ263" i="6"/>
  <c r="AI263" i="6"/>
  <c r="AH263" i="6"/>
  <c r="AJ256" i="6"/>
  <c r="AI256" i="6"/>
  <c r="AH256" i="6"/>
  <c r="AJ255" i="6"/>
  <c r="AI255" i="6"/>
  <c r="AH255" i="6"/>
  <c r="AJ254" i="6"/>
  <c r="AI254" i="6"/>
  <c r="AH254" i="6"/>
  <c r="AJ253" i="6"/>
  <c r="AI253" i="6"/>
  <c r="AH253" i="6"/>
  <c r="AJ252" i="6"/>
  <c r="AI252" i="6"/>
  <c r="AH252" i="6"/>
  <c r="AJ251" i="6"/>
  <c r="AI251" i="6"/>
  <c r="AH251" i="6"/>
  <c r="AJ250" i="6"/>
  <c r="AI250" i="6"/>
  <c r="AH250" i="6"/>
  <c r="AJ249" i="6"/>
  <c r="AI249" i="6"/>
  <c r="AH249" i="6"/>
  <c r="AJ248" i="6"/>
  <c r="AI248" i="6"/>
  <c r="AH248" i="6"/>
  <c r="AJ247" i="6"/>
  <c r="AI247" i="6"/>
  <c r="AH247" i="6"/>
  <c r="AJ241" i="6"/>
  <c r="AI241" i="6"/>
  <c r="AH241" i="6"/>
  <c r="AJ240" i="6"/>
  <c r="AI240" i="6"/>
  <c r="AH240" i="6"/>
  <c r="AJ239" i="6"/>
  <c r="AI239" i="6"/>
  <c r="AH239" i="6"/>
  <c r="AJ238" i="6"/>
  <c r="AI238" i="6"/>
  <c r="AH238" i="6"/>
  <c r="AJ237" i="6"/>
  <c r="AI237" i="6"/>
  <c r="AH237" i="6"/>
  <c r="AJ236" i="6"/>
  <c r="AI236" i="6"/>
  <c r="AH236" i="6"/>
  <c r="AJ235" i="6"/>
  <c r="AI235" i="6"/>
  <c r="AH235" i="6"/>
  <c r="AJ234" i="6"/>
  <c r="AI234" i="6"/>
  <c r="AH234" i="6"/>
  <c r="AJ233" i="6"/>
  <c r="AI233" i="6"/>
  <c r="AH233" i="6"/>
  <c r="AJ232" i="6"/>
  <c r="AI232" i="6"/>
  <c r="AH232" i="6"/>
  <c r="AJ226" i="6"/>
  <c r="AI226" i="6"/>
  <c r="AH226" i="6"/>
  <c r="AJ225" i="6"/>
  <c r="AI225" i="6"/>
  <c r="AH225" i="6"/>
  <c r="AJ224" i="6"/>
  <c r="AI224" i="6"/>
  <c r="AH224" i="6"/>
  <c r="AJ223" i="6"/>
  <c r="AI223" i="6"/>
  <c r="AH223" i="6"/>
  <c r="AJ222" i="6"/>
  <c r="AI222" i="6"/>
  <c r="AH222" i="6"/>
  <c r="AJ221" i="6"/>
  <c r="AI221" i="6"/>
  <c r="AH221" i="6"/>
  <c r="AJ220" i="6"/>
  <c r="AI220" i="6"/>
  <c r="AH220" i="6"/>
  <c r="AJ219" i="6"/>
  <c r="AI219" i="6"/>
  <c r="AH219" i="6"/>
  <c r="AJ218" i="6"/>
  <c r="AI218" i="6"/>
  <c r="AH218" i="6"/>
  <c r="AJ217" i="6"/>
  <c r="AI217" i="6"/>
  <c r="AH217" i="6"/>
  <c r="AJ211" i="6"/>
  <c r="AI211" i="6"/>
  <c r="AH211" i="6"/>
  <c r="AJ210" i="6"/>
  <c r="AI210" i="6"/>
  <c r="AH210" i="6"/>
  <c r="AJ209" i="6"/>
  <c r="AI209" i="6"/>
  <c r="AH209" i="6"/>
  <c r="AJ208" i="6"/>
  <c r="AI208" i="6"/>
  <c r="AH208" i="6"/>
  <c r="AJ207" i="6"/>
  <c r="AI207" i="6"/>
  <c r="AH207" i="6"/>
  <c r="AJ206" i="6"/>
  <c r="AI206" i="6"/>
  <c r="AH206" i="6"/>
  <c r="AJ205" i="6"/>
  <c r="AI205" i="6"/>
  <c r="AH205" i="6"/>
  <c r="AJ204" i="6"/>
  <c r="AI204" i="6"/>
  <c r="AH204" i="6"/>
  <c r="AJ203" i="6"/>
  <c r="AI203" i="6"/>
  <c r="AH203" i="6"/>
  <c r="AJ202" i="6"/>
  <c r="AI202" i="6"/>
  <c r="AH202" i="6"/>
  <c r="AJ197" i="6"/>
  <c r="AI197" i="6"/>
  <c r="AH197" i="6"/>
  <c r="AJ196" i="6"/>
  <c r="AI196" i="6"/>
  <c r="AH196" i="6"/>
  <c r="AJ195" i="6"/>
  <c r="AI195" i="6"/>
  <c r="AH195" i="6"/>
  <c r="AJ194" i="6"/>
  <c r="AI194" i="6"/>
  <c r="AH194" i="6"/>
  <c r="AJ193" i="6"/>
  <c r="AI193" i="6"/>
  <c r="AH193" i="6"/>
  <c r="AJ192" i="6"/>
  <c r="AI192" i="6"/>
  <c r="AH192" i="6"/>
  <c r="AJ191" i="6"/>
  <c r="AI191" i="6"/>
  <c r="AH191" i="6"/>
  <c r="AJ190" i="6"/>
  <c r="AI190" i="6"/>
  <c r="AH190" i="6"/>
  <c r="AJ189" i="6"/>
  <c r="AI189" i="6"/>
  <c r="AH189" i="6"/>
  <c r="AJ188" i="6"/>
  <c r="AI188" i="6"/>
  <c r="AH188" i="6"/>
  <c r="AJ182" i="6"/>
  <c r="AI182" i="6"/>
  <c r="AH182" i="6"/>
  <c r="AJ181" i="6"/>
  <c r="AI181" i="6"/>
  <c r="AH181" i="6"/>
  <c r="AJ180" i="6"/>
  <c r="AI180" i="6"/>
  <c r="AH180" i="6"/>
  <c r="AJ179" i="6"/>
  <c r="AI179" i="6"/>
  <c r="AH179" i="6"/>
  <c r="AJ178" i="6"/>
  <c r="AI178" i="6"/>
  <c r="AH178" i="6"/>
  <c r="AJ177" i="6"/>
  <c r="AI177" i="6"/>
  <c r="AH177" i="6"/>
  <c r="AJ176" i="6"/>
  <c r="AI176" i="6"/>
  <c r="AH176" i="6"/>
  <c r="AJ175" i="6"/>
  <c r="AI175" i="6"/>
  <c r="AH175" i="6"/>
  <c r="AJ174" i="6"/>
  <c r="AI174" i="6"/>
  <c r="AH174" i="6"/>
  <c r="AJ173" i="6"/>
  <c r="AI173" i="6"/>
  <c r="AH173" i="6"/>
  <c r="AJ167" i="6"/>
  <c r="AI167" i="6"/>
  <c r="AH167" i="6"/>
  <c r="AJ166" i="6"/>
  <c r="AI166" i="6"/>
  <c r="AH166" i="6"/>
  <c r="AJ165" i="6"/>
  <c r="AI165" i="6"/>
  <c r="AH165" i="6"/>
  <c r="AJ164" i="6"/>
  <c r="AI164" i="6"/>
  <c r="AH164" i="6"/>
  <c r="AJ163" i="6"/>
  <c r="AI163" i="6"/>
  <c r="AH163" i="6"/>
  <c r="AJ162" i="6"/>
  <c r="AI162" i="6"/>
  <c r="AH162" i="6"/>
  <c r="AJ161" i="6"/>
  <c r="AI161" i="6"/>
  <c r="AH161" i="6"/>
  <c r="AJ160" i="6"/>
  <c r="AI160" i="6"/>
  <c r="AH160" i="6"/>
  <c r="AJ159" i="6"/>
  <c r="AI159" i="6"/>
  <c r="AH159" i="6"/>
  <c r="AJ158" i="6"/>
  <c r="AI158" i="6"/>
  <c r="AH158" i="6"/>
  <c r="AJ152" i="6"/>
  <c r="AI152" i="6"/>
  <c r="AH152" i="6"/>
  <c r="AJ151" i="6"/>
  <c r="AI151" i="6"/>
  <c r="AH151" i="6"/>
  <c r="AJ150" i="6"/>
  <c r="AI150" i="6"/>
  <c r="AH150" i="6"/>
  <c r="AJ149" i="6"/>
  <c r="AI149" i="6"/>
  <c r="AH149" i="6"/>
  <c r="AJ148" i="6"/>
  <c r="AI148" i="6"/>
  <c r="AH148" i="6"/>
  <c r="AJ147" i="6"/>
  <c r="AI147" i="6"/>
  <c r="AH147" i="6"/>
  <c r="AJ146" i="6"/>
  <c r="AI146" i="6"/>
  <c r="AH146" i="6"/>
  <c r="AJ145" i="6"/>
  <c r="AI145" i="6"/>
  <c r="AH145" i="6"/>
  <c r="AJ144" i="6"/>
  <c r="AI144" i="6"/>
  <c r="AH144" i="6"/>
  <c r="AJ143" i="6"/>
  <c r="AI143" i="6"/>
  <c r="AH143" i="6"/>
  <c r="AJ136" i="6"/>
  <c r="AI136" i="6"/>
  <c r="AH136" i="6"/>
  <c r="AJ135" i="6"/>
  <c r="AI135" i="6"/>
  <c r="AH135" i="6"/>
  <c r="AJ134" i="6"/>
  <c r="AI134" i="6"/>
  <c r="AH134" i="6"/>
  <c r="AJ133" i="6"/>
  <c r="AI133" i="6"/>
  <c r="AH133" i="6"/>
  <c r="AJ132" i="6"/>
  <c r="AI132" i="6"/>
  <c r="AH132" i="6"/>
  <c r="AJ131" i="6"/>
  <c r="AI131" i="6"/>
  <c r="AH131" i="6"/>
  <c r="AJ130" i="6"/>
  <c r="AI130" i="6"/>
  <c r="AH130" i="6"/>
  <c r="AJ129" i="6"/>
  <c r="AI129" i="6"/>
  <c r="AH129" i="6"/>
  <c r="AJ128" i="6"/>
  <c r="AI128" i="6"/>
  <c r="AH128" i="6"/>
  <c r="AJ127" i="6"/>
  <c r="AI127" i="6"/>
  <c r="AH127" i="6"/>
  <c r="AJ121" i="6"/>
  <c r="AI121" i="6"/>
  <c r="AH121" i="6"/>
  <c r="AJ120" i="6"/>
  <c r="AI120" i="6"/>
  <c r="AH120" i="6"/>
  <c r="AJ119" i="6"/>
  <c r="AI119" i="6"/>
  <c r="AH119" i="6"/>
  <c r="AJ118" i="6"/>
  <c r="AI118" i="6"/>
  <c r="AH118" i="6"/>
  <c r="AJ117" i="6"/>
  <c r="AI117" i="6"/>
  <c r="AH117" i="6"/>
  <c r="AJ116" i="6"/>
  <c r="AI116" i="6"/>
  <c r="AH116" i="6"/>
  <c r="AJ115" i="6"/>
  <c r="AI115" i="6"/>
  <c r="AH115" i="6"/>
  <c r="AJ114" i="6"/>
  <c r="AI114" i="6"/>
  <c r="AH114" i="6"/>
  <c r="AJ113" i="6"/>
  <c r="AI113" i="6"/>
  <c r="AH113" i="6"/>
  <c r="AJ112" i="6"/>
  <c r="AI112" i="6"/>
  <c r="AH112" i="6"/>
  <c r="AJ106" i="6"/>
  <c r="AI106" i="6"/>
  <c r="AH106" i="6"/>
  <c r="AJ105" i="6"/>
  <c r="AI105" i="6"/>
  <c r="AH105" i="6"/>
  <c r="AJ104" i="6"/>
  <c r="AI104" i="6"/>
  <c r="AH104" i="6"/>
  <c r="AJ103" i="6"/>
  <c r="AI103" i="6"/>
  <c r="AH103" i="6"/>
  <c r="AJ102" i="6"/>
  <c r="AI102" i="6"/>
  <c r="AH102" i="6"/>
  <c r="AJ101" i="6"/>
  <c r="AI101" i="6"/>
  <c r="AH101" i="6"/>
  <c r="AJ100" i="6"/>
  <c r="AI100" i="6"/>
  <c r="AH100" i="6"/>
  <c r="AJ99" i="6"/>
  <c r="AI99" i="6"/>
  <c r="AH99" i="6"/>
  <c r="AJ98" i="6"/>
  <c r="AI98" i="6"/>
  <c r="AH98" i="6"/>
  <c r="AJ97" i="6"/>
  <c r="AI97" i="6"/>
  <c r="AH97" i="6"/>
  <c r="AJ91" i="6"/>
  <c r="AI91" i="6"/>
  <c r="AH91" i="6"/>
  <c r="AJ90" i="6"/>
  <c r="AI90" i="6"/>
  <c r="AH90" i="6"/>
  <c r="AJ89" i="6"/>
  <c r="AI89" i="6"/>
  <c r="AH89" i="6"/>
  <c r="AJ88" i="6"/>
  <c r="AI88" i="6"/>
  <c r="AH88" i="6"/>
  <c r="AJ87" i="6"/>
  <c r="AI87" i="6"/>
  <c r="AH87" i="6"/>
  <c r="AJ86" i="6"/>
  <c r="AI86" i="6"/>
  <c r="AH86" i="6"/>
  <c r="AJ85" i="6"/>
  <c r="AI85" i="6"/>
  <c r="AH85" i="6"/>
  <c r="AJ84" i="6"/>
  <c r="AI84" i="6"/>
  <c r="AH84" i="6"/>
  <c r="AJ83" i="6"/>
  <c r="AI83" i="6"/>
  <c r="AH83" i="6"/>
  <c r="AJ82" i="6"/>
  <c r="AI82" i="6"/>
  <c r="AH82" i="6"/>
  <c r="AJ76" i="6"/>
  <c r="AI76" i="6"/>
  <c r="AH76" i="6"/>
  <c r="AJ75" i="6"/>
  <c r="AI75" i="6"/>
  <c r="AH75" i="6"/>
  <c r="AJ74" i="6"/>
  <c r="AI74" i="6"/>
  <c r="AH74" i="6"/>
  <c r="AJ73" i="6"/>
  <c r="AI73" i="6"/>
  <c r="AH73" i="6"/>
  <c r="AJ72" i="6"/>
  <c r="AI72" i="6"/>
  <c r="AH72" i="6"/>
  <c r="AJ71" i="6"/>
  <c r="AI71" i="6"/>
  <c r="AH71" i="6"/>
  <c r="AJ70" i="6"/>
  <c r="AI70" i="6"/>
  <c r="AH70" i="6"/>
  <c r="AJ69" i="6"/>
  <c r="AI69" i="6"/>
  <c r="AH69" i="6"/>
  <c r="AJ68" i="6"/>
  <c r="AI68" i="6"/>
  <c r="AH68" i="6"/>
  <c r="AJ67" i="6"/>
  <c r="AI67" i="6"/>
  <c r="AH67" i="6"/>
  <c r="AJ61" i="6"/>
  <c r="AI61" i="6"/>
  <c r="AH61" i="6"/>
  <c r="AJ60" i="6"/>
  <c r="AI60" i="6"/>
  <c r="AH60" i="6"/>
  <c r="AJ59" i="6"/>
  <c r="AI59" i="6"/>
  <c r="AH59" i="6"/>
  <c r="AJ58" i="6"/>
  <c r="AI58" i="6"/>
  <c r="AH58" i="6"/>
  <c r="AJ57" i="6"/>
  <c r="AI57" i="6"/>
  <c r="AH57" i="6"/>
  <c r="AJ56" i="6"/>
  <c r="AI56" i="6"/>
  <c r="AH56" i="6"/>
  <c r="AJ55" i="6"/>
  <c r="AI55" i="6"/>
  <c r="AH55" i="6"/>
  <c r="AJ54" i="6"/>
  <c r="AI54" i="6"/>
  <c r="AH54" i="6"/>
  <c r="AJ53" i="6"/>
  <c r="AI53" i="6"/>
  <c r="AH53" i="6"/>
  <c r="AJ52" i="6"/>
  <c r="AI52" i="6"/>
  <c r="AH52" i="6"/>
  <c r="AJ46" i="6"/>
  <c r="AI46" i="6"/>
  <c r="AH46" i="6"/>
  <c r="AJ45" i="6"/>
  <c r="AI45" i="6"/>
  <c r="AH45" i="6"/>
  <c r="AJ44" i="6"/>
  <c r="AI44" i="6"/>
  <c r="AH44" i="6"/>
  <c r="AJ43" i="6"/>
  <c r="AI43" i="6"/>
  <c r="AH43" i="6"/>
  <c r="AJ42" i="6"/>
  <c r="AI42" i="6"/>
  <c r="AH42" i="6"/>
  <c r="AJ41" i="6"/>
  <c r="AI41" i="6"/>
  <c r="AH41" i="6"/>
  <c r="AJ40" i="6"/>
  <c r="AI40" i="6"/>
  <c r="AH40" i="6"/>
  <c r="AJ39" i="6"/>
  <c r="AI39" i="6"/>
  <c r="AH39" i="6"/>
  <c r="AJ38" i="6"/>
  <c r="AI38" i="6"/>
  <c r="AH38" i="6"/>
  <c r="AJ37" i="6"/>
  <c r="AI37" i="6"/>
  <c r="AH37" i="6"/>
  <c r="AJ31" i="6"/>
  <c r="AI31" i="6"/>
  <c r="AH31" i="6"/>
  <c r="AJ30" i="6"/>
  <c r="AI30" i="6"/>
  <c r="AH30" i="6"/>
  <c r="AJ29" i="6"/>
  <c r="AI29" i="6"/>
  <c r="AH29" i="6"/>
  <c r="AJ28" i="6"/>
  <c r="AI28" i="6"/>
  <c r="AH28" i="6"/>
  <c r="AJ27" i="6"/>
  <c r="AI27" i="6"/>
  <c r="AH27" i="6"/>
  <c r="AJ26" i="6"/>
  <c r="AI26" i="6"/>
  <c r="AH26" i="6"/>
  <c r="AJ25" i="6"/>
  <c r="AI25" i="6"/>
  <c r="AH25" i="6"/>
  <c r="AJ24" i="6"/>
  <c r="AI24" i="6"/>
  <c r="AH24" i="6"/>
  <c r="AJ23" i="6"/>
  <c r="AI23" i="6"/>
  <c r="AH23" i="6"/>
  <c r="AJ22" i="6"/>
  <c r="AI22" i="6"/>
  <c r="AH22" i="6"/>
  <c r="AJ7" i="6"/>
  <c r="AJ8" i="6"/>
  <c r="AJ9" i="6"/>
  <c r="AJ10" i="6"/>
  <c r="AJ11" i="6"/>
  <c r="AJ12" i="6"/>
  <c r="AJ13" i="6"/>
  <c r="AJ14" i="6"/>
  <c r="AJ15" i="6"/>
  <c r="AJ6" i="6"/>
  <c r="AI7" i="6"/>
  <c r="AI8" i="6"/>
  <c r="AI9" i="6"/>
  <c r="AI10" i="6"/>
  <c r="AI11" i="6"/>
  <c r="AI12" i="6"/>
  <c r="AI13" i="6"/>
  <c r="AI14" i="6"/>
  <c r="AI15" i="6"/>
  <c r="AI6" i="6"/>
  <c r="AH7" i="6"/>
  <c r="AH8" i="6"/>
  <c r="AH9" i="6"/>
  <c r="AH10" i="6"/>
  <c r="AH11" i="6"/>
  <c r="AH12" i="6"/>
  <c r="AH13" i="6"/>
  <c r="AH14" i="6"/>
  <c r="AH15" i="6"/>
  <c r="AH6" i="6"/>
  <c r="AD305" i="6"/>
  <c r="AC304" i="6"/>
  <c r="AC305" i="6"/>
  <c r="AB304" i="6"/>
  <c r="AB305" i="6"/>
  <c r="AD509" i="6"/>
  <c r="AC509" i="6"/>
  <c r="AB509" i="6"/>
  <c r="AD508" i="6"/>
  <c r="AC508" i="6"/>
  <c r="AB508" i="6"/>
  <c r="AD507" i="6"/>
  <c r="AC507" i="6"/>
  <c r="AB507" i="6"/>
  <c r="AD506" i="6"/>
  <c r="AC506" i="6"/>
  <c r="AB506" i="6"/>
  <c r="AD505" i="6"/>
  <c r="AC505" i="6"/>
  <c r="AB505" i="6"/>
  <c r="AD504" i="6"/>
  <c r="AC504" i="6"/>
  <c r="AB504" i="6"/>
  <c r="AD503" i="6"/>
  <c r="AC503" i="6"/>
  <c r="AB503" i="6"/>
  <c r="AD502" i="6"/>
  <c r="AC502" i="6"/>
  <c r="AB502" i="6"/>
  <c r="AD501" i="6"/>
  <c r="AC501" i="6"/>
  <c r="AB501" i="6"/>
  <c r="AD500" i="6"/>
  <c r="AC500" i="6"/>
  <c r="AB500" i="6"/>
  <c r="AD494" i="6"/>
  <c r="AC494" i="6"/>
  <c r="AB494" i="6"/>
  <c r="AD493" i="6"/>
  <c r="AC493" i="6"/>
  <c r="AB493" i="6"/>
  <c r="AD492" i="6"/>
  <c r="AC492" i="6"/>
  <c r="AB492" i="6"/>
  <c r="AD491" i="6"/>
  <c r="AC491" i="6"/>
  <c r="AB491" i="6"/>
  <c r="AD490" i="6"/>
  <c r="AC490" i="6"/>
  <c r="AB490" i="6"/>
  <c r="AD489" i="6"/>
  <c r="AC489" i="6"/>
  <c r="AB489" i="6"/>
  <c r="AD488" i="6"/>
  <c r="AC488" i="6"/>
  <c r="AB488" i="6"/>
  <c r="AD487" i="6"/>
  <c r="AC487" i="6"/>
  <c r="AB487" i="6"/>
  <c r="AD486" i="6"/>
  <c r="AC486" i="6"/>
  <c r="AB486" i="6"/>
  <c r="AD485" i="6"/>
  <c r="AC485" i="6"/>
  <c r="AB485" i="6"/>
  <c r="AD479" i="6"/>
  <c r="AC479" i="6"/>
  <c r="AB479" i="6"/>
  <c r="AD478" i="6"/>
  <c r="AC478" i="6"/>
  <c r="AB478" i="6"/>
  <c r="AD477" i="6"/>
  <c r="AC477" i="6"/>
  <c r="AB477" i="6"/>
  <c r="AD476" i="6"/>
  <c r="AC476" i="6"/>
  <c r="AB476" i="6"/>
  <c r="AD475" i="6"/>
  <c r="AC475" i="6"/>
  <c r="AB475" i="6"/>
  <c r="AD474" i="6"/>
  <c r="AC474" i="6"/>
  <c r="AB474" i="6"/>
  <c r="AD473" i="6"/>
  <c r="AC473" i="6"/>
  <c r="AB473" i="6"/>
  <c r="AD472" i="6"/>
  <c r="AC472" i="6"/>
  <c r="AB472" i="6"/>
  <c r="AD471" i="6"/>
  <c r="AC471" i="6"/>
  <c r="AB471" i="6"/>
  <c r="AD470" i="6"/>
  <c r="AC470" i="6"/>
  <c r="AB470" i="6"/>
  <c r="AD464" i="6"/>
  <c r="AC464" i="6"/>
  <c r="AB464" i="6"/>
  <c r="AD463" i="6"/>
  <c r="AC463" i="6"/>
  <c r="AB463" i="6"/>
  <c r="AD462" i="6"/>
  <c r="AC462" i="6"/>
  <c r="AB462" i="6"/>
  <c r="AD461" i="6"/>
  <c r="AC461" i="6"/>
  <c r="AB461" i="6"/>
  <c r="AD460" i="6"/>
  <c r="AC460" i="6"/>
  <c r="AB460" i="6"/>
  <c r="AD459" i="6"/>
  <c r="AC459" i="6"/>
  <c r="AB459" i="6"/>
  <c r="AD458" i="6"/>
  <c r="AC458" i="6"/>
  <c r="AB458" i="6"/>
  <c r="AD457" i="6"/>
  <c r="AC457" i="6"/>
  <c r="AB457" i="6"/>
  <c r="AD456" i="6"/>
  <c r="AC456" i="6"/>
  <c r="AB456" i="6"/>
  <c r="AD455" i="6"/>
  <c r="AC455" i="6"/>
  <c r="AB455" i="6"/>
  <c r="AD448" i="6"/>
  <c r="AC448" i="6"/>
  <c r="AB448" i="6"/>
  <c r="AD447" i="6"/>
  <c r="AC447" i="6"/>
  <c r="AB447" i="6"/>
  <c r="AD446" i="6"/>
  <c r="AC446" i="6"/>
  <c r="AB446" i="6"/>
  <c r="AD445" i="6"/>
  <c r="AC445" i="6"/>
  <c r="AB445" i="6"/>
  <c r="AD444" i="6"/>
  <c r="AC444" i="6"/>
  <c r="AB444" i="6"/>
  <c r="AD443" i="6"/>
  <c r="AC443" i="6"/>
  <c r="AB443" i="6"/>
  <c r="AD442" i="6"/>
  <c r="AC442" i="6"/>
  <c r="AB442" i="6"/>
  <c r="AD441" i="6"/>
  <c r="AC441" i="6"/>
  <c r="AB441" i="6"/>
  <c r="AD440" i="6"/>
  <c r="AC440" i="6"/>
  <c r="AB440" i="6"/>
  <c r="AD439" i="6"/>
  <c r="AC439" i="6"/>
  <c r="AB439" i="6"/>
  <c r="AD433" i="6"/>
  <c r="AC433" i="6"/>
  <c r="AB433" i="6"/>
  <c r="AD432" i="6"/>
  <c r="AC432" i="6"/>
  <c r="AB432" i="6"/>
  <c r="AD431" i="6"/>
  <c r="AC431" i="6"/>
  <c r="AB431" i="6"/>
  <c r="AD430" i="6"/>
  <c r="AC430" i="6"/>
  <c r="AB430" i="6"/>
  <c r="AD429" i="6"/>
  <c r="AC429" i="6"/>
  <c r="AB429" i="6"/>
  <c r="AD428" i="6"/>
  <c r="AC428" i="6"/>
  <c r="AB428" i="6"/>
  <c r="AD427" i="6"/>
  <c r="AC427" i="6"/>
  <c r="AB427" i="6"/>
  <c r="AD426" i="6"/>
  <c r="AC426" i="6"/>
  <c r="AB426" i="6"/>
  <c r="AD425" i="6"/>
  <c r="AC425" i="6"/>
  <c r="AB425" i="6"/>
  <c r="AD424" i="6"/>
  <c r="AC424" i="6"/>
  <c r="AB424" i="6"/>
  <c r="AD416" i="6"/>
  <c r="AC416" i="6"/>
  <c r="AB416" i="6"/>
  <c r="AD415" i="6"/>
  <c r="AC415" i="6"/>
  <c r="AB415" i="6"/>
  <c r="AD414" i="6"/>
  <c r="AC414" i="6"/>
  <c r="AB414" i="6"/>
  <c r="AD413" i="6"/>
  <c r="AC413" i="6"/>
  <c r="AB413" i="6"/>
  <c r="AD412" i="6"/>
  <c r="AC412" i="6"/>
  <c r="AB412" i="6"/>
  <c r="AD411" i="6"/>
  <c r="AC411" i="6"/>
  <c r="AB411" i="6"/>
  <c r="AD410" i="6"/>
  <c r="AC410" i="6"/>
  <c r="AB410" i="6"/>
  <c r="AD409" i="6"/>
  <c r="AC409" i="6"/>
  <c r="AB409" i="6"/>
  <c r="AD408" i="6"/>
  <c r="AC408" i="6"/>
  <c r="AB408" i="6"/>
  <c r="AD407" i="6"/>
  <c r="AC407" i="6"/>
  <c r="AB407" i="6"/>
  <c r="AD399" i="6"/>
  <c r="AC399" i="6"/>
  <c r="AB399" i="6"/>
  <c r="AD398" i="6"/>
  <c r="AC398" i="6"/>
  <c r="AB398" i="6"/>
  <c r="AD397" i="6"/>
  <c r="AC397" i="6"/>
  <c r="AB397" i="6"/>
  <c r="AD396" i="6"/>
  <c r="AC396" i="6"/>
  <c r="AB396" i="6"/>
  <c r="AD395" i="6"/>
  <c r="AC395" i="6"/>
  <c r="AB395" i="6"/>
  <c r="AD394" i="6"/>
  <c r="AC394" i="6"/>
  <c r="AB394" i="6"/>
  <c r="AD393" i="6"/>
  <c r="AC393" i="6"/>
  <c r="AB393" i="6"/>
  <c r="AD392" i="6"/>
  <c r="AC392" i="6"/>
  <c r="AB392" i="6"/>
  <c r="AD391" i="6"/>
  <c r="AC391" i="6"/>
  <c r="AB391" i="6"/>
  <c r="AD390" i="6"/>
  <c r="AC390" i="6"/>
  <c r="AB390" i="6"/>
  <c r="AD382" i="6"/>
  <c r="AC382" i="6"/>
  <c r="AB382" i="6"/>
  <c r="AD381" i="6"/>
  <c r="AC381" i="6"/>
  <c r="AB381" i="6"/>
  <c r="AD380" i="6"/>
  <c r="AC380" i="6"/>
  <c r="AB380" i="6"/>
  <c r="AD379" i="6"/>
  <c r="AC379" i="6"/>
  <c r="AB379" i="6"/>
  <c r="AD378" i="6"/>
  <c r="AC378" i="6"/>
  <c r="AB378" i="6"/>
  <c r="AD377" i="6"/>
  <c r="AC377" i="6"/>
  <c r="AB377" i="6"/>
  <c r="AD376" i="6"/>
  <c r="AC376" i="6"/>
  <c r="AB376" i="6"/>
  <c r="AD375" i="6"/>
  <c r="AC375" i="6"/>
  <c r="AB375" i="6"/>
  <c r="AD374" i="6"/>
  <c r="AC374" i="6"/>
  <c r="AB374" i="6"/>
  <c r="AD373" i="6"/>
  <c r="AC373" i="6"/>
  <c r="AB373" i="6"/>
  <c r="AD367" i="6"/>
  <c r="AC367" i="6"/>
  <c r="AB367" i="6"/>
  <c r="AD366" i="6"/>
  <c r="AC366" i="6"/>
  <c r="AB366" i="6"/>
  <c r="AD365" i="6"/>
  <c r="AC365" i="6"/>
  <c r="AB365" i="6"/>
  <c r="AD364" i="6"/>
  <c r="AC364" i="6"/>
  <c r="AB364" i="6"/>
  <c r="AD363" i="6"/>
  <c r="AC363" i="6"/>
  <c r="AB363" i="6"/>
  <c r="AD362" i="6"/>
  <c r="AC362" i="6"/>
  <c r="AB362" i="6"/>
  <c r="AD361" i="6"/>
  <c r="AC361" i="6"/>
  <c r="AB361" i="6"/>
  <c r="AD360" i="6"/>
  <c r="AC360" i="6"/>
  <c r="AB360" i="6"/>
  <c r="AD359" i="6"/>
  <c r="AC359" i="6"/>
  <c r="AB359" i="6"/>
  <c r="AD358" i="6"/>
  <c r="AC358" i="6"/>
  <c r="AB358" i="6"/>
  <c r="AD352" i="6"/>
  <c r="AC352" i="6"/>
  <c r="AB352" i="6"/>
  <c r="AD351" i="6"/>
  <c r="AC351" i="6"/>
  <c r="AB351" i="6"/>
  <c r="AD350" i="6"/>
  <c r="AC350" i="6"/>
  <c r="AB350" i="6"/>
  <c r="AD349" i="6"/>
  <c r="AC349" i="6"/>
  <c r="AB349" i="6"/>
  <c r="AD348" i="6"/>
  <c r="AC348" i="6"/>
  <c r="AB348" i="6"/>
  <c r="AD347" i="6"/>
  <c r="AC347" i="6"/>
  <c r="AB347" i="6"/>
  <c r="AD346" i="6"/>
  <c r="AC346" i="6"/>
  <c r="AB346" i="6"/>
  <c r="AD345" i="6"/>
  <c r="AC345" i="6"/>
  <c r="AB345" i="6"/>
  <c r="AD344" i="6"/>
  <c r="AC344" i="6"/>
  <c r="AB344" i="6"/>
  <c r="AD343" i="6"/>
  <c r="AC343" i="6"/>
  <c r="AB343" i="6"/>
  <c r="AD335" i="6"/>
  <c r="AC335" i="6"/>
  <c r="AB335" i="6"/>
  <c r="AD334" i="6"/>
  <c r="AC334" i="6"/>
  <c r="AB334" i="6"/>
  <c r="AD333" i="6"/>
  <c r="AC333" i="6"/>
  <c r="AB333" i="6"/>
  <c r="AD332" i="6"/>
  <c r="AC332" i="6"/>
  <c r="AB332" i="6"/>
  <c r="AD331" i="6"/>
  <c r="AC331" i="6"/>
  <c r="AB331" i="6"/>
  <c r="AD330" i="6"/>
  <c r="AC330" i="6"/>
  <c r="AB330" i="6"/>
  <c r="AD329" i="6"/>
  <c r="AC329" i="6"/>
  <c r="AB329" i="6"/>
  <c r="AD328" i="6"/>
  <c r="AC328" i="6"/>
  <c r="AB328" i="6"/>
  <c r="AD327" i="6"/>
  <c r="AC327" i="6"/>
  <c r="AB327" i="6"/>
  <c r="AD326" i="6"/>
  <c r="AC326" i="6"/>
  <c r="AB326" i="6"/>
  <c r="AD320" i="6"/>
  <c r="AC320" i="6"/>
  <c r="AB320" i="6"/>
  <c r="AD319" i="6"/>
  <c r="AC319" i="6"/>
  <c r="AB319" i="6"/>
  <c r="AD318" i="6"/>
  <c r="AC318" i="6"/>
  <c r="AB318" i="6"/>
  <c r="AD317" i="6"/>
  <c r="AC317" i="6"/>
  <c r="AB317" i="6"/>
  <c r="AD316" i="6"/>
  <c r="AC316" i="6"/>
  <c r="AB316" i="6"/>
  <c r="AD315" i="6"/>
  <c r="AC315" i="6"/>
  <c r="AB315" i="6"/>
  <c r="AD314" i="6"/>
  <c r="AC314" i="6"/>
  <c r="AB314" i="6"/>
  <c r="AD313" i="6"/>
  <c r="AC313" i="6"/>
  <c r="AB313" i="6"/>
  <c r="AD312" i="6"/>
  <c r="AC312" i="6"/>
  <c r="AB312" i="6"/>
  <c r="AD311" i="6"/>
  <c r="AC311" i="6"/>
  <c r="AB311" i="6"/>
  <c r="AD304" i="6"/>
  <c r="AD303" i="6"/>
  <c r="AC303" i="6"/>
  <c r="AB303" i="6"/>
  <c r="AD302" i="6"/>
  <c r="AC302" i="6"/>
  <c r="AB302" i="6"/>
  <c r="AD301" i="6"/>
  <c r="AC301" i="6"/>
  <c r="AB301" i="6"/>
  <c r="AD300" i="6"/>
  <c r="AC300" i="6"/>
  <c r="AB300" i="6"/>
  <c r="AD299" i="6"/>
  <c r="AC299" i="6"/>
  <c r="AB299" i="6"/>
  <c r="AD298" i="6"/>
  <c r="AC298" i="6"/>
  <c r="AB298" i="6"/>
  <c r="AD297" i="6"/>
  <c r="AC297" i="6"/>
  <c r="AB297" i="6"/>
  <c r="AD296" i="6"/>
  <c r="AC296" i="6"/>
  <c r="AB296" i="6"/>
  <c r="AD295" i="6"/>
  <c r="AC295" i="6"/>
  <c r="AB295" i="6"/>
  <c r="AD288" i="6"/>
  <c r="AC288" i="6"/>
  <c r="AB288" i="6"/>
  <c r="AD287" i="6"/>
  <c r="AC287" i="6"/>
  <c r="AB287" i="6"/>
  <c r="AD286" i="6"/>
  <c r="AC286" i="6"/>
  <c r="AB286" i="6"/>
  <c r="AD285" i="6"/>
  <c r="AC285" i="6"/>
  <c r="AB285" i="6"/>
  <c r="AD284" i="6"/>
  <c r="AC284" i="6"/>
  <c r="AB284" i="6"/>
  <c r="AD283" i="6"/>
  <c r="AC283" i="6"/>
  <c r="AB283" i="6"/>
  <c r="AD282" i="6"/>
  <c r="AC282" i="6"/>
  <c r="AB282" i="6"/>
  <c r="AD281" i="6"/>
  <c r="AC281" i="6"/>
  <c r="AB281" i="6"/>
  <c r="AD280" i="6"/>
  <c r="AC280" i="6"/>
  <c r="AB280" i="6"/>
  <c r="AD279" i="6"/>
  <c r="AC279" i="6"/>
  <c r="AB279" i="6"/>
  <c r="AD272" i="6"/>
  <c r="AC272" i="6"/>
  <c r="AB272" i="6"/>
  <c r="AD271" i="6"/>
  <c r="AC271" i="6"/>
  <c r="AB271" i="6"/>
  <c r="AD270" i="6"/>
  <c r="AC270" i="6"/>
  <c r="AB270" i="6"/>
  <c r="AD269" i="6"/>
  <c r="AC269" i="6"/>
  <c r="AB269" i="6"/>
  <c r="AD268" i="6"/>
  <c r="AC268" i="6"/>
  <c r="AB268" i="6"/>
  <c r="AD267" i="6"/>
  <c r="AC267" i="6"/>
  <c r="AB267" i="6"/>
  <c r="AD266" i="6"/>
  <c r="AC266" i="6"/>
  <c r="AB266" i="6"/>
  <c r="AD265" i="6"/>
  <c r="AC265" i="6"/>
  <c r="AB265" i="6"/>
  <c r="AD264" i="6"/>
  <c r="AC264" i="6"/>
  <c r="AB264" i="6"/>
  <c r="AD263" i="6"/>
  <c r="AC263" i="6"/>
  <c r="AB263" i="6"/>
  <c r="AD256" i="6"/>
  <c r="AC256" i="6"/>
  <c r="AB256" i="6"/>
  <c r="AD255" i="6"/>
  <c r="AC255" i="6"/>
  <c r="AB255" i="6"/>
  <c r="AD254" i="6"/>
  <c r="AC254" i="6"/>
  <c r="AB254" i="6"/>
  <c r="AD253" i="6"/>
  <c r="AC253" i="6"/>
  <c r="AB253" i="6"/>
  <c r="AD252" i="6"/>
  <c r="AC252" i="6"/>
  <c r="AB252" i="6"/>
  <c r="AD251" i="6"/>
  <c r="AC251" i="6"/>
  <c r="AB251" i="6"/>
  <c r="AD250" i="6"/>
  <c r="AC250" i="6"/>
  <c r="AB250" i="6"/>
  <c r="AD249" i="6"/>
  <c r="AC249" i="6"/>
  <c r="AB249" i="6"/>
  <c r="AD248" i="6"/>
  <c r="AC248" i="6"/>
  <c r="AB248" i="6"/>
  <c r="AD247" i="6"/>
  <c r="AC247" i="6"/>
  <c r="AB247" i="6"/>
  <c r="AD241" i="6"/>
  <c r="AC241" i="6"/>
  <c r="AB241" i="6"/>
  <c r="AD240" i="6"/>
  <c r="AC240" i="6"/>
  <c r="AB240" i="6"/>
  <c r="AD239" i="6"/>
  <c r="AC239" i="6"/>
  <c r="AB239" i="6"/>
  <c r="AD238" i="6"/>
  <c r="AC238" i="6"/>
  <c r="AB238" i="6"/>
  <c r="AD237" i="6"/>
  <c r="AC237" i="6"/>
  <c r="AB237" i="6"/>
  <c r="AD236" i="6"/>
  <c r="AC236" i="6"/>
  <c r="AB236" i="6"/>
  <c r="AD235" i="6"/>
  <c r="AC235" i="6"/>
  <c r="AB235" i="6"/>
  <c r="AD234" i="6"/>
  <c r="AC234" i="6"/>
  <c r="AB234" i="6"/>
  <c r="AD233" i="6"/>
  <c r="AC233" i="6"/>
  <c r="AB233" i="6"/>
  <c r="AD232" i="6"/>
  <c r="AC232" i="6"/>
  <c r="AB232" i="6"/>
  <c r="AD226" i="6"/>
  <c r="AC226" i="6"/>
  <c r="AB226" i="6"/>
  <c r="AD225" i="6"/>
  <c r="AC225" i="6"/>
  <c r="AB225" i="6"/>
  <c r="AD224" i="6"/>
  <c r="AC224" i="6"/>
  <c r="AB224" i="6"/>
  <c r="AD223" i="6"/>
  <c r="AC223" i="6"/>
  <c r="AB223" i="6"/>
  <c r="AD222" i="6"/>
  <c r="AC222" i="6"/>
  <c r="AB222" i="6"/>
  <c r="AD221" i="6"/>
  <c r="AC221" i="6"/>
  <c r="AB221" i="6"/>
  <c r="AD220" i="6"/>
  <c r="AC220" i="6"/>
  <c r="AB220" i="6"/>
  <c r="AD219" i="6"/>
  <c r="AC219" i="6"/>
  <c r="AB219" i="6"/>
  <c r="AD218" i="6"/>
  <c r="AC218" i="6"/>
  <c r="AB218" i="6"/>
  <c r="AD217" i="6"/>
  <c r="AC217" i="6"/>
  <c r="AB217" i="6"/>
  <c r="AD211" i="6"/>
  <c r="AC211" i="6"/>
  <c r="AB211" i="6"/>
  <c r="AD210" i="6"/>
  <c r="AC210" i="6"/>
  <c r="AB210" i="6"/>
  <c r="AD209" i="6"/>
  <c r="AC209" i="6"/>
  <c r="AB209" i="6"/>
  <c r="AD208" i="6"/>
  <c r="AC208" i="6"/>
  <c r="AB208" i="6"/>
  <c r="AD207" i="6"/>
  <c r="AC207" i="6"/>
  <c r="AB207" i="6"/>
  <c r="AD206" i="6"/>
  <c r="AC206" i="6"/>
  <c r="AB206" i="6"/>
  <c r="AD205" i="6"/>
  <c r="AC205" i="6"/>
  <c r="AB205" i="6"/>
  <c r="AD204" i="6"/>
  <c r="AC204" i="6"/>
  <c r="AB204" i="6"/>
  <c r="AD203" i="6"/>
  <c r="AC203" i="6"/>
  <c r="AB203" i="6"/>
  <c r="AD202" i="6"/>
  <c r="AC202" i="6"/>
  <c r="AB202" i="6"/>
  <c r="AD196" i="6"/>
  <c r="AC196" i="6"/>
  <c r="AB196" i="6"/>
  <c r="AD195" i="6"/>
  <c r="AC195" i="6"/>
  <c r="AB195" i="6"/>
  <c r="AD194" i="6"/>
  <c r="AC194" i="6"/>
  <c r="AB194" i="6"/>
  <c r="AD193" i="6"/>
  <c r="AC193" i="6"/>
  <c r="AB193" i="6"/>
  <c r="AD192" i="6"/>
  <c r="AC192" i="6"/>
  <c r="AB192" i="6"/>
  <c r="AD191" i="6"/>
  <c r="AC191" i="6"/>
  <c r="AB191" i="6"/>
  <c r="AD190" i="6"/>
  <c r="AC190" i="6"/>
  <c r="AB190" i="6"/>
  <c r="AD189" i="6"/>
  <c r="AC189" i="6"/>
  <c r="AB189" i="6"/>
  <c r="AD188" i="6"/>
  <c r="AC188" i="6"/>
  <c r="AB188" i="6"/>
  <c r="AD182" i="6"/>
  <c r="AC182" i="6"/>
  <c r="AB182" i="6"/>
  <c r="AD181" i="6"/>
  <c r="AC181" i="6"/>
  <c r="AB181" i="6"/>
  <c r="AD180" i="6"/>
  <c r="AC180" i="6"/>
  <c r="AB180" i="6"/>
  <c r="AD179" i="6"/>
  <c r="AC179" i="6"/>
  <c r="AB179" i="6"/>
  <c r="AD178" i="6"/>
  <c r="AC178" i="6"/>
  <c r="AB178" i="6"/>
  <c r="AD177" i="6"/>
  <c r="AC177" i="6"/>
  <c r="AB177" i="6"/>
  <c r="AD176" i="6"/>
  <c r="AC176" i="6"/>
  <c r="AB176" i="6"/>
  <c r="AD175" i="6"/>
  <c r="AC175" i="6"/>
  <c r="AB175" i="6"/>
  <c r="AD174" i="6"/>
  <c r="AC174" i="6"/>
  <c r="AB174" i="6"/>
  <c r="AD173" i="6"/>
  <c r="AC173" i="6"/>
  <c r="AB173" i="6"/>
  <c r="AD167" i="6"/>
  <c r="AC167" i="6"/>
  <c r="AB167" i="6"/>
  <c r="AD166" i="6"/>
  <c r="AC166" i="6"/>
  <c r="AB166" i="6"/>
  <c r="AD165" i="6"/>
  <c r="AC165" i="6"/>
  <c r="AB165" i="6"/>
  <c r="AD164" i="6"/>
  <c r="AC164" i="6"/>
  <c r="AB164" i="6"/>
  <c r="AD163" i="6"/>
  <c r="AC163" i="6"/>
  <c r="AB163" i="6"/>
  <c r="AD162" i="6"/>
  <c r="AC162" i="6"/>
  <c r="AB162" i="6"/>
  <c r="AD161" i="6"/>
  <c r="AC161" i="6"/>
  <c r="AB161" i="6"/>
  <c r="AD160" i="6"/>
  <c r="AC160" i="6"/>
  <c r="AB160" i="6"/>
  <c r="AD159" i="6"/>
  <c r="AC159" i="6"/>
  <c r="AB159" i="6"/>
  <c r="AD158" i="6"/>
  <c r="AC158" i="6"/>
  <c r="AB158" i="6"/>
  <c r="AD152" i="6"/>
  <c r="AC152" i="6"/>
  <c r="AB152" i="6"/>
  <c r="AD151" i="6"/>
  <c r="AC151" i="6"/>
  <c r="AB151" i="6"/>
  <c r="AD150" i="6"/>
  <c r="AC150" i="6"/>
  <c r="AB150" i="6"/>
  <c r="AD149" i="6"/>
  <c r="AC149" i="6"/>
  <c r="AB149" i="6"/>
  <c r="AD148" i="6"/>
  <c r="AC148" i="6"/>
  <c r="AB148" i="6"/>
  <c r="AD147" i="6"/>
  <c r="AC147" i="6"/>
  <c r="AB147" i="6"/>
  <c r="AD146" i="6"/>
  <c r="AC146" i="6"/>
  <c r="AB146" i="6"/>
  <c r="AD145" i="6"/>
  <c r="AC145" i="6"/>
  <c r="AB145" i="6"/>
  <c r="AD144" i="6"/>
  <c r="AC144" i="6"/>
  <c r="AB144" i="6"/>
  <c r="AD143" i="6"/>
  <c r="AC143" i="6"/>
  <c r="AB143" i="6"/>
  <c r="AD136" i="6"/>
  <c r="AC136" i="6"/>
  <c r="AB136" i="6"/>
  <c r="AD135" i="6"/>
  <c r="AC135" i="6"/>
  <c r="AB135" i="6"/>
  <c r="AD134" i="6"/>
  <c r="AC134" i="6"/>
  <c r="AB134" i="6"/>
  <c r="AD133" i="6"/>
  <c r="AC133" i="6"/>
  <c r="AB133" i="6"/>
  <c r="AD132" i="6"/>
  <c r="AC132" i="6"/>
  <c r="AB132" i="6"/>
  <c r="AD131" i="6"/>
  <c r="AC131" i="6"/>
  <c r="AB131" i="6"/>
  <c r="AD130" i="6"/>
  <c r="AC130" i="6"/>
  <c r="AB130" i="6"/>
  <c r="AD129" i="6"/>
  <c r="AC129" i="6"/>
  <c r="AB129" i="6"/>
  <c r="AD128" i="6"/>
  <c r="AC128" i="6"/>
  <c r="AB128" i="6"/>
  <c r="AD127" i="6"/>
  <c r="AC127" i="6"/>
  <c r="AB127" i="6"/>
  <c r="AD121" i="6"/>
  <c r="AC121" i="6"/>
  <c r="AB121" i="6"/>
  <c r="AD120" i="6"/>
  <c r="AC120" i="6"/>
  <c r="AB120" i="6"/>
  <c r="AD119" i="6"/>
  <c r="AC119" i="6"/>
  <c r="AB119" i="6"/>
  <c r="AD118" i="6"/>
  <c r="AC118" i="6"/>
  <c r="AB118" i="6"/>
  <c r="AD117" i="6"/>
  <c r="AC117" i="6"/>
  <c r="AB117" i="6"/>
  <c r="AD116" i="6"/>
  <c r="AC116" i="6"/>
  <c r="AB116" i="6"/>
  <c r="AD115" i="6"/>
  <c r="AC115" i="6"/>
  <c r="AB115" i="6"/>
  <c r="AD114" i="6"/>
  <c r="AC114" i="6"/>
  <c r="AB114" i="6"/>
  <c r="AD113" i="6"/>
  <c r="AC113" i="6"/>
  <c r="AB113" i="6"/>
  <c r="AD112" i="6"/>
  <c r="AC112" i="6"/>
  <c r="AB112" i="6"/>
  <c r="AD106" i="6"/>
  <c r="AC106" i="6"/>
  <c r="AB106" i="6"/>
  <c r="AD105" i="6"/>
  <c r="AC105" i="6"/>
  <c r="AB105" i="6"/>
  <c r="AD104" i="6"/>
  <c r="AC104" i="6"/>
  <c r="AB104" i="6"/>
  <c r="AD103" i="6"/>
  <c r="AC103" i="6"/>
  <c r="AB103" i="6"/>
  <c r="AD102" i="6"/>
  <c r="AC102" i="6"/>
  <c r="AB102" i="6"/>
  <c r="AD101" i="6"/>
  <c r="AC101" i="6"/>
  <c r="AB101" i="6"/>
  <c r="AD100" i="6"/>
  <c r="AC100" i="6"/>
  <c r="AB100" i="6"/>
  <c r="AD99" i="6"/>
  <c r="AC99" i="6"/>
  <c r="AB99" i="6"/>
  <c r="AD98" i="6"/>
  <c r="AC98" i="6"/>
  <c r="AB98" i="6"/>
  <c r="AD97" i="6"/>
  <c r="AC97" i="6"/>
  <c r="AB97" i="6"/>
  <c r="AD91" i="6"/>
  <c r="AC91" i="6"/>
  <c r="AB91" i="6"/>
  <c r="AD90" i="6"/>
  <c r="AC90" i="6"/>
  <c r="AB90" i="6"/>
  <c r="AD89" i="6"/>
  <c r="AC89" i="6"/>
  <c r="AB89" i="6"/>
  <c r="AD88" i="6"/>
  <c r="AC88" i="6"/>
  <c r="AB88" i="6"/>
  <c r="AD87" i="6"/>
  <c r="AC87" i="6"/>
  <c r="AB87" i="6"/>
  <c r="AD86" i="6"/>
  <c r="AC86" i="6"/>
  <c r="AB86" i="6"/>
  <c r="AD85" i="6"/>
  <c r="AC85" i="6"/>
  <c r="AB85" i="6"/>
  <c r="AD84" i="6"/>
  <c r="AC84" i="6"/>
  <c r="AB84" i="6"/>
  <c r="AD83" i="6"/>
  <c r="AC83" i="6"/>
  <c r="AB83" i="6"/>
  <c r="AD82" i="6"/>
  <c r="AC82" i="6"/>
  <c r="AB82" i="6"/>
  <c r="AD76" i="6"/>
  <c r="AC76" i="6"/>
  <c r="AB76" i="6"/>
  <c r="AD75" i="6"/>
  <c r="AC75" i="6"/>
  <c r="AB75" i="6"/>
  <c r="AD74" i="6"/>
  <c r="AC74" i="6"/>
  <c r="AB74" i="6"/>
  <c r="AD73" i="6"/>
  <c r="AC73" i="6"/>
  <c r="AB73" i="6"/>
  <c r="AD72" i="6"/>
  <c r="AC72" i="6"/>
  <c r="AB72" i="6"/>
  <c r="AD71" i="6"/>
  <c r="AC71" i="6"/>
  <c r="AB71" i="6"/>
  <c r="AD70" i="6"/>
  <c r="AC70" i="6"/>
  <c r="AB70" i="6"/>
  <c r="AD69" i="6"/>
  <c r="AC69" i="6"/>
  <c r="AB69" i="6"/>
  <c r="AD68" i="6"/>
  <c r="AC68" i="6"/>
  <c r="AB68" i="6"/>
  <c r="AD67" i="6"/>
  <c r="AC67" i="6"/>
  <c r="AB67" i="6"/>
  <c r="AD61" i="6"/>
  <c r="AC61" i="6"/>
  <c r="AB61" i="6"/>
  <c r="AD60" i="6"/>
  <c r="AC60" i="6"/>
  <c r="AB60" i="6"/>
  <c r="AD59" i="6"/>
  <c r="AC59" i="6"/>
  <c r="AB59" i="6"/>
  <c r="AD58" i="6"/>
  <c r="AC58" i="6"/>
  <c r="AB58" i="6"/>
  <c r="AD57" i="6"/>
  <c r="AC57" i="6"/>
  <c r="AB57" i="6"/>
  <c r="AD56" i="6"/>
  <c r="AC56" i="6"/>
  <c r="AB56" i="6"/>
  <c r="AD55" i="6"/>
  <c r="AC55" i="6"/>
  <c r="AB55" i="6"/>
  <c r="AD54" i="6"/>
  <c r="AC54" i="6"/>
  <c r="AB54" i="6"/>
  <c r="AD53" i="6"/>
  <c r="AC53" i="6"/>
  <c r="AB53" i="6"/>
  <c r="AD52" i="6"/>
  <c r="AC52" i="6"/>
  <c r="AB52" i="6"/>
  <c r="AD46" i="6"/>
  <c r="AC46" i="6"/>
  <c r="AB46" i="6"/>
  <c r="AD45" i="6"/>
  <c r="AC45" i="6"/>
  <c r="AB45" i="6"/>
  <c r="AD44" i="6"/>
  <c r="AC44" i="6"/>
  <c r="AB44" i="6"/>
  <c r="AD43" i="6"/>
  <c r="AC43" i="6"/>
  <c r="AB43" i="6"/>
  <c r="AD42" i="6"/>
  <c r="AC42" i="6"/>
  <c r="AB42" i="6"/>
  <c r="AD41" i="6"/>
  <c r="AC41" i="6"/>
  <c r="AB41" i="6"/>
  <c r="AD40" i="6"/>
  <c r="AC40" i="6"/>
  <c r="AB40" i="6"/>
  <c r="AD39" i="6"/>
  <c r="AC39" i="6"/>
  <c r="AB39" i="6"/>
  <c r="AD38" i="6"/>
  <c r="AC38" i="6"/>
  <c r="AB38" i="6"/>
  <c r="AD37" i="6"/>
  <c r="AC37" i="6"/>
  <c r="AB37" i="6"/>
  <c r="AD31" i="6"/>
  <c r="AC31" i="6"/>
  <c r="AB31" i="6"/>
  <c r="AD30" i="6"/>
  <c r="AC30" i="6"/>
  <c r="AB30" i="6"/>
  <c r="AD29" i="6"/>
  <c r="AC29" i="6"/>
  <c r="AB29" i="6"/>
  <c r="AD28" i="6"/>
  <c r="AC28" i="6"/>
  <c r="AB28" i="6"/>
  <c r="AD27" i="6"/>
  <c r="AC27" i="6"/>
  <c r="AB27" i="6"/>
  <c r="AD26" i="6"/>
  <c r="AC26" i="6"/>
  <c r="AB26" i="6"/>
  <c r="AD25" i="6"/>
  <c r="AC25" i="6"/>
  <c r="AB25" i="6"/>
  <c r="AD24" i="6"/>
  <c r="AC24" i="6"/>
  <c r="AB24" i="6"/>
  <c r="AD23" i="6"/>
  <c r="AC23" i="6"/>
  <c r="AB23" i="6"/>
  <c r="AD22" i="6"/>
  <c r="AC22" i="6"/>
  <c r="AB22" i="6"/>
  <c r="AG3" i="6"/>
  <c r="AG2" i="6"/>
  <c r="AG295" i="6"/>
  <c r="AE305" i="6"/>
  <c r="AF305" i="6" s="1"/>
  <c r="AE509" i="6"/>
  <c r="AF509" i="6" s="1"/>
  <c r="AE508" i="6"/>
  <c r="AF508" i="6" s="1"/>
  <c r="AE507" i="6"/>
  <c r="AF507" i="6" s="1"/>
  <c r="AE506" i="6"/>
  <c r="AF506" i="6" s="1"/>
  <c r="AE505" i="6"/>
  <c r="AF505" i="6" s="1"/>
  <c r="AE504" i="6"/>
  <c r="AF504" i="6" s="1"/>
  <c r="AE503" i="6"/>
  <c r="AF503" i="6" s="1"/>
  <c r="AE502" i="6"/>
  <c r="AF502" i="6" s="1"/>
  <c r="AE501" i="6"/>
  <c r="AF501" i="6" s="1"/>
  <c r="AF500" i="6"/>
  <c r="AE500" i="6"/>
  <c r="AE494" i="6"/>
  <c r="AF494" i="6" s="1"/>
  <c r="AE493" i="6"/>
  <c r="AF493" i="6" s="1"/>
  <c r="AE492" i="6"/>
  <c r="AF492" i="6" s="1"/>
  <c r="AF491" i="6"/>
  <c r="AE491" i="6"/>
  <c r="AE490" i="6"/>
  <c r="AF490" i="6" s="1"/>
  <c r="AE489" i="6"/>
  <c r="AF489" i="6" s="1"/>
  <c r="AE488" i="6"/>
  <c r="AF488" i="6" s="1"/>
  <c r="AF487" i="6"/>
  <c r="AE487" i="6"/>
  <c r="AE486" i="6"/>
  <c r="AF486" i="6" s="1"/>
  <c r="AF485" i="6"/>
  <c r="AE485" i="6"/>
  <c r="AF479" i="6"/>
  <c r="AE479" i="6"/>
  <c r="AE478" i="6"/>
  <c r="AF478" i="6" s="1"/>
  <c r="AF477" i="6"/>
  <c r="AE477" i="6"/>
  <c r="AE476" i="6"/>
  <c r="AF476" i="6" s="1"/>
  <c r="AF475" i="6"/>
  <c r="AE475" i="6"/>
  <c r="AE474" i="6"/>
  <c r="AF474" i="6" s="1"/>
  <c r="AF473" i="6"/>
  <c r="AE473" i="6"/>
  <c r="AE472" i="6"/>
  <c r="AF472" i="6" s="1"/>
  <c r="AF471" i="6"/>
  <c r="AE471" i="6"/>
  <c r="AE470" i="6"/>
  <c r="AF470" i="6" s="1"/>
  <c r="AE464" i="6"/>
  <c r="AF464" i="6" s="1"/>
  <c r="AE463" i="6"/>
  <c r="AF463" i="6" s="1"/>
  <c r="AE462" i="6"/>
  <c r="AF462" i="6" s="1"/>
  <c r="AE461" i="6"/>
  <c r="AF461" i="6" s="1"/>
  <c r="AE460" i="6"/>
  <c r="AF460" i="6" s="1"/>
  <c r="AE459" i="6"/>
  <c r="AF459" i="6" s="1"/>
  <c r="AE458" i="6"/>
  <c r="AF458" i="6" s="1"/>
  <c r="AE457" i="6"/>
  <c r="AF457" i="6" s="1"/>
  <c r="AE456" i="6"/>
  <c r="AF456" i="6" s="1"/>
  <c r="AE455" i="6"/>
  <c r="AF455" i="6" s="1"/>
  <c r="AG455" i="6" s="1"/>
  <c r="AE448" i="6"/>
  <c r="AF448" i="6" s="1"/>
  <c r="AE447" i="6"/>
  <c r="AF447" i="6" s="1"/>
  <c r="AE446" i="6"/>
  <c r="AF446" i="6" s="1"/>
  <c r="AE445" i="6"/>
  <c r="AF445" i="6" s="1"/>
  <c r="AE444" i="6"/>
  <c r="AF444" i="6" s="1"/>
  <c r="AE443" i="6"/>
  <c r="AF443" i="6" s="1"/>
  <c r="AE442" i="6"/>
  <c r="AF442" i="6" s="1"/>
  <c r="AE441" i="6"/>
  <c r="AF441" i="6" s="1"/>
  <c r="AE440" i="6"/>
  <c r="AF440" i="6" s="1"/>
  <c r="AF439" i="6"/>
  <c r="AE439" i="6"/>
  <c r="AE433" i="6"/>
  <c r="AF433" i="6" s="1"/>
  <c r="AF432" i="6"/>
  <c r="AE432" i="6"/>
  <c r="AE431" i="6"/>
  <c r="AF431" i="6" s="1"/>
  <c r="AF430" i="6"/>
  <c r="AE430" i="6"/>
  <c r="AE429" i="6"/>
  <c r="AF429" i="6" s="1"/>
  <c r="AF428" i="6"/>
  <c r="AE428" i="6"/>
  <c r="AE427" i="6"/>
  <c r="AF427" i="6" s="1"/>
  <c r="AF426" i="6"/>
  <c r="AE426" i="6"/>
  <c r="AE425" i="6"/>
  <c r="AF425" i="6" s="1"/>
  <c r="AE424" i="6"/>
  <c r="AF424" i="6" s="1"/>
  <c r="AE416" i="6"/>
  <c r="AF416" i="6" s="1"/>
  <c r="AE415" i="6"/>
  <c r="AF415" i="6" s="1"/>
  <c r="AF414" i="6"/>
  <c r="AE414" i="6"/>
  <c r="AE413" i="6"/>
  <c r="AF413" i="6" s="1"/>
  <c r="AE412" i="6"/>
  <c r="AF412" i="6" s="1"/>
  <c r="AE411" i="6"/>
  <c r="AF411" i="6" s="1"/>
  <c r="AF410" i="6"/>
  <c r="AE410" i="6"/>
  <c r="AE409" i="6"/>
  <c r="AF409" i="6" s="1"/>
  <c r="AE408" i="6"/>
  <c r="AF408" i="6" s="1"/>
  <c r="AE407" i="6"/>
  <c r="AF407" i="6" s="1"/>
  <c r="AE399" i="6"/>
  <c r="AF399" i="6" s="1"/>
  <c r="AE398" i="6"/>
  <c r="AF398" i="6" s="1"/>
  <c r="AE397" i="6"/>
  <c r="AF397" i="6" s="1"/>
  <c r="AF396" i="6"/>
  <c r="AE396" i="6"/>
  <c r="AE395" i="6"/>
  <c r="AF395" i="6" s="1"/>
  <c r="AE394" i="6"/>
  <c r="AF394" i="6" s="1"/>
  <c r="AE393" i="6"/>
  <c r="AF393" i="6" s="1"/>
  <c r="AF392" i="6"/>
  <c r="AE392" i="6"/>
  <c r="AE391" i="6"/>
  <c r="AF391" i="6" s="1"/>
  <c r="AF390" i="6"/>
  <c r="AE390" i="6"/>
  <c r="AE382" i="6"/>
  <c r="AF382" i="6" s="1"/>
  <c r="AE381" i="6"/>
  <c r="AF381" i="6" s="1"/>
  <c r="AE380" i="6"/>
  <c r="AF380" i="6" s="1"/>
  <c r="AE379" i="6"/>
  <c r="AF379" i="6" s="1"/>
  <c r="AE378" i="6"/>
  <c r="AF378" i="6" s="1"/>
  <c r="AE377" i="6"/>
  <c r="AF377" i="6" s="1"/>
  <c r="AE376" i="6"/>
  <c r="AF376" i="6" s="1"/>
  <c r="AE375" i="6"/>
  <c r="AF375" i="6" s="1"/>
  <c r="AE374" i="6"/>
  <c r="AF374" i="6" s="1"/>
  <c r="AF373" i="6"/>
  <c r="AE373" i="6"/>
  <c r="AE367" i="6"/>
  <c r="AF367" i="6" s="1"/>
  <c r="AE366" i="6"/>
  <c r="AF366" i="6" s="1"/>
  <c r="AE365" i="6"/>
  <c r="AF365" i="6" s="1"/>
  <c r="AF364" i="6"/>
  <c r="AE364" i="6"/>
  <c r="AE363" i="6"/>
  <c r="AF363" i="6" s="1"/>
  <c r="AE362" i="6"/>
  <c r="AF362" i="6" s="1"/>
  <c r="AE361" i="6"/>
  <c r="AF361" i="6" s="1"/>
  <c r="AF360" i="6"/>
  <c r="AE360" i="6"/>
  <c r="AE359" i="6"/>
  <c r="AF359" i="6" s="1"/>
  <c r="AF358" i="6"/>
  <c r="AE358" i="6"/>
  <c r="AE352" i="6"/>
  <c r="AF352" i="6" s="1"/>
  <c r="AF351" i="6"/>
  <c r="AE351" i="6"/>
  <c r="AE350" i="6"/>
  <c r="AF350" i="6" s="1"/>
  <c r="AF349" i="6"/>
  <c r="AE349" i="6"/>
  <c r="AE348" i="6"/>
  <c r="AF348" i="6" s="1"/>
  <c r="AF347" i="6"/>
  <c r="AE347" i="6"/>
  <c r="AE346" i="6"/>
  <c r="AF346" i="6" s="1"/>
  <c r="AF345" i="6"/>
  <c r="AE345" i="6"/>
  <c r="AE344" i="6"/>
  <c r="AF344" i="6" s="1"/>
  <c r="AF343" i="6"/>
  <c r="AE343" i="6"/>
  <c r="AE335" i="6"/>
  <c r="AF335" i="6" s="1"/>
  <c r="AE334" i="6"/>
  <c r="AF334" i="6" s="1"/>
  <c r="AE333" i="6"/>
  <c r="AF333" i="6" s="1"/>
  <c r="AE332" i="6"/>
  <c r="AF332" i="6" s="1"/>
  <c r="AE331" i="6"/>
  <c r="AF331" i="6" s="1"/>
  <c r="AE330" i="6"/>
  <c r="AF330" i="6" s="1"/>
  <c r="AE329" i="6"/>
  <c r="AF329" i="6" s="1"/>
  <c r="AE328" i="6"/>
  <c r="AF328" i="6" s="1"/>
  <c r="AE327" i="6"/>
  <c r="AF327" i="6" s="1"/>
  <c r="AE326" i="6"/>
  <c r="AF326" i="6" s="1"/>
  <c r="AE320" i="6"/>
  <c r="AF320" i="6" s="1"/>
  <c r="AE319" i="6"/>
  <c r="AF319" i="6" s="1"/>
  <c r="AE318" i="6"/>
  <c r="AF318" i="6" s="1"/>
  <c r="AF317" i="6"/>
  <c r="AE317" i="6"/>
  <c r="AE316" i="6"/>
  <c r="AF316" i="6" s="1"/>
  <c r="AE315" i="6"/>
  <c r="AF315" i="6" s="1"/>
  <c r="AE314" i="6"/>
  <c r="AF314" i="6" s="1"/>
  <c r="AF313" i="6"/>
  <c r="AE313" i="6"/>
  <c r="AE312" i="6"/>
  <c r="AF312" i="6" s="1"/>
  <c r="AF311" i="6"/>
  <c r="AE311" i="6"/>
  <c r="AF304" i="6"/>
  <c r="AE304" i="6"/>
  <c r="AF303" i="6"/>
  <c r="AE303" i="6"/>
  <c r="AF302" i="6"/>
  <c r="AE302" i="6"/>
  <c r="AF301" i="6"/>
  <c r="AE301" i="6"/>
  <c r="AF300" i="6"/>
  <c r="AE300" i="6"/>
  <c r="AF299" i="6"/>
  <c r="AE299" i="6"/>
  <c r="AF298" i="6"/>
  <c r="AE298" i="6"/>
  <c r="AF297" i="6"/>
  <c r="AE297" i="6"/>
  <c r="AF296" i="6"/>
  <c r="AE296" i="6"/>
  <c r="AF295" i="6"/>
  <c r="AE295" i="6"/>
  <c r="AE288" i="6"/>
  <c r="AF288" i="6" s="1"/>
  <c r="AE287" i="6"/>
  <c r="AF287" i="6" s="1"/>
  <c r="AE286" i="6"/>
  <c r="AF286" i="6" s="1"/>
  <c r="AE285" i="6"/>
  <c r="AF285" i="6" s="1"/>
  <c r="AE284" i="6"/>
  <c r="AF284" i="6" s="1"/>
  <c r="AE283" i="6"/>
  <c r="AF283" i="6" s="1"/>
  <c r="AE282" i="6"/>
  <c r="AF282" i="6" s="1"/>
  <c r="AE281" i="6"/>
  <c r="AF281" i="6" s="1"/>
  <c r="AE280" i="6"/>
  <c r="AF280" i="6" s="1"/>
  <c r="AF279" i="6"/>
  <c r="AG279" i="6" s="1"/>
  <c r="AE279" i="6"/>
  <c r="AE269" i="6"/>
  <c r="AF269" i="6" s="1"/>
  <c r="AE270" i="6"/>
  <c r="AF270" i="6" s="1"/>
  <c r="AE271" i="6"/>
  <c r="AF271" i="6" s="1"/>
  <c r="AE272" i="6"/>
  <c r="AF272" i="6"/>
  <c r="AF268" i="6"/>
  <c r="AE268" i="6"/>
  <c r="AF267" i="6"/>
  <c r="AE267" i="6"/>
  <c r="AE266" i="6"/>
  <c r="AF266" i="6" s="1"/>
  <c r="AF265" i="6"/>
  <c r="AE265" i="6"/>
  <c r="AF264" i="6"/>
  <c r="AE264" i="6"/>
  <c r="AF263" i="6"/>
  <c r="AE263" i="6"/>
  <c r="AE256" i="6"/>
  <c r="AF256" i="6" s="1"/>
  <c r="AE255" i="6"/>
  <c r="AF255" i="6" s="1"/>
  <c r="AE254" i="6"/>
  <c r="AF254" i="6" s="1"/>
  <c r="AF253" i="6"/>
  <c r="AE253" i="6"/>
  <c r="AE252" i="6"/>
  <c r="AF252" i="6" s="1"/>
  <c r="AE251" i="6"/>
  <c r="AF251" i="6" s="1"/>
  <c r="AE250" i="6"/>
  <c r="AF250" i="6" s="1"/>
  <c r="AF249" i="6"/>
  <c r="AE249" i="6"/>
  <c r="AE248" i="6"/>
  <c r="AF248" i="6" s="1"/>
  <c r="AF247" i="6"/>
  <c r="AE247" i="6"/>
  <c r="AF241" i="6"/>
  <c r="AE241" i="6"/>
  <c r="AF240" i="6"/>
  <c r="AE240" i="6"/>
  <c r="AE239" i="6"/>
  <c r="AF239" i="6" s="1"/>
  <c r="AE238" i="6"/>
  <c r="AF238" i="6" s="1"/>
  <c r="AF237" i="6"/>
  <c r="AE237" i="6"/>
  <c r="AF236" i="6"/>
  <c r="AE236" i="6"/>
  <c r="AE235" i="6"/>
  <c r="AF235" i="6" s="1"/>
  <c r="AE234" i="6"/>
  <c r="AF234" i="6" s="1"/>
  <c r="AG232" i="6" s="1"/>
  <c r="AF233" i="6"/>
  <c r="AE233" i="6"/>
  <c r="AF232" i="6"/>
  <c r="AE232" i="6"/>
  <c r="AF226" i="6"/>
  <c r="AE226" i="6"/>
  <c r="AF225" i="6"/>
  <c r="AE225" i="6"/>
  <c r="AE224" i="6"/>
  <c r="AF224" i="6" s="1"/>
  <c r="AF223" i="6"/>
  <c r="AE223" i="6"/>
  <c r="AF222" i="6"/>
  <c r="AE222" i="6"/>
  <c r="AF221" i="6"/>
  <c r="AE221" i="6"/>
  <c r="AE220" i="6"/>
  <c r="AF220" i="6" s="1"/>
  <c r="AF219" i="6"/>
  <c r="AG217" i="6" s="1"/>
  <c r="AE219" i="6"/>
  <c r="AF218" i="6"/>
  <c r="AE218" i="6"/>
  <c r="AF217" i="6"/>
  <c r="AE217" i="6"/>
  <c r="AE211" i="6"/>
  <c r="AF211" i="6" s="1"/>
  <c r="AF210" i="6"/>
  <c r="AE210" i="6"/>
  <c r="AE209" i="6"/>
  <c r="AF209" i="6" s="1"/>
  <c r="AF208" i="6"/>
  <c r="AE208" i="6"/>
  <c r="AE207" i="6"/>
  <c r="AF207" i="6" s="1"/>
  <c r="AF206" i="6"/>
  <c r="AE206" i="6"/>
  <c r="AE205" i="6"/>
  <c r="AF205" i="6" s="1"/>
  <c r="AF204" i="6"/>
  <c r="AE204" i="6"/>
  <c r="AE203" i="6"/>
  <c r="AF203" i="6" s="1"/>
  <c r="AE202" i="6"/>
  <c r="AF202" i="6" s="1"/>
  <c r="AE196" i="6"/>
  <c r="AF196" i="6" s="1"/>
  <c r="AE195" i="6"/>
  <c r="AF195" i="6" s="1"/>
  <c r="AE194" i="6"/>
  <c r="AF194" i="6" s="1"/>
  <c r="AE193" i="6"/>
  <c r="AF193" i="6" s="1"/>
  <c r="AE192" i="6"/>
  <c r="AF192" i="6" s="1"/>
  <c r="AE191" i="6"/>
  <c r="AF191" i="6" s="1"/>
  <c r="AE190" i="6"/>
  <c r="AF190" i="6" s="1"/>
  <c r="AE189" i="6"/>
  <c r="AF189" i="6" s="1"/>
  <c r="AF188" i="6"/>
  <c r="AG188" i="6" s="1"/>
  <c r="AE188" i="6"/>
  <c r="AE182" i="6"/>
  <c r="AF182" i="6" s="1"/>
  <c r="AE181" i="6"/>
  <c r="AF181" i="6" s="1"/>
  <c r="AE180" i="6"/>
  <c r="AF180" i="6" s="1"/>
  <c r="AE179" i="6"/>
  <c r="AF179" i="6" s="1"/>
  <c r="AE178" i="6"/>
  <c r="AF178" i="6" s="1"/>
  <c r="AE177" i="6"/>
  <c r="AF177" i="6" s="1"/>
  <c r="AE176" i="6"/>
  <c r="AF176" i="6" s="1"/>
  <c r="AE175" i="6"/>
  <c r="AF175" i="6" s="1"/>
  <c r="AE174" i="6"/>
  <c r="AF174" i="6" s="1"/>
  <c r="AF173" i="6"/>
  <c r="AG173" i="6" s="1"/>
  <c r="AE173" i="6"/>
  <c r="AE167" i="6"/>
  <c r="AF167" i="6" s="1"/>
  <c r="AE166" i="6"/>
  <c r="AF166" i="6" s="1"/>
  <c r="AE165" i="6"/>
  <c r="AF165" i="6" s="1"/>
  <c r="AE164" i="6"/>
  <c r="AF164" i="6" s="1"/>
  <c r="AE163" i="6"/>
  <c r="AF163" i="6" s="1"/>
  <c r="AE162" i="6"/>
  <c r="AF162" i="6" s="1"/>
  <c r="AE161" i="6"/>
  <c r="AF161" i="6" s="1"/>
  <c r="AE160" i="6"/>
  <c r="AF160" i="6" s="1"/>
  <c r="AE159" i="6"/>
  <c r="AF159" i="6" s="1"/>
  <c r="AE158" i="6"/>
  <c r="AF158" i="6" s="1"/>
  <c r="AG158" i="6" s="1"/>
  <c r="AE152" i="6"/>
  <c r="AF152" i="6" s="1"/>
  <c r="AE151" i="6"/>
  <c r="AF151" i="6" s="1"/>
  <c r="AF150" i="6"/>
  <c r="AE150" i="6"/>
  <c r="AE149" i="6"/>
  <c r="AF149" i="6" s="1"/>
  <c r="AE148" i="6"/>
  <c r="AF148" i="6" s="1"/>
  <c r="AE147" i="6"/>
  <c r="AF147" i="6" s="1"/>
  <c r="AF146" i="6"/>
  <c r="AE146" i="6"/>
  <c r="AE145" i="6"/>
  <c r="AF145" i="6" s="1"/>
  <c r="AE144" i="6"/>
  <c r="AF144" i="6" s="1"/>
  <c r="AE143" i="6"/>
  <c r="AF143" i="6" s="1"/>
  <c r="AE136" i="6"/>
  <c r="AF136" i="6" s="1"/>
  <c r="AE135" i="6"/>
  <c r="AF135" i="6" s="1"/>
  <c r="AE134" i="6"/>
  <c r="AF134" i="6" s="1"/>
  <c r="AF133" i="6"/>
  <c r="AE133" i="6"/>
  <c r="AE132" i="6"/>
  <c r="AF132" i="6" s="1"/>
  <c r="AE131" i="6"/>
  <c r="AF131" i="6" s="1"/>
  <c r="AE130" i="6"/>
  <c r="AF130" i="6" s="1"/>
  <c r="AF129" i="6"/>
  <c r="AE129" i="6"/>
  <c r="AE128" i="6"/>
  <c r="AF128" i="6" s="1"/>
  <c r="AF127" i="6"/>
  <c r="AE127" i="6"/>
  <c r="AE121" i="6"/>
  <c r="AF121" i="6" s="1"/>
  <c r="AE120" i="6"/>
  <c r="AF120" i="6" s="1"/>
  <c r="AE119" i="6"/>
  <c r="AF119" i="6" s="1"/>
  <c r="AE118" i="6"/>
  <c r="AF118" i="6" s="1"/>
  <c r="AE117" i="6"/>
  <c r="AF117" i="6" s="1"/>
  <c r="AE116" i="6"/>
  <c r="AF116" i="6" s="1"/>
  <c r="AE115" i="6"/>
  <c r="AF115" i="6" s="1"/>
  <c r="AE114" i="6"/>
  <c r="AF114" i="6" s="1"/>
  <c r="AE113" i="6"/>
  <c r="AF113" i="6" s="1"/>
  <c r="AF112" i="6"/>
  <c r="AE112" i="6"/>
  <c r="AE106" i="6"/>
  <c r="AF106" i="6" s="1"/>
  <c r="AE105" i="6"/>
  <c r="AF105" i="6" s="1"/>
  <c r="AF104" i="6"/>
  <c r="AE104" i="6"/>
  <c r="AE103" i="6"/>
  <c r="AF103" i="6" s="1"/>
  <c r="AE102" i="6"/>
  <c r="AF102" i="6" s="1"/>
  <c r="AE101" i="6"/>
  <c r="AF101" i="6" s="1"/>
  <c r="AF100" i="6"/>
  <c r="AE100" i="6"/>
  <c r="AE99" i="6"/>
  <c r="AF99" i="6" s="1"/>
  <c r="AE98" i="6"/>
  <c r="AF98" i="6" s="1"/>
  <c r="AE97" i="6"/>
  <c r="AF97" i="6" s="1"/>
  <c r="AE91" i="6"/>
  <c r="AF91" i="6" s="1"/>
  <c r="AE90" i="6"/>
  <c r="AF90" i="6" s="1"/>
  <c r="AE89" i="6"/>
  <c r="AF89" i="6" s="1"/>
  <c r="AE88" i="6"/>
  <c r="AF88" i="6" s="1"/>
  <c r="AE87" i="6"/>
  <c r="AF87" i="6" s="1"/>
  <c r="AE86" i="6"/>
  <c r="AF86" i="6" s="1"/>
  <c r="AE85" i="6"/>
  <c r="AF85" i="6" s="1"/>
  <c r="AE84" i="6"/>
  <c r="AF84" i="6" s="1"/>
  <c r="AE83" i="6"/>
  <c r="AF83" i="6" s="1"/>
  <c r="AE82" i="6"/>
  <c r="AF82" i="6" s="1"/>
  <c r="AG82" i="6" s="1"/>
  <c r="AE76" i="6"/>
  <c r="AF76" i="6" s="1"/>
  <c r="AF75" i="6"/>
  <c r="AE75" i="6"/>
  <c r="AF74" i="6"/>
  <c r="AE74" i="6"/>
  <c r="AF73" i="6"/>
  <c r="AE73" i="6"/>
  <c r="AE72" i="6"/>
  <c r="AF72" i="6" s="1"/>
  <c r="AF71" i="6"/>
  <c r="AE71" i="6"/>
  <c r="AF70" i="6"/>
  <c r="AE70" i="6"/>
  <c r="AF69" i="6"/>
  <c r="AE69" i="6"/>
  <c r="AE68" i="6"/>
  <c r="AF68" i="6" s="1"/>
  <c r="AE67" i="6"/>
  <c r="AF67" i="6" s="1"/>
  <c r="AE61" i="6"/>
  <c r="AF61" i="6" s="1"/>
  <c r="AE60" i="6"/>
  <c r="AF60" i="6" s="1"/>
  <c r="AE59" i="6"/>
  <c r="AF59" i="6" s="1"/>
  <c r="AE58" i="6"/>
  <c r="AF58" i="6" s="1"/>
  <c r="AE57" i="6"/>
  <c r="AF57" i="6" s="1"/>
  <c r="AE56" i="6"/>
  <c r="AF56" i="6" s="1"/>
  <c r="AE55" i="6"/>
  <c r="AF55" i="6" s="1"/>
  <c r="AE54" i="6"/>
  <c r="AF54" i="6" s="1"/>
  <c r="AE53" i="6"/>
  <c r="AF53" i="6" s="1"/>
  <c r="AF52" i="6"/>
  <c r="AG52" i="6" s="1"/>
  <c r="AE52" i="6"/>
  <c r="AE46" i="6"/>
  <c r="AF46" i="6" s="1"/>
  <c r="AE45" i="6"/>
  <c r="AF45" i="6" s="1"/>
  <c r="AE44" i="6"/>
  <c r="AF44" i="6" s="1"/>
  <c r="AE43" i="6"/>
  <c r="AF43" i="6" s="1"/>
  <c r="AE42" i="6"/>
  <c r="AF42" i="6" s="1"/>
  <c r="AE41" i="6"/>
  <c r="AF41" i="6" s="1"/>
  <c r="AE40" i="6"/>
  <c r="AF40" i="6" s="1"/>
  <c r="AE39" i="6"/>
  <c r="AF39" i="6" s="1"/>
  <c r="AE38" i="6"/>
  <c r="AF38" i="6" s="1"/>
  <c r="AF37" i="6"/>
  <c r="AE37" i="6"/>
  <c r="AE31" i="6"/>
  <c r="AF31" i="6" s="1"/>
  <c r="AE30" i="6"/>
  <c r="AF30" i="6" s="1"/>
  <c r="AE29" i="6"/>
  <c r="AF29" i="6" s="1"/>
  <c r="AE28" i="6"/>
  <c r="AF28" i="6" s="1"/>
  <c r="AE27" i="6"/>
  <c r="AF27" i="6" s="1"/>
  <c r="AE26" i="6"/>
  <c r="AF26" i="6" s="1"/>
  <c r="AE25" i="6"/>
  <c r="AF25" i="6" s="1"/>
  <c r="AE24" i="6"/>
  <c r="AF24" i="6" s="1"/>
  <c r="AE23" i="6"/>
  <c r="AF23" i="6" s="1"/>
  <c r="AF22" i="6"/>
  <c r="AE22" i="6"/>
  <c r="AG6" i="6"/>
  <c r="AF7" i="6"/>
  <c r="AF8" i="6"/>
  <c r="AF9" i="6"/>
  <c r="AF10" i="6"/>
  <c r="AF11" i="6"/>
  <c r="AF12" i="6"/>
  <c r="AF13" i="6"/>
  <c r="AF14" i="6"/>
  <c r="AF15" i="6"/>
  <c r="AF6" i="6"/>
  <c r="AE7" i="6"/>
  <c r="AE8" i="6"/>
  <c r="AE9" i="6"/>
  <c r="AE10" i="6"/>
  <c r="AE11" i="6"/>
  <c r="AE12" i="6"/>
  <c r="AE13" i="6"/>
  <c r="AE14" i="6"/>
  <c r="AE15" i="6"/>
  <c r="AA3" i="6"/>
  <c r="AA2" i="6"/>
  <c r="X3" i="6"/>
  <c r="X2" i="6"/>
  <c r="X63" i="2"/>
  <c r="N63" i="2" s="1"/>
  <c r="W63" i="2"/>
  <c r="K63" i="2" s="1"/>
  <c r="L63" i="2"/>
  <c r="J63" i="2"/>
  <c r="I63" i="2"/>
  <c r="H63" i="2"/>
  <c r="G63" i="2"/>
  <c r="X62" i="2"/>
  <c r="M62" i="2" s="1"/>
  <c r="W62" i="2"/>
  <c r="N62" i="2"/>
  <c r="L62" i="2"/>
  <c r="K62" i="2"/>
  <c r="J62" i="2"/>
  <c r="I62" i="2"/>
  <c r="H62" i="2"/>
  <c r="G62" i="2"/>
  <c r="X61" i="2"/>
  <c r="J61" i="2" s="1"/>
  <c r="W61" i="2"/>
  <c r="M61" i="2"/>
  <c r="L61" i="2"/>
  <c r="K61" i="2"/>
  <c r="H61" i="2"/>
  <c r="G61" i="2"/>
  <c r="X60" i="2"/>
  <c r="N60" i="2" s="1"/>
  <c r="W60" i="2"/>
  <c r="L60" i="2" s="1"/>
  <c r="J60" i="2"/>
  <c r="X59" i="2"/>
  <c r="N59" i="2" s="1"/>
  <c r="W59" i="2"/>
  <c r="K59" i="2" s="1"/>
  <c r="L59" i="2"/>
  <c r="I59" i="2"/>
  <c r="H59" i="2"/>
  <c r="G59" i="2"/>
  <c r="X58" i="2"/>
  <c r="M58" i="2" s="1"/>
  <c r="W58" i="2"/>
  <c r="N58" i="2"/>
  <c r="L58" i="2"/>
  <c r="K58" i="2"/>
  <c r="J58" i="2"/>
  <c r="I58" i="2"/>
  <c r="H58" i="2"/>
  <c r="G58" i="2"/>
  <c r="X57" i="2"/>
  <c r="J57" i="2" s="1"/>
  <c r="W57" i="2"/>
  <c r="M57" i="2"/>
  <c r="L57" i="2"/>
  <c r="K57" i="2"/>
  <c r="H57" i="2"/>
  <c r="G57" i="2"/>
  <c r="X56" i="2"/>
  <c r="I56" i="2" s="1"/>
  <c r="W56" i="2"/>
  <c r="L56" i="2" s="1"/>
  <c r="N56" i="2"/>
  <c r="M56" i="2"/>
  <c r="J56" i="2"/>
  <c r="X55" i="2"/>
  <c r="N55" i="2" s="1"/>
  <c r="W55" i="2"/>
  <c r="K55" i="2" s="1"/>
  <c r="L55" i="2"/>
  <c r="I55" i="2"/>
  <c r="H55" i="2"/>
  <c r="G55" i="2"/>
  <c r="X54" i="2"/>
  <c r="M54" i="2" s="1"/>
  <c r="W54" i="2"/>
  <c r="N54" i="2"/>
  <c r="L54" i="2"/>
  <c r="K54" i="2"/>
  <c r="J54" i="2"/>
  <c r="I54" i="2"/>
  <c r="H54" i="2"/>
  <c r="G54" i="2"/>
  <c r="X53" i="2"/>
  <c r="J53" i="2" s="1"/>
  <c r="W53" i="2"/>
  <c r="M53" i="2"/>
  <c r="L53" i="2"/>
  <c r="K53" i="2"/>
  <c r="H53" i="2"/>
  <c r="G53" i="2"/>
  <c r="X52" i="2"/>
  <c r="I52" i="2" s="1"/>
  <c r="W52" i="2"/>
  <c r="L52" i="2" s="1"/>
  <c r="N52" i="2"/>
  <c r="M52" i="2"/>
  <c r="J52" i="2"/>
  <c r="X51" i="2"/>
  <c r="N51" i="2" s="1"/>
  <c r="W51" i="2"/>
  <c r="L51" i="2" s="1"/>
  <c r="I51" i="2"/>
  <c r="H51" i="2"/>
  <c r="G51" i="2"/>
  <c r="X50" i="2"/>
  <c r="M50" i="2" s="1"/>
  <c r="W50" i="2"/>
  <c r="N50" i="2"/>
  <c r="L50" i="2"/>
  <c r="K50" i="2"/>
  <c r="J50" i="2"/>
  <c r="I50" i="2"/>
  <c r="H50" i="2"/>
  <c r="G50" i="2"/>
  <c r="X49" i="2"/>
  <c r="J49" i="2" s="1"/>
  <c r="W49" i="2"/>
  <c r="M49" i="2"/>
  <c r="L49" i="2"/>
  <c r="K49" i="2"/>
  <c r="H49" i="2"/>
  <c r="G49" i="2"/>
  <c r="X48" i="2"/>
  <c r="I48" i="2" s="1"/>
  <c r="W48" i="2"/>
  <c r="L48" i="2" s="1"/>
  <c r="N48" i="2"/>
  <c r="M48" i="2"/>
  <c r="J48" i="2"/>
  <c r="X47" i="2"/>
  <c r="N47" i="2" s="1"/>
  <c r="W47" i="2"/>
  <c r="G47" i="2" s="1"/>
  <c r="X46" i="2"/>
  <c r="M46" i="2" s="1"/>
  <c r="W46" i="2"/>
  <c r="N46" i="2"/>
  <c r="L46" i="2"/>
  <c r="K46" i="2"/>
  <c r="J46" i="2"/>
  <c r="I46" i="2"/>
  <c r="H46" i="2"/>
  <c r="G46" i="2"/>
  <c r="X45" i="2"/>
  <c r="J45" i="2" s="1"/>
  <c r="W45" i="2"/>
  <c r="M45" i="2"/>
  <c r="L45" i="2"/>
  <c r="K45" i="2"/>
  <c r="H45" i="2"/>
  <c r="G45" i="2"/>
  <c r="X44" i="2"/>
  <c r="I44" i="2" s="1"/>
  <c r="W44" i="2"/>
  <c r="L44" i="2" s="1"/>
  <c r="N44" i="2"/>
  <c r="M44" i="2"/>
  <c r="J44" i="2"/>
  <c r="A1232" i="1"/>
  <c r="A1222" i="1"/>
  <c r="Y94" i="2"/>
  <c r="AT2" i="6" l="1"/>
  <c r="AU2" i="6"/>
  <c r="AG500" i="6"/>
  <c r="AG485" i="6"/>
  <c r="AG470" i="6"/>
  <c r="AG439" i="6"/>
  <c r="AG424" i="6"/>
  <c r="AG407" i="6"/>
  <c r="AG390" i="6"/>
  <c r="AG373" i="6"/>
  <c r="AG358" i="6"/>
  <c r="AG343" i="6"/>
  <c r="AG326" i="6"/>
  <c r="AG311" i="6"/>
  <c r="AG263" i="6"/>
  <c r="AG247" i="6"/>
  <c r="AG202" i="6"/>
  <c r="AG143" i="6"/>
  <c r="AG127" i="6"/>
  <c r="AG112" i="6"/>
  <c r="AG97" i="6"/>
  <c r="AG67" i="6"/>
  <c r="AG37" i="6"/>
  <c r="AG22" i="6"/>
  <c r="I47" i="2"/>
  <c r="G48" i="2"/>
  <c r="N45" i="2"/>
  <c r="N49" i="2"/>
  <c r="J51" i="2"/>
  <c r="H52" i="2"/>
  <c r="N53" i="2"/>
  <c r="J55" i="2"/>
  <c r="H56" i="2"/>
  <c r="N57" i="2"/>
  <c r="J59" i="2"/>
  <c r="H60" i="2"/>
  <c r="N61" i="2"/>
  <c r="G44" i="2"/>
  <c r="G60" i="2"/>
  <c r="H44" i="2"/>
  <c r="J47" i="2"/>
  <c r="H48" i="2"/>
  <c r="K47" i="2"/>
  <c r="K51" i="2"/>
  <c r="I60" i="2"/>
  <c r="H47" i="2"/>
  <c r="G56" i="2"/>
  <c r="K44" i="2"/>
  <c r="I45" i="2"/>
  <c r="M47" i="2"/>
  <c r="K48" i="2"/>
  <c r="I49" i="2"/>
  <c r="M51" i="2"/>
  <c r="K52" i="2"/>
  <c r="I53" i="2"/>
  <c r="M55" i="2"/>
  <c r="K56" i="2"/>
  <c r="I57" i="2"/>
  <c r="M59" i="2"/>
  <c r="K60" i="2"/>
  <c r="I61" i="2"/>
  <c r="M63" i="2"/>
  <c r="G52" i="2"/>
  <c r="G19" i="2" s="1"/>
  <c r="L47" i="2"/>
  <c r="M60" i="2"/>
  <c r="K19" i="2"/>
  <c r="M15" i="2"/>
  <c r="M19" i="2"/>
  <c r="H15" i="2"/>
  <c r="H19" i="2"/>
  <c r="G20" i="2"/>
  <c r="K15" i="2"/>
  <c r="G15" i="2"/>
  <c r="Y63" i="2"/>
  <c r="I41" i="2"/>
  <c r="C4" i="4"/>
  <c r="E7" i="6"/>
  <c r="E41" i="5" s="1"/>
  <c r="E8" i="6"/>
  <c r="E9" i="6"/>
  <c r="E107" i="5" s="1"/>
  <c r="E10" i="6"/>
  <c r="E140" i="5" s="1"/>
  <c r="E11" i="6"/>
  <c r="E173" i="5" s="1"/>
  <c r="E12" i="6"/>
  <c r="E206" i="5" s="1"/>
  <c r="E13" i="6"/>
  <c r="E239" i="5" s="1"/>
  <c r="E14" i="6"/>
  <c r="E272" i="5" s="1"/>
  <c r="E15" i="6"/>
  <c r="E305" i="5" s="1"/>
  <c r="E6" i="6"/>
  <c r="E8" i="5" s="1"/>
  <c r="D7" i="6"/>
  <c r="D41" i="5" s="1"/>
  <c r="D8" i="6"/>
  <c r="D74" i="5" s="1"/>
  <c r="D9" i="6"/>
  <c r="D10" i="6"/>
  <c r="D11" i="6"/>
  <c r="D173" i="5" s="1"/>
  <c r="D12" i="6"/>
  <c r="D13" i="6"/>
  <c r="D239" i="5" s="1"/>
  <c r="D14" i="6"/>
  <c r="D15" i="6"/>
  <c r="D305" i="5" s="1"/>
  <c r="D6" i="6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3" i="1"/>
  <c r="A1224" i="1"/>
  <c r="A1225" i="1"/>
  <c r="A1226" i="1"/>
  <c r="A1227" i="1"/>
  <c r="A1228" i="1"/>
  <c r="A1229" i="1"/>
  <c r="A1230" i="1"/>
  <c r="A1231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N7" i="7"/>
  <c r="A1143" i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8" i="7"/>
  <c r="L20" i="2"/>
  <c r="L19" i="2"/>
  <c r="L15" i="2"/>
  <c r="K20" i="2"/>
  <c r="H20" i="2"/>
  <c r="G94" i="2"/>
  <c r="X94" i="2"/>
  <c r="N94" i="2" s="1"/>
  <c r="W94" i="2"/>
  <c r="L94" i="2" s="1"/>
  <c r="I93" i="2"/>
  <c r="X93" i="2"/>
  <c r="N93" i="2" s="1"/>
  <c r="W93" i="2"/>
  <c r="H93" i="2" s="1"/>
  <c r="L92" i="2"/>
  <c r="K92" i="2"/>
  <c r="J92" i="2"/>
  <c r="I92" i="2"/>
  <c r="H92" i="2"/>
  <c r="X92" i="2"/>
  <c r="N92" i="2" s="1"/>
  <c r="W92" i="2"/>
  <c r="G92" i="2" s="1"/>
  <c r="X91" i="2"/>
  <c r="M91" i="2" s="1"/>
  <c r="W91" i="2"/>
  <c r="L91" i="2" s="1"/>
  <c r="M90" i="2"/>
  <c r="I90" i="2"/>
  <c r="X90" i="2"/>
  <c r="N90" i="2" s="1"/>
  <c r="W90" i="2"/>
  <c r="H90" i="2" s="1"/>
  <c r="K89" i="2"/>
  <c r="J89" i="2"/>
  <c r="I89" i="2"/>
  <c r="H89" i="2"/>
  <c r="G89" i="2"/>
  <c r="X89" i="2"/>
  <c r="N89" i="2" s="1"/>
  <c r="W89" i="2"/>
  <c r="L89" i="2" s="1"/>
  <c r="J88" i="2"/>
  <c r="X88" i="2"/>
  <c r="M88" i="2" s="1"/>
  <c r="W88" i="2"/>
  <c r="L88" i="2" s="1"/>
  <c r="L87" i="2"/>
  <c r="H87" i="2"/>
  <c r="G87" i="2"/>
  <c r="X87" i="2"/>
  <c r="N87" i="2" s="1"/>
  <c r="W87" i="2"/>
  <c r="K87" i="2" s="1"/>
  <c r="K86" i="2"/>
  <c r="J86" i="2"/>
  <c r="I86" i="2"/>
  <c r="H86" i="2"/>
  <c r="G86" i="2"/>
  <c r="X86" i="2"/>
  <c r="N86" i="2" s="1"/>
  <c r="W86" i="2"/>
  <c r="L86" i="2" s="1"/>
  <c r="M85" i="2"/>
  <c r="J85" i="2"/>
  <c r="I85" i="2"/>
  <c r="X85" i="2"/>
  <c r="N85" i="2" s="1"/>
  <c r="W85" i="2"/>
  <c r="L85" i="2" s="1"/>
  <c r="M84" i="2"/>
  <c r="K84" i="2"/>
  <c r="X84" i="2"/>
  <c r="N84" i="2" s="1"/>
  <c r="W84" i="2"/>
  <c r="L84" i="2" s="1"/>
  <c r="M83" i="2"/>
  <c r="I83" i="2"/>
  <c r="X83" i="2"/>
  <c r="N83" i="2" s="1"/>
  <c r="W83" i="2"/>
  <c r="H83" i="2" s="1"/>
  <c r="L82" i="2"/>
  <c r="K82" i="2"/>
  <c r="J82" i="2"/>
  <c r="I82" i="2"/>
  <c r="H82" i="2"/>
  <c r="X82" i="2"/>
  <c r="N82" i="2" s="1"/>
  <c r="W82" i="2"/>
  <c r="G82" i="2" s="1"/>
  <c r="L81" i="2"/>
  <c r="J81" i="2"/>
  <c r="X81" i="2"/>
  <c r="M81" i="2" s="1"/>
  <c r="W81" i="2"/>
  <c r="K81" i="2" s="1"/>
  <c r="M80" i="2"/>
  <c r="I80" i="2"/>
  <c r="X80" i="2"/>
  <c r="N80" i="2" s="1"/>
  <c r="W80" i="2"/>
  <c r="H80" i="2" s="1"/>
  <c r="M79" i="2"/>
  <c r="K79" i="2"/>
  <c r="J79" i="2"/>
  <c r="I79" i="2"/>
  <c r="H79" i="2"/>
  <c r="G79" i="2"/>
  <c r="X79" i="2"/>
  <c r="N79" i="2" s="1"/>
  <c r="W79" i="2"/>
  <c r="L79" i="2" s="1"/>
  <c r="L78" i="2"/>
  <c r="J78" i="2"/>
  <c r="X78" i="2"/>
  <c r="M78" i="2" s="1"/>
  <c r="W78" i="2"/>
  <c r="K78" i="2" s="1"/>
  <c r="L77" i="2"/>
  <c r="X77" i="2"/>
  <c r="M77" i="2" s="1"/>
  <c r="W77" i="2"/>
  <c r="G77" i="2" s="1"/>
  <c r="M76" i="2"/>
  <c r="K76" i="2"/>
  <c r="J76" i="2"/>
  <c r="I76" i="2"/>
  <c r="H76" i="2"/>
  <c r="G76" i="2"/>
  <c r="X76" i="2"/>
  <c r="N76" i="2" s="1"/>
  <c r="W76" i="2"/>
  <c r="L76" i="2" s="1"/>
  <c r="M75" i="2"/>
  <c r="K75" i="2"/>
  <c r="J75" i="2"/>
  <c r="I75" i="2"/>
  <c r="X75" i="2"/>
  <c r="N75" i="2" s="1"/>
  <c r="W75" i="2"/>
  <c r="H75" i="2" s="1"/>
  <c r="N19" i="2"/>
  <c r="N15" i="2"/>
  <c r="M20" i="2"/>
  <c r="D239" i="3"/>
  <c r="E206" i="3"/>
  <c r="D206" i="3"/>
  <c r="E173" i="3"/>
  <c r="D173" i="3"/>
  <c r="E140" i="3"/>
  <c r="D140" i="3"/>
  <c r="E107" i="3"/>
  <c r="D107" i="3"/>
  <c r="E74" i="3"/>
  <c r="D74" i="3"/>
  <c r="E41" i="3"/>
  <c r="D41" i="3"/>
  <c r="E8" i="3"/>
  <c r="D8" i="3"/>
  <c r="E239" i="3"/>
  <c r="E272" i="3"/>
  <c r="D272" i="3"/>
  <c r="E305" i="3"/>
  <c r="D305" i="3"/>
  <c r="C12" i="6" l="1"/>
  <c r="M12" i="6" s="1"/>
  <c r="P12" i="6" s="1"/>
  <c r="D206" i="5"/>
  <c r="C7" i="6"/>
  <c r="C9" i="6"/>
  <c r="M9" i="6" s="1"/>
  <c r="P9" i="6" s="1"/>
  <c r="C8" i="6"/>
  <c r="C15" i="6"/>
  <c r="M15" i="6" s="1"/>
  <c r="P15" i="6" s="1"/>
  <c r="E74" i="5"/>
  <c r="D107" i="5"/>
  <c r="C11" i="6"/>
  <c r="C10" i="6"/>
  <c r="I4" i="2"/>
  <c r="K25" i="2" s="1"/>
  <c r="K30" i="2"/>
  <c r="H14" i="2"/>
  <c r="H28" i="2"/>
  <c r="N27" i="2"/>
  <c r="N24" i="2"/>
  <c r="M16" i="2"/>
  <c r="N26" i="2"/>
  <c r="M22" i="2"/>
  <c r="M14" i="2"/>
  <c r="M13" i="2"/>
  <c r="N28" i="2"/>
  <c r="N25" i="2"/>
  <c r="L24" i="2"/>
  <c r="L17" i="2"/>
  <c r="L27" i="2"/>
  <c r="L18" i="2"/>
  <c r="H27" i="2"/>
  <c r="K27" i="2"/>
  <c r="K16" i="2"/>
  <c r="L23" i="2"/>
  <c r="L21" i="2"/>
  <c r="G12" i="2"/>
  <c r="H23" i="2"/>
  <c r="H12" i="2"/>
  <c r="K23" i="2"/>
  <c r="L28" i="2"/>
  <c r="L16" i="2"/>
  <c r="K13" i="2"/>
  <c r="L25" i="2"/>
  <c r="L14" i="2"/>
  <c r="K18" i="2"/>
  <c r="L29" i="2"/>
  <c r="C14" i="6"/>
  <c r="C13" i="6"/>
  <c r="D140" i="5"/>
  <c r="D272" i="5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N12" i="2"/>
  <c r="N20" i="2"/>
  <c r="N29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N22" i="2"/>
  <c r="M28" i="2"/>
  <c r="M30" i="2"/>
  <c r="G80" i="2"/>
  <c r="N88" i="2"/>
  <c r="N91" i="2"/>
  <c r="I77" i="2"/>
  <c r="G78" i="2"/>
  <c r="J80" i="2"/>
  <c r="G81" i="2"/>
  <c r="M82" i="2"/>
  <c r="J83" i="2"/>
  <c r="H84" i="2"/>
  <c r="I87" i="2"/>
  <c r="G88" i="2"/>
  <c r="J90" i="2"/>
  <c r="G91" i="2"/>
  <c r="M92" i="2"/>
  <c r="J93" i="2"/>
  <c r="H94" i="2"/>
  <c r="L75" i="2"/>
  <c r="H77" i="2"/>
  <c r="G84" i="2"/>
  <c r="G75" i="2"/>
  <c r="J77" i="2"/>
  <c r="H78" i="2"/>
  <c r="K80" i="2"/>
  <c r="H81" i="2"/>
  <c r="K83" i="2"/>
  <c r="I84" i="2"/>
  <c r="G85" i="2"/>
  <c r="M86" i="2"/>
  <c r="J87" i="2"/>
  <c r="H88" i="2"/>
  <c r="M89" i="2"/>
  <c r="K90" i="2"/>
  <c r="H91" i="2"/>
  <c r="K93" i="2"/>
  <c r="I94" i="2"/>
  <c r="N77" i="2"/>
  <c r="N78" i="2"/>
  <c r="N81" i="2"/>
  <c r="K77" i="2"/>
  <c r="I78" i="2"/>
  <c r="L80" i="2"/>
  <c r="I81" i="2"/>
  <c r="L83" i="2"/>
  <c r="J84" i="2"/>
  <c r="H85" i="2"/>
  <c r="I88" i="2"/>
  <c r="L90" i="2"/>
  <c r="I91" i="2"/>
  <c r="L93" i="2"/>
  <c r="J94" i="2"/>
  <c r="J91" i="2"/>
  <c r="M93" i="2"/>
  <c r="K94" i="2"/>
  <c r="M87" i="2"/>
  <c r="K88" i="2"/>
  <c r="K91" i="2"/>
  <c r="G83" i="2"/>
  <c r="K85" i="2"/>
  <c r="G90" i="2"/>
  <c r="G93" i="2"/>
  <c r="M94" i="2"/>
  <c r="B46" i="2"/>
  <c r="O44" i="2" s="1"/>
  <c r="B58" i="2"/>
  <c r="T46" i="2" s="1"/>
  <c r="B56" i="2"/>
  <c r="S51" i="2" s="1"/>
  <c r="B48" i="2"/>
  <c r="P49" i="2" s="1"/>
  <c r="B60" i="2"/>
  <c r="U51" i="2" s="1"/>
  <c r="M21" i="2" l="1"/>
  <c r="N16" i="2"/>
  <c r="H11" i="2"/>
  <c r="G17" i="2"/>
  <c r="M29" i="2"/>
  <c r="M23" i="2"/>
  <c r="M11" i="2"/>
  <c r="K17" i="2"/>
  <c r="K14" i="2"/>
  <c r="M24" i="2"/>
  <c r="N21" i="2"/>
  <c r="G30" i="2"/>
  <c r="H25" i="2"/>
  <c r="H17" i="2"/>
  <c r="G11" i="2"/>
  <c r="N23" i="2"/>
  <c r="L11" i="2"/>
  <c r="G29" i="2"/>
  <c r="G25" i="2"/>
  <c r="L22" i="2"/>
  <c r="N18" i="2"/>
  <c r="N30" i="2"/>
  <c r="N14" i="2"/>
  <c r="K22" i="2"/>
  <c r="G18" i="2"/>
  <c r="M26" i="2"/>
  <c r="G27" i="2"/>
  <c r="K12" i="6"/>
  <c r="N12" i="6" s="1"/>
  <c r="S12" i="6"/>
  <c r="L12" i="6"/>
  <c r="O12" i="6" s="1"/>
  <c r="T12" i="6"/>
  <c r="K9" i="6"/>
  <c r="N9" i="6" s="1"/>
  <c r="M8" i="6"/>
  <c r="P8" i="6" s="1"/>
  <c r="T8" i="6"/>
  <c r="S8" i="6"/>
  <c r="L9" i="6"/>
  <c r="O9" i="6" s="1"/>
  <c r="T9" i="6"/>
  <c r="S9" i="6"/>
  <c r="K7" i="6"/>
  <c r="N7" i="6" s="1"/>
  <c r="S7" i="6"/>
  <c r="T7" i="6"/>
  <c r="S15" i="6"/>
  <c r="T15" i="6"/>
  <c r="M13" i="6"/>
  <c r="P13" i="6" s="1"/>
  <c r="S13" i="6"/>
  <c r="T13" i="6"/>
  <c r="M10" i="6"/>
  <c r="P10" i="6" s="1"/>
  <c r="T10" i="6"/>
  <c r="S10" i="6"/>
  <c r="M14" i="6"/>
  <c r="P14" i="6" s="1"/>
  <c r="S14" i="6"/>
  <c r="T14" i="6"/>
  <c r="K11" i="6"/>
  <c r="N11" i="6" s="1"/>
  <c r="T11" i="6"/>
  <c r="S11" i="6"/>
  <c r="L11" i="6"/>
  <c r="O11" i="6" s="1"/>
  <c r="L8" i="6"/>
  <c r="O8" i="6" s="1"/>
  <c r="L10" i="6"/>
  <c r="O10" i="6" s="1"/>
  <c r="K8" i="6"/>
  <c r="N8" i="6" s="1"/>
  <c r="L15" i="6"/>
  <c r="O15" i="6" s="1"/>
  <c r="K15" i="6"/>
  <c r="N15" i="6" s="1"/>
  <c r="M7" i="6"/>
  <c r="P7" i="6" s="1"/>
  <c r="L7" i="6"/>
  <c r="O7" i="6" s="1"/>
  <c r="M11" i="6"/>
  <c r="P11" i="6" s="1"/>
  <c r="K13" i="6"/>
  <c r="N13" i="6" s="1"/>
  <c r="K10" i="6"/>
  <c r="N10" i="6" s="1"/>
  <c r="L13" i="6"/>
  <c r="O13" i="6" s="1"/>
  <c r="L14" i="6"/>
  <c r="O14" i="6" s="1"/>
  <c r="K14" i="6"/>
  <c r="N14" i="6" s="1"/>
  <c r="G16" i="2"/>
  <c r="M18" i="2"/>
  <c r="G28" i="2"/>
  <c r="H24" i="2"/>
  <c r="H22" i="2"/>
  <c r="H21" i="2"/>
  <c r="G23" i="2"/>
  <c r="G13" i="2"/>
  <c r="K26" i="2"/>
  <c r="L12" i="2"/>
  <c r="H16" i="2"/>
  <c r="K24" i="2"/>
  <c r="H13" i="2"/>
  <c r="K12" i="2"/>
  <c r="L26" i="2"/>
  <c r="G14" i="2"/>
  <c r="H18" i="2"/>
  <c r="L30" i="2"/>
  <c r="G22" i="2"/>
  <c r="M12" i="2"/>
  <c r="M27" i="2"/>
  <c r="N11" i="2"/>
  <c r="K11" i="2"/>
  <c r="H29" i="2"/>
  <c r="H26" i="2"/>
  <c r="K29" i="2"/>
  <c r="K28" i="2"/>
  <c r="H30" i="2"/>
  <c r="L13" i="2"/>
  <c r="M25" i="2"/>
  <c r="N13" i="2"/>
  <c r="M17" i="2"/>
  <c r="N17" i="2"/>
  <c r="G21" i="2"/>
  <c r="K21" i="2"/>
  <c r="G26" i="2"/>
  <c r="G24" i="2"/>
  <c r="U47" i="2"/>
  <c r="P57" i="2"/>
  <c r="O49" i="2"/>
  <c r="T49" i="2"/>
  <c r="S53" i="2"/>
  <c r="P47" i="2"/>
  <c r="T60" i="2"/>
  <c r="O60" i="2"/>
  <c r="U58" i="2"/>
  <c r="B62" i="2"/>
  <c r="V49" i="2" s="1"/>
  <c r="B52" i="2"/>
  <c r="R46" i="2" s="1"/>
  <c r="B50" i="2"/>
  <c r="Q48" i="2" s="1"/>
  <c r="U56" i="2"/>
  <c r="U46" i="2"/>
  <c r="T59" i="2"/>
  <c r="T48" i="2"/>
  <c r="S63" i="2"/>
  <c r="S52" i="2"/>
  <c r="P56" i="2"/>
  <c r="P46" i="2"/>
  <c r="O59" i="2"/>
  <c r="O48" i="2"/>
  <c r="U55" i="2"/>
  <c r="U45" i="2"/>
  <c r="T57" i="2"/>
  <c r="T47" i="2"/>
  <c r="S61" i="2"/>
  <c r="P55" i="2"/>
  <c r="P44" i="2"/>
  <c r="O57" i="2"/>
  <c r="O46" i="2"/>
  <c r="S46" i="2"/>
  <c r="S54" i="2"/>
  <c r="S62" i="2"/>
  <c r="S49" i="2"/>
  <c r="S57" i="2"/>
  <c r="U53" i="2"/>
  <c r="U44" i="2"/>
  <c r="T56" i="2"/>
  <c r="S60" i="2"/>
  <c r="S50" i="2"/>
  <c r="P54" i="2"/>
  <c r="O56" i="2"/>
  <c r="O45" i="2"/>
  <c r="T50" i="2"/>
  <c r="T58" i="2"/>
  <c r="T53" i="2"/>
  <c r="T61" i="2"/>
  <c r="U63" i="2"/>
  <c r="U52" i="2"/>
  <c r="T55" i="2"/>
  <c r="T45" i="2"/>
  <c r="S59" i="2"/>
  <c r="S48" i="2"/>
  <c r="P63" i="2"/>
  <c r="P52" i="2"/>
  <c r="O54" i="2"/>
  <c r="O47" i="2"/>
  <c r="O55" i="2"/>
  <c r="O63" i="2"/>
  <c r="O50" i="2"/>
  <c r="O58" i="2"/>
  <c r="U61" i="2"/>
  <c r="T54" i="2"/>
  <c r="T44" i="2"/>
  <c r="S58" i="2"/>
  <c r="S47" i="2"/>
  <c r="P62" i="2"/>
  <c r="P51" i="2"/>
  <c r="O53" i="2"/>
  <c r="U54" i="2"/>
  <c r="U62" i="2"/>
  <c r="U49" i="2"/>
  <c r="U57" i="2"/>
  <c r="U60" i="2"/>
  <c r="U50" i="2"/>
  <c r="T63" i="2"/>
  <c r="T52" i="2"/>
  <c r="S56" i="2"/>
  <c r="S45" i="2"/>
  <c r="P60" i="2"/>
  <c r="O62" i="2"/>
  <c r="O52" i="2"/>
  <c r="P50" i="2"/>
  <c r="P58" i="2"/>
  <c r="P45" i="2"/>
  <c r="P53" i="2"/>
  <c r="P61" i="2"/>
  <c r="U59" i="2"/>
  <c r="U48" i="2"/>
  <c r="T62" i="2"/>
  <c r="T51" i="2"/>
  <c r="S55" i="2"/>
  <c r="S44" i="2"/>
  <c r="P59" i="2"/>
  <c r="P48" i="2"/>
  <c r="O61" i="2"/>
  <c r="O51" i="2"/>
  <c r="B81" i="2"/>
  <c r="B87" i="2"/>
  <c r="B77" i="2"/>
  <c r="B93" i="2"/>
  <c r="B83" i="2"/>
  <c r="B79" i="2"/>
  <c r="B89" i="2"/>
  <c r="B91" i="2"/>
  <c r="R12" i="6" l="1"/>
  <c r="R15" i="6"/>
  <c r="R9" i="6"/>
  <c r="R7" i="6"/>
  <c r="R14" i="6"/>
  <c r="R10" i="6"/>
  <c r="R11" i="6"/>
  <c r="R13" i="6"/>
  <c r="R8" i="6"/>
  <c r="Q61" i="2"/>
  <c r="Q52" i="2"/>
  <c r="R60" i="2"/>
  <c r="R52" i="2"/>
  <c r="V59" i="2"/>
  <c r="V52" i="2"/>
  <c r="V60" i="2"/>
  <c r="V61" i="2"/>
  <c r="V45" i="2"/>
  <c r="V47" i="2"/>
  <c r="V46" i="2"/>
  <c r="Q56" i="2"/>
  <c r="V51" i="2"/>
  <c r="V58" i="2"/>
  <c r="V56" i="2"/>
  <c r="V57" i="2"/>
  <c r="V55" i="2"/>
  <c r="V63" i="2"/>
  <c r="V54" i="2"/>
  <c r="V62" i="2"/>
  <c r="Q46" i="2"/>
  <c r="V44" i="2"/>
  <c r="Q50" i="2"/>
  <c r="Q54" i="2"/>
  <c r="Q49" i="2"/>
  <c r="Q58" i="2"/>
  <c r="Q62" i="2"/>
  <c r="Q57" i="2"/>
  <c r="Q47" i="2"/>
  <c r="Q60" i="2"/>
  <c r="Q55" i="2"/>
  <c r="Q63" i="2"/>
  <c r="R57" i="2"/>
  <c r="Q53" i="2"/>
  <c r="R63" i="2"/>
  <c r="R48" i="2"/>
  <c r="R51" i="2"/>
  <c r="R59" i="2"/>
  <c r="R62" i="2"/>
  <c r="R45" i="2"/>
  <c r="R58" i="2"/>
  <c r="V48" i="2"/>
  <c r="R50" i="2"/>
  <c r="R54" i="2"/>
  <c r="R44" i="2"/>
  <c r="R47" i="2"/>
  <c r="V50" i="2"/>
  <c r="Q44" i="2"/>
  <c r="Q59" i="2"/>
  <c r="Q51" i="2"/>
  <c r="R56" i="2"/>
  <c r="R55" i="2"/>
  <c r="R61" i="2"/>
  <c r="Q45" i="2"/>
  <c r="R49" i="2"/>
  <c r="V53" i="2"/>
  <c r="R53" i="2"/>
  <c r="B23" i="2"/>
  <c r="S19" i="2" s="1"/>
  <c r="B29" i="2"/>
  <c r="V29" i="2" s="1"/>
  <c r="B25" i="2"/>
  <c r="B13" i="2"/>
  <c r="B27" i="2"/>
  <c r="B19" i="2"/>
  <c r="B17" i="2"/>
  <c r="B15" i="2"/>
  <c r="V13" i="2" l="1"/>
  <c r="V11" i="2"/>
  <c r="V18" i="2"/>
  <c r="S29" i="2"/>
  <c r="S20" i="2"/>
  <c r="V30" i="2"/>
  <c r="V93" i="2"/>
  <c r="V83" i="2"/>
  <c r="V86" i="2"/>
  <c r="V75" i="2"/>
  <c r="V94" i="2"/>
  <c r="V85" i="2"/>
  <c r="V80" i="2"/>
  <c r="V79" i="2"/>
  <c r="V76" i="2"/>
  <c r="V82" i="2"/>
  <c r="V90" i="2"/>
  <c r="V84" i="2"/>
  <c r="V87" i="2"/>
  <c r="V89" i="2"/>
  <c r="V92" i="2"/>
  <c r="V78" i="2"/>
  <c r="V77" i="2"/>
  <c r="V81" i="2"/>
  <c r="V91" i="2"/>
  <c r="V88" i="2"/>
  <c r="S12" i="2"/>
  <c r="V23" i="2"/>
  <c r="V26" i="2"/>
  <c r="S15" i="2"/>
  <c r="V12" i="2"/>
  <c r="V17" i="2"/>
  <c r="Q90" i="2"/>
  <c r="Q86" i="2"/>
  <c r="Q83" i="2"/>
  <c r="Q82" i="2"/>
  <c r="Q79" i="2"/>
  <c r="Q75" i="2"/>
  <c r="Q93" i="2"/>
  <c r="Q85" i="2"/>
  <c r="Q80" i="2"/>
  <c r="Q76" i="2"/>
  <c r="Q92" i="2"/>
  <c r="Q89" i="2"/>
  <c r="Q84" i="2"/>
  <c r="Q87" i="2"/>
  <c r="Q78" i="2"/>
  <c r="Q77" i="2"/>
  <c r="Q81" i="2"/>
  <c r="Q94" i="2"/>
  <c r="Q91" i="2"/>
  <c r="Q88" i="2"/>
  <c r="V15" i="2"/>
  <c r="V19" i="2"/>
  <c r="V14" i="2"/>
  <c r="R75" i="2"/>
  <c r="R76" i="2"/>
  <c r="R92" i="2"/>
  <c r="R81" i="2"/>
  <c r="R78" i="2"/>
  <c r="R82" i="2"/>
  <c r="R86" i="2"/>
  <c r="R85" i="2"/>
  <c r="R89" i="2"/>
  <c r="R88" i="2"/>
  <c r="R79" i="2"/>
  <c r="R94" i="2"/>
  <c r="R83" i="2"/>
  <c r="R84" i="2"/>
  <c r="R91" i="2"/>
  <c r="R87" i="2"/>
  <c r="R77" i="2"/>
  <c r="R93" i="2"/>
  <c r="R80" i="2"/>
  <c r="R90" i="2"/>
  <c r="U91" i="2"/>
  <c r="U76" i="2"/>
  <c r="U88" i="2"/>
  <c r="U90" i="2"/>
  <c r="U77" i="2"/>
  <c r="U80" i="2"/>
  <c r="U84" i="2"/>
  <c r="U85" i="2"/>
  <c r="U75" i="2"/>
  <c r="U83" i="2"/>
  <c r="U78" i="2"/>
  <c r="U79" i="2"/>
  <c r="U81" i="2"/>
  <c r="U94" i="2"/>
  <c r="U93" i="2"/>
  <c r="U92" i="2"/>
  <c r="U89" i="2"/>
  <c r="U86" i="2"/>
  <c r="U82" i="2"/>
  <c r="U87" i="2"/>
  <c r="V25" i="2"/>
  <c r="V24" i="2"/>
  <c r="S21" i="2"/>
  <c r="S26" i="2"/>
  <c r="S22" i="2"/>
  <c r="S13" i="2"/>
  <c r="S18" i="2"/>
  <c r="S14" i="2"/>
  <c r="O11" i="2"/>
  <c r="O19" i="2"/>
  <c r="O79" i="2"/>
  <c r="O87" i="2"/>
  <c r="O77" i="2"/>
  <c r="O89" i="2"/>
  <c r="O82" i="2"/>
  <c r="O92" i="2"/>
  <c r="O94" i="2"/>
  <c r="O86" i="2"/>
  <c r="O76" i="2"/>
  <c r="O84" i="2"/>
  <c r="O93" i="2"/>
  <c r="O88" i="2"/>
  <c r="O78" i="2"/>
  <c r="O75" i="2"/>
  <c r="O90" i="2"/>
  <c r="O80" i="2"/>
  <c r="O91" i="2"/>
  <c r="O83" i="2"/>
  <c r="O81" i="2"/>
  <c r="O85" i="2"/>
  <c r="T81" i="2"/>
  <c r="T77" i="2"/>
  <c r="T76" i="2"/>
  <c r="T91" i="2"/>
  <c r="T85" i="2"/>
  <c r="T79" i="2"/>
  <c r="T84" i="2"/>
  <c r="T92" i="2"/>
  <c r="T88" i="2"/>
  <c r="T87" i="2"/>
  <c r="T89" i="2"/>
  <c r="T94" i="2"/>
  <c r="T82" i="2"/>
  <c r="T78" i="2"/>
  <c r="T86" i="2"/>
  <c r="T90" i="2"/>
  <c r="T83" i="2"/>
  <c r="T75" i="2"/>
  <c r="T80" i="2"/>
  <c r="T93" i="2"/>
  <c r="S82" i="2"/>
  <c r="S84" i="2"/>
  <c r="S86" i="2"/>
  <c r="S89" i="2"/>
  <c r="S87" i="2"/>
  <c r="S79" i="2"/>
  <c r="S92" i="2"/>
  <c r="S75" i="2"/>
  <c r="S76" i="2"/>
  <c r="S81" i="2"/>
  <c r="S78" i="2"/>
  <c r="S88" i="2"/>
  <c r="S94" i="2"/>
  <c r="S83" i="2"/>
  <c r="S77" i="2"/>
  <c r="S85" i="2"/>
  <c r="S80" i="2"/>
  <c r="S93" i="2"/>
  <c r="S91" i="2"/>
  <c r="S90" i="2"/>
  <c r="S27" i="2"/>
  <c r="S24" i="2"/>
  <c r="S30" i="2"/>
  <c r="S16" i="2"/>
  <c r="P87" i="2"/>
  <c r="P89" i="2"/>
  <c r="P83" i="2"/>
  <c r="P82" i="2"/>
  <c r="P79" i="2"/>
  <c r="P86" i="2"/>
  <c r="P80" i="2"/>
  <c r="P90" i="2"/>
  <c r="P93" i="2"/>
  <c r="P76" i="2"/>
  <c r="P75" i="2"/>
  <c r="P92" i="2"/>
  <c r="P91" i="2"/>
  <c r="P78" i="2"/>
  <c r="P84" i="2"/>
  <c r="P85" i="2"/>
  <c r="P81" i="2"/>
  <c r="P94" i="2"/>
  <c r="P77" i="2"/>
  <c r="P88" i="2"/>
  <c r="S25" i="2"/>
  <c r="S17" i="2"/>
  <c r="S11" i="2"/>
  <c r="S28" i="2"/>
  <c r="S23" i="2"/>
  <c r="V20" i="2"/>
  <c r="V27" i="2"/>
  <c r="V28" i="2"/>
  <c r="V16" i="2"/>
  <c r="V22" i="2"/>
  <c r="V21" i="2"/>
  <c r="T11" i="2"/>
  <c r="P22" i="2"/>
  <c r="P15" i="2"/>
  <c r="P24" i="2"/>
  <c r="P16" i="2"/>
  <c r="P25" i="2"/>
  <c r="P17" i="2"/>
  <c r="P26" i="2"/>
  <c r="P18" i="2"/>
  <c r="P27" i="2"/>
  <c r="P19" i="2"/>
  <c r="P28" i="2"/>
  <c r="P13" i="2"/>
  <c r="P30" i="2"/>
  <c r="P12" i="2"/>
  <c r="P20" i="2"/>
  <c r="P29" i="2"/>
  <c r="P21" i="2"/>
  <c r="P14" i="2"/>
  <c r="P23" i="2"/>
  <c r="U15" i="2"/>
  <c r="U23" i="2"/>
  <c r="U16" i="2"/>
  <c r="U24" i="2"/>
  <c r="U17" i="2"/>
  <c r="U25" i="2"/>
  <c r="U18" i="2"/>
  <c r="U26" i="2"/>
  <c r="U19" i="2"/>
  <c r="U27" i="2"/>
  <c r="U13" i="2"/>
  <c r="U29" i="2"/>
  <c r="U12" i="2"/>
  <c r="U20" i="2"/>
  <c r="U28" i="2"/>
  <c r="U21" i="2"/>
  <c r="U14" i="2"/>
  <c r="U22" i="2"/>
  <c r="U30" i="2"/>
  <c r="Q19" i="2"/>
  <c r="Q27" i="2"/>
  <c r="Q12" i="2"/>
  <c r="Q20" i="2"/>
  <c r="Q28" i="2"/>
  <c r="Q13" i="2"/>
  <c r="Q21" i="2"/>
  <c r="Q29" i="2"/>
  <c r="Q14" i="2"/>
  <c r="Q22" i="2"/>
  <c r="Q30" i="2"/>
  <c r="Q15" i="2"/>
  <c r="Q23" i="2"/>
  <c r="Q17" i="2"/>
  <c r="Q16" i="2"/>
  <c r="Q24" i="2"/>
  <c r="Q25" i="2"/>
  <c r="Q18" i="2"/>
  <c r="Q26" i="2"/>
  <c r="U11" i="2"/>
  <c r="R15" i="2"/>
  <c r="R23" i="2"/>
  <c r="R16" i="2"/>
  <c r="R24" i="2"/>
  <c r="R17" i="2"/>
  <c r="R25" i="2"/>
  <c r="R18" i="2"/>
  <c r="R26" i="2"/>
  <c r="R19" i="2"/>
  <c r="R27" i="2"/>
  <c r="R13" i="2"/>
  <c r="R29" i="2"/>
  <c r="R12" i="2"/>
  <c r="R20" i="2"/>
  <c r="R28" i="2"/>
  <c r="R21" i="2"/>
  <c r="R14" i="2"/>
  <c r="R22" i="2"/>
  <c r="R30" i="2"/>
  <c r="Q11" i="2"/>
  <c r="O12" i="2"/>
  <c r="O20" i="2"/>
  <c r="O28" i="2"/>
  <c r="O13" i="2"/>
  <c r="O21" i="2"/>
  <c r="O29" i="2"/>
  <c r="O14" i="2"/>
  <c r="O22" i="2"/>
  <c r="O30" i="2"/>
  <c r="O15" i="2"/>
  <c r="O23" i="2"/>
  <c r="O25" i="2"/>
  <c r="O16" i="2"/>
  <c r="O24" i="2"/>
  <c r="O17" i="2"/>
  <c r="O27" i="2"/>
  <c r="O18" i="2"/>
  <c r="O26" i="2"/>
  <c r="R11" i="2"/>
  <c r="P11" i="2"/>
  <c r="T19" i="2"/>
  <c r="T27" i="2"/>
  <c r="T12" i="2"/>
  <c r="T20" i="2"/>
  <c r="T28" i="2"/>
  <c r="T13" i="2"/>
  <c r="T21" i="2"/>
  <c r="T29" i="2"/>
  <c r="T14" i="2"/>
  <c r="T22" i="2"/>
  <c r="T30" i="2"/>
  <c r="T15" i="2"/>
  <c r="T23" i="2"/>
  <c r="T25" i="2"/>
  <c r="T16" i="2"/>
  <c r="T24" i="2"/>
  <c r="T17" i="2"/>
  <c r="T18" i="2"/>
  <c r="T26" i="2"/>
  <c r="G74" i="5" l="1"/>
  <c r="F74" i="5"/>
  <c r="J79" i="5" s="1"/>
  <c r="F239" i="5"/>
  <c r="G244" i="5" s="1"/>
  <c r="G305" i="5"/>
  <c r="G173" i="5"/>
  <c r="I179" i="5" s="1"/>
  <c r="G140" i="5"/>
  <c r="F107" i="5"/>
  <c r="F206" i="5"/>
  <c r="K211" i="5" s="1"/>
  <c r="G272" i="5"/>
  <c r="F41" i="5"/>
  <c r="H46" i="5" s="1"/>
  <c r="F272" i="5"/>
  <c r="G277" i="5" s="1"/>
  <c r="G206" i="5"/>
  <c r="F173" i="5"/>
  <c r="J178" i="5" s="1"/>
  <c r="G107" i="5"/>
  <c r="H113" i="5" s="1"/>
  <c r="F140" i="5"/>
  <c r="F305" i="5"/>
  <c r="G310" i="5" s="1"/>
  <c r="G41" i="5"/>
  <c r="G239" i="5"/>
  <c r="F8" i="3"/>
  <c r="E13" i="3" s="1"/>
  <c r="G272" i="3"/>
  <c r="F278" i="3" s="1"/>
  <c r="F272" i="3"/>
  <c r="G277" i="3" s="1"/>
  <c r="F140" i="3"/>
  <c r="E145" i="3" s="1"/>
  <c r="F74" i="3"/>
  <c r="K79" i="3" s="1"/>
  <c r="G140" i="3"/>
  <c r="I146" i="3" s="1"/>
  <c r="F41" i="3"/>
  <c r="K46" i="3" s="1"/>
  <c r="G8" i="3"/>
  <c r="H14" i="3" s="1"/>
  <c r="F239" i="3"/>
  <c r="K244" i="3" s="1"/>
  <c r="G305" i="3"/>
  <c r="J311" i="3" s="1"/>
  <c r="G206" i="3"/>
  <c r="G173" i="3"/>
  <c r="G41" i="3"/>
  <c r="G239" i="3"/>
  <c r="G74" i="3"/>
  <c r="F305" i="3"/>
  <c r="F173" i="3"/>
  <c r="G107" i="3"/>
  <c r="F206" i="3"/>
  <c r="F107" i="3"/>
  <c r="H277" i="5" l="1"/>
  <c r="J277" i="5"/>
  <c r="K277" i="5"/>
  <c r="I277" i="5"/>
  <c r="E277" i="5"/>
  <c r="F277" i="5"/>
  <c r="H179" i="5"/>
  <c r="J190" i="5" s="1"/>
  <c r="K179" i="5"/>
  <c r="J193" i="5" s="1"/>
  <c r="E179" i="5"/>
  <c r="J187" i="5" s="1"/>
  <c r="F179" i="5"/>
  <c r="J188" i="5" s="1"/>
  <c r="J179" i="5"/>
  <c r="J192" i="5" s="1"/>
  <c r="G179" i="5"/>
  <c r="J189" i="5" s="1"/>
  <c r="J113" i="5"/>
  <c r="H310" i="5"/>
  <c r="J310" i="5"/>
  <c r="E113" i="5"/>
  <c r="I113" i="5"/>
  <c r="G178" i="5"/>
  <c r="G191" i="5" s="1"/>
  <c r="K178" i="5"/>
  <c r="F178" i="5"/>
  <c r="E178" i="5"/>
  <c r="E191" i="5" s="1"/>
  <c r="H178" i="5"/>
  <c r="I178" i="5"/>
  <c r="F113" i="5"/>
  <c r="E310" i="5"/>
  <c r="K113" i="5"/>
  <c r="I310" i="5"/>
  <c r="G113" i="5"/>
  <c r="K310" i="5"/>
  <c r="F310" i="5"/>
  <c r="K46" i="5"/>
  <c r="F13" i="3"/>
  <c r="F25" i="3" s="1"/>
  <c r="G13" i="3"/>
  <c r="G25" i="3" s="1"/>
  <c r="H13" i="3"/>
  <c r="H25" i="3" s="1"/>
  <c r="J13" i="3"/>
  <c r="J25" i="3" s="1"/>
  <c r="K13" i="3"/>
  <c r="K25" i="3" s="1"/>
  <c r="I13" i="3"/>
  <c r="I25" i="3" s="1"/>
  <c r="G46" i="5"/>
  <c r="F46" i="5"/>
  <c r="E46" i="5"/>
  <c r="J46" i="5"/>
  <c r="I46" i="5"/>
  <c r="E244" i="5"/>
  <c r="F244" i="5"/>
  <c r="H244" i="5"/>
  <c r="I244" i="5"/>
  <c r="J244" i="5"/>
  <c r="H277" i="3"/>
  <c r="H287" i="3" s="1"/>
  <c r="K244" i="5"/>
  <c r="F277" i="3"/>
  <c r="F287" i="3" s="1"/>
  <c r="K277" i="3"/>
  <c r="K287" i="3" s="1"/>
  <c r="E277" i="3"/>
  <c r="E287" i="3" s="1"/>
  <c r="J277" i="3"/>
  <c r="J287" i="3" s="1"/>
  <c r="H145" i="3"/>
  <c r="H158" i="3" s="1"/>
  <c r="G145" i="3"/>
  <c r="G158" i="3" s="1"/>
  <c r="I79" i="3"/>
  <c r="F145" i="3"/>
  <c r="F158" i="3" s="1"/>
  <c r="K146" i="3"/>
  <c r="J145" i="3"/>
  <c r="I145" i="3"/>
  <c r="H79" i="3"/>
  <c r="I277" i="3"/>
  <c r="K145" i="3"/>
  <c r="H311" i="3"/>
  <c r="J79" i="3"/>
  <c r="G278" i="3"/>
  <c r="G288" i="3" s="1"/>
  <c r="H46" i="3"/>
  <c r="E146" i="3"/>
  <c r="G46" i="3"/>
  <c r="F146" i="3"/>
  <c r="E155" i="3" s="1"/>
  <c r="J46" i="3"/>
  <c r="H146" i="3"/>
  <c r="E157" i="3" s="1"/>
  <c r="G146" i="3"/>
  <c r="J146" i="3"/>
  <c r="G79" i="5"/>
  <c r="E278" i="3"/>
  <c r="I278" i="3"/>
  <c r="E79" i="5"/>
  <c r="F79" i="3"/>
  <c r="F79" i="5"/>
  <c r="H79" i="5"/>
  <c r="J278" i="3"/>
  <c r="H278" i="3"/>
  <c r="K278" i="3"/>
  <c r="I79" i="5"/>
  <c r="K79" i="5"/>
  <c r="I14" i="3"/>
  <c r="J191" i="5"/>
  <c r="F211" i="5"/>
  <c r="F311" i="3"/>
  <c r="J14" i="3"/>
  <c r="I211" i="5"/>
  <c r="E211" i="5"/>
  <c r="I311" i="3"/>
  <c r="K14" i="3"/>
  <c r="E28" i="3" s="1"/>
  <c r="F46" i="3"/>
  <c r="E14" i="3"/>
  <c r="H211" i="5"/>
  <c r="F14" i="3"/>
  <c r="E23" i="3" s="1"/>
  <c r="J211" i="5"/>
  <c r="G14" i="3"/>
  <c r="G211" i="5"/>
  <c r="K311" i="3"/>
  <c r="E79" i="3"/>
  <c r="G79" i="3"/>
  <c r="E311" i="3"/>
  <c r="E46" i="3"/>
  <c r="I146" i="5"/>
  <c r="E146" i="5"/>
  <c r="H146" i="5"/>
  <c r="G146" i="5"/>
  <c r="F146" i="5"/>
  <c r="K146" i="5"/>
  <c r="J146" i="5"/>
  <c r="G245" i="5"/>
  <c r="F245" i="5"/>
  <c r="K245" i="5"/>
  <c r="E245" i="5"/>
  <c r="J245" i="5"/>
  <c r="H245" i="5"/>
  <c r="I245" i="5"/>
  <c r="J80" i="5"/>
  <c r="H80" i="5"/>
  <c r="K80" i="5"/>
  <c r="I80" i="5"/>
  <c r="G80" i="5"/>
  <c r="E80" i="5"/>
  <c r="F80" i="5"/>
  <c r="G311" i="5"/>
  <c r="F311" i="5"/>
  <c r="G320" i="5" s="1"/>
  <c r="K311" i="5"/>
  <c r="J311" i="5"/>
  <c r="I311" i="5"/>
  <c r="E311" i="5"/>
  <c r="H311" i="5"/>
  <c r="J112" i="5"/>
  <c r="I112" i="5"/>
  <c r="E112" i="5"/>
  <c r="H112" i="5"/>
  <c r="G112" i="5"/>
  <c r="F112" i="5"/>
  <c r="F124" i="5" s="1"/>
  <c r="K112" i="5"/>
  <c r="K278" i="5"/>
  <c r="J278" i="5"/>
  <c r="I278" i="5"/>
  <c r="E278" i="5"/>
  <c r="G278" i="5"/>
  <c r="F278" i="5"/>
  <c r="H278" i="5"/>
  <c r="I47" i="5"/>
  <c r="E47" i="5"/>
  <c r="G47" i="5"/>
  <c r="H47" i="5"/>
  <c r="J47" i="5"/>
  <c r="F47" i="5"/>
  <c r="K47" i="5"/>
  <c r="K212" i="5"/>
  <c r="E212" i="5"/>
  <c r="G212" i="5"/>
  <c r="F212" i="5"/>
  <c r="J212" i="5"/>
  <c r="I212" i="5"/>
  <c r="H212" i="5"/>
  <c r="I145" i="5"/>
  <c r="G145" i="5"/>
  <c r="F145" i="5"/>
  <c r="E145" i="5"/>
  <c r="J145" i="5"/>
  <c r="K145" i="5"/>
  <c r="H145" i="5"/>
  <c r="I46" i="3"/>
  <c r="G311" i="3"/>
  <c r="I244" i="3"/>
  <c r="H244" i="3"/>
  <c r="E244" i="3"/>
  <c r="F244" i="3"/>
  <c r="G244" i="3"/>
  <c r="J244" i="3"/>
  <c r="F80" i="3"/>
  <c r="E80" i="3"/>
  <c r="G80" i="3"/>
  <c r="I80" i="3"/>
  <c r="K80" i="3"/>
  <c r="J80" i="3"/>
  <c r="H80" i="3"/>
  <c r="G47" i="3"/>
  <c r="E47" i="3"/>
  <c r="K47" i="3"/>
  <c r="H47" i="3"/>
  <c r="J47" i="3"/>
  <c r="I47" i="3"/>
  <c r="F47" i="3"/>
  <c r="F179" i="3"/>
  <c r="I179" i="3"/>
  <c r="G179" i="3"/>
  <c r="H179" i="3"/>
  <c r="J179" i="3"/>
  <c r="K179" i="3"/>
  <c r="E179" i="3"/>
  <c r="E158" i="3"/>
  <c r="J212" i="3"/>
  <c r="K212" i="3"/>
  <c r="F212" i="3"/>
  <c r="H212" i="3"/>
  <c r="I212" i="3"/>
  <c r="G212" i="3"/>
  <c r="E212" i="3"/>
  <c r="K112" i="3"/>
  <c r="E112" i="3"/>
  <c r="G112" i="3"/>
  <c r="I112" i="3"/>
  <c r="J112" i="3"/>
  <c r="F112" i="3"/>
  <c r="H112" i="3"/>
  <c r="E25" i="3"/>
  <c r="F211" i="3"/>
  <c r="K211" i="3"/>
  <c r="J211" i="3"/>
  <c r="I211" i="3"/>
  <c r="H211" i="3"/>
  <c r="G211" i="3"/>
  <c r="E211" i="3"/>
  <c r="K113" i="3"/>
  <c r="H113" i="3"/>
  <c r="I113" i="3"/>
  <c r="J113" i="3"/>
  <c r="F113" i="3"/>
  <c r="E113" i="3"/>
  <c r="G113" i="3"/>
  <c r="I178" i="3"/>
  <c r="H178" i="3"/>
  <c r="G178" i="3"/>
  <c r="F178" i="3"/>
  <c r="E178" i="3"/>
  <c r="J178" i="3"/>
  <c r="K178" i="3"/>
  <c r="K245" i="3"/>
  <c r="E245" i="3"/>
  <c r="J245" i="3"/>
  <c r="H245" i="3"/>
  <c r="F245" i="3"/>
  <c r="I245" i="3"/>
  <c r="G245" i="3"/>
  <c r="G287" i="3"/>
  <c r="J310" i="3"/>
  <c r="H310" i="3"/>
  <c r="G310" i="3"/>
  <c r="K310" i="3"/>
  <c r="K324" i="3" s="1"/>
  <c r="F310" i="3"/>
  <c r="I310" i="3"/>
  <c r="E310" i="3"/>
  <c r="K287" i="5" l="1"/>
  <c r="E289" i="5"/>
  <c r="J286" i="5"/>
  <c r="K187" i="5"/>
  <c r="H322" i="5"/>
  <c r="E291" i="5"/>
  <c r="F193" i="5"/>
  <c r="E288" i="5"/>
  <c r="E290" i="5"/>
  <c r="I190" i="5"/>
  <c r="H192" i="5"/>
  <c r="G188" i="5"/>
  <c r="G187" i="5"/>
  <c r="G193" i="5"/>
  <c r="E92" i="5"/>
  <c r="I189" i="5"/>
  <c r="I191" i="5"/>
  <c r="G192" i="5"/>
  <c r="G190" i="5"/>
  <c r="I222" i="5"/>
  <c r="I192" i="5"/>
  <c r="I193" i="5"/>
  <c r="G189" i="5"/>
  <c r="F189" i="5"/>
  <c r="F188" i="5"/>
  <c r="I187" i="5"/>
  <c r="I188" i="5"/>
  <c r="K193" i="5"/>
  <c r="K191" i="5"/>
  <c r="F56" i="5"/>
  <c r="K190" i="5"/>
  <c r="K188" i="5"/>
  <c r="K189" i="5"/>
  <c r="F55" i="5"/>
  <c r="J324" i="5"/>
  <c r="J321" i="5"/>
  <c r="J93" i="3"/>
  <c r="J57" i="5"/>
  <c r="G126" i="5"/>
  <c r="K289" i="3"/>
  <c r="E192" i="5"/>
  <c r="H125" i="5"/>
  <c r="E189" i="5"/>
  <c r="E187" i="5"/>
  <c r="H191" i="5"/>
  <c r="J125" i="5"/>
  <c r="E190" i="5"/>
  <c r="E188" i="5"/>
  <c r="E193" i="5"/>
  <c r="H190" i="5"/>
  <c r="F187" i="5"/>
  <c r="F24" i="3"/>
  <c r="H193" i="5"/>
  <c r="I22" i="3"/>
  <c r="F191" i="5"/>
  <c r="F88" i="5"/>
  <c r="H189" i="5"/>
  <c r="H188" i="5"/>
  <c r="F190" i="5"/>
  <c r="F192" i="5"/>
  <c r="H187" i="5"/>
  <c r="H88" i="3"/>
  <c r="K192" i="5"/>
  <c r="F319" i="5"/>
  <c r="I27" i="3"/>
  <c r="F257" i="5"/>
  <c r="E61" i="5"/>
  <c r="E59" i="5"/>
  <c r="H26" i="3"/>
  <c r="I254" i="5"/>
  <c r="J290" i="3"/>
  <c r="H290" i="3"/>
  <c r="H256" i="5"/>
  <c r="K253" i="5"/>
  <c r="G160" i="3"/>
  <c r="E259" i="5"/>
  <c r="K255" i="5"/>
  <c r="J258" i="5"/>
  <c r="I290" i="3"/>
  <c r="G155" i="3"/>
  <c r="I24" i="3"/>
  <c r="E94" i="5"/>
  <c r="I287" i="3"/>
  <c r="H159" i="3"/>
  <c r="H160" i="3"/>
  <c r="E160" i="3"/>
  <c r="I288" i="3"/>
  <c r="J288" i="3"/>
  <c r="F290" i="3"/>
  <c r="E159" i="3"/>
  <c r="E288" i="3"/>
  <c r="F288" i="3"/>
  <c r="E90" i="5"/>
  <c r="I322" i="3"/>
  <c r="K290" i="3"/>
  <c r="H157" i="3"/>
  <c r="H155" i="3"/>
  <c r="E91" i="5"/>
  <c r="I292" i="3"/>
  <c r="J286" i="3"/>
  <c r="G154" i="3"/>
  <c r="K288" i="3"/>
  <c r="J291" i="3"/>
  <c r="G159" i="3"/>
  <c r="J22" i="3"/>
  <c r="I221" i="5"/>
  <c r="G157" i="3"/>
  <c r="G286" i="3"/>
  <c r="E154" i="3"/>
  <c r="H292" i="3"/>
  <c r="J155" i="3"/>
  <c r="F155" i="3"/>
  <c r="F154" i="3"/>
  <c r="I225" i="5"/>
  <c r="F157" i="3"/>
  <c r="F159" i="3"/>
  <c r="F160" i="3"/>
  <c r="J89" i="3"/>
  <c r="H288" i="3"/>
  <c r="G289" i="3"/>
  <c r="J159" i="3"/>
  <c r="F28" i="3"/>
  <c r="I160" i="3"/>
  <c r="J23" i="3"/>
  <c r="H154" i="3"/>
  <c r="I157" i="3"/>
  <c r="E292" i="3"/>
  <c r="F286" i="3"/>
  <c r="K23" i="3"/>
  <c r="H286" i="3"/>
  <c r="I154" i="3"/>
  <c r="E286" i="3"/>
  <c r="I158" i="3"/>
  <c r="I159" i="3"/>
  <c r="K292" i="3"/>
  <c r="I155" i="3"/>
  <c r="I286" i="3"/>
  <c r="I23" i="3"/>
  <c r="F292" i="3"/>
  <c r="K286" i="3"/>
  <c r="G292" i="3"/>
  <c r="J292" i="3"/>
  <c r="J157" i="3"/>
  <c r="E289" i="3"/>
  <c r="J154" i="3"/>
  <c r="G28" i="3"/>
  <c r="J158" i="3"/>
  <c r="F289" i="3"/>
  <c r="H28" i="3"/>
  <c r="I289" i="3"/>
  <c r="I28" i="3"/>
  <c r="J160" i="3"/>
  <c r="K88" i="3"/>
  <c r="J289" i="3"/>
  <c r="J28" i="3"/>
  <c r="H289" i="3"/>
  <c r="F321" i="3"/>
  <c r="K28" i="3"/>
  <c r="I88" i="3"/>
  <c r="G290" i="3"/>
  <c r="G90" i="3"/>
  <c r="H91" i="3"/>
  <c r="J88" i="3"/>
  <c r="G55" i="3"/>
  <c r="I89" i="5"/>
  <c r="H321" i="3"/>
  <c r="G22" i="3"/>
  <c r="E290" i="3"/>
  <c r="K22" i="3"/>
  <c r="F88" i="3"/>
  <c r="K159" i="3"/>
  <c r="K154" i="3"/>
  <c r="E26" i="3"/>
  <c r="G88" i="3"/>
  <c r="E226" i="5"/>
  <c r="K157" i="3"/>
  <c r="F26" i="3"/>
  <c r="G26" i="3"/>
  <c r="K26" i="3"/>
  <c r="K155" i="3"/>
  <c r="J26" i="3"/>
  <c r="K158" i="3"/>
  <c r="F27" i="3"/>
  <c r="I26" i="3"/>
  <c r="K160" i="3"/>
  <c r="K156" i="3"/>
  <c r="F23" i="3"/>
  <c r="H23" i="3"/>
  <c r="E58" i="3"/>
  <c r="K89" i="3"/>
  <c r="I89" i="3"/>
  <c r="H89" i="3"/>
  <c r="G23" i="3"/>
  <c r="G89" i="3"/>
  <c r="I56" i="3"/>
  <c r="K55" i="3"/>
  <c r="H286" i="5"/>
  <c r="E256" i="5"/>
  <c r="F156" i="3"/>
  <c r="I57" i="3"/>
  <c r="E94" i="3"/>
  <c r="E254" i="5"/>
  <c r="E92" i="3"/>
  <c r="I156" i="3"/>
  <c r="J156" i="3"/>
  <c r="H156" i="3"/>
  <c r="F254" i="5"/>
  <c r="E156" i="3"/>
  <c r="F89" i="3"/>
  <c r="H55" i="3"/>
  <c r="G156" i="3"/>
  <c r="E61" i="3"/>
  <c r="F55" i="3"/>
  <c r="J55" i="3"/>
  <c r="K286" i="5"/>
  <c r="K225" i="5"/>
  <c r="G321" i="5"/>
  <c r="G288" i="5"/>
  <c r="H58" i="3"/>
  <c r="G291" i="3"/>
  <c r="E55" i="3"/>
  <c r="H287" i="5"/>
  <c r="I224" i="5"/>
  <c r="I291" i="3"/>
  <c r="G27" i="3"/>
  <c r="I257" i="5"/>
  <c r="H221" i="5"/>
  <c r="K320" i="3"/>
  <c r="F221" i="5"/>
  <c r="G253" i="3"/>
  <c r="K291" i="3"/>
  <c r="H27" i="3"/>
  <c r="J225" i="5"/>
  <c r="H291" i="3"/>
  <c r="G323" i="3"/>
  <c r="J325" i="3"/>
  <c r="F291" i="3"/>
  <c r="E27" i="3"/>
  <c r="K27" i="3"/>
  <c r="E59" i="3"/>
  <c r="E88" i="5"/>
  <c r="E291" i="3"/>
  <c r="J27" i="3"/>
  <c r="E257" i="5"/>
  <c r="I88" i="5"/>
  <c r="G90" i="5"/>
  <c r="H24" i="3"/>
  <c r="E221" i="5"/>
  <c r="E254" i="3"/>
  <c r="E24" i="3"/>
  <c r="G222" i="5"/>
  <c r="J220" i="5"/>
  <c r="J287" i="5"/>
  <c r="H56" i="3"/>
  <c r="E256" i="3"/>
  <c r="H22" i="3"/>
  <c r="I92" i="3"/>
  <c r="G221" i="5"/>
  <c r="F287" i="5"/>
  <c r="K88" i="5"/>
  <c r="J124" i="5"/>
  <c r="E253" i="5"/>
  <c r="E258" i="3"/>
  <c r="F59" i="3"/>
  <c r="F22" i="3"/>
  <c r="E22" i="3"/>
  <c r="G225" i="5"/>
  <c r="G286" i="5"/>
  <c r="H127" i="5"/>
  <c r="K220" i="5"/>
  <c r="H223" i="5"/>
  <c r="G287" i="5"/>
  <c r="E287" i="5"/>
  <c r="J88" i="5"/>
  <c r="K24" i="3"/>
  <c r="J24" i="3"/>
  <c r="K222" i="5"/>
  <c r="E57" i="5"/>
  <c r="G253" i="5"/>
  <c r="E257" i="3"/>
  <c r="F56" i="3"/>
  <c r="E259" i="3"/>
  <c r="G56" i="3"/>
  <c r="G24" i="3"/>
  <c r="H126" i="5"/>
  <c r="J122" i="5"/>
  <c r="G322" i="3"/>
  <c r="E159" i="5"/>
  <c r="E160" i="5"/>
  <c r="E154" i="5"/>
  <c r="E155" i="5"/>
  <c r="E157" i="5"/>
  <c r="E156" i="5"/>
  <c r="E158" i="5"/>
  <c r="H289" i="5"/>
  <c r="G224" i="5"/>
  <c r="J224" i="5"/>
  <c r="H224" i="5"/>
  <c r="K224" i="5"/>
  <c r="F60" i="5"/>
  <c r="K60" i="5"/>
  <c r="I60" i="5"/>
  <c r="H60" i="5"/>
  <c r="G60" i="5"/>
  <c r="E56" i="5"/>
  <c r="J222" i="5"/>
  <c r="I127" i="5"/>
  <c r="I122" i="5"/>
  <c r="I125" i="5"/>
  <c r="I121" i="5"/>
  <c r="F321" i="5"/>
  <c r="H321" i="5"/>
  <c r="J91" i="5"/>
  <c r="G91" i="5"/>
  <c r="F91" i="5"/>
  <c r="K91" i="5"/>
  <c r="I91" i="5"/>
  <c r="F290" i="5"/>
  <c r="J127" i="5"/>
  <c r="I159" i="5"/>
  <c r="H159" i="5"/>
  <c r="G159" i="5"/>
  <c r="F159" i="5"/>
  <c r="K159" i="5"/>
  <c r="J55" i="5"/>
  <c r="E89" i="5"/>
  <c r="H89" i="5"/>
  <c r="J319" i="5"/>
  <c r="J255" i="5"/>
  <c r="E222" i="5"/>
  <c r="E321" i="5"/>
  <c r="H55" i="5"/>
  <c r="H254" i="5"/>
  <c r="F154" i="5"/>
  <c r="F155" i="5"/>
  <c r="F158" i="5"/>
  <c r="H58" i="5"/>
  <c r="K58" i="5"/>
  <c r="G58" i="5"/>
  <c r="J58" i="5"/>
  <c r="I58" i="5"/>
  <c r="F58" i="5"/>
  <c r="F288" i="5"/>
  <c r="I288" i="5"/>
  <c r="H288" i="5"/>
  <c r="J223" i="5"/>
  <c r="J123" i="5"/>
  <c r="J126" i="5"/>
  <c r="J121" i="5"/>
  <c r="I123" i="5"/>
  <c r="H93" i="5"/>
  <c r="K93" i="5"/>
  <c r="G93" i="5"/>
  <c r="F93" i="5"/>
  <c r="I93" i="5"/>
  <c r="H220" i="5"/>
  <c r="F286" i="5"/>
  <c r="H257" i="5"/>
  <c r="G257" i="5"/>
  <c r="K257" i="5"/>
  <c r="J257" i="5"/>
  <c r="G160" i="5"/>
  <c r="K160" i="5"/>
  <c r="F160" i="5"/>
  <c r="J160" i="5"/>
  <c r="H160" i="5"/>
  <c r="I160" i="5"/>
  <c r="I220" i="5"/>
  <c r="F126" i="5"/>
  <c r="E93" i="5"/>
  <c r="H91" i="5"/>
  <c r="E220" i="5"/>
  <c r="I287" i="5"/>
  <c r="H319" i="5"/>
  <c r="H56" i="5"/>
  <c r="H253" i="5"/>
  <c r="G154" i="5"/>
  <c r="G155" i="5"/>
  <c r="G156" i="5"/>
  <c r="K55" i="5"/>
  <c r="K221" i="5"/>
  <c r="J221" i="5"/>
  <c r="K57" i="5"/>
  <c r="F57" i="5"/>
  <c r="H57" i="5"/>
  <c r="I57" i="5"/>
  <c r="E60" i="5"/>
  <c r="F320" i="5"/>
  <c r="E322" i="5"/>
  <c r="G322" i="5"/>
  <c r="I322" i="5"/>
  <c r="F322" i="5"/>
  <c r="K322" i="5"/>
  <c r="J322" i="5"/>
  <c r="F123" i="5"/>
  <c r="I56" i="5"/>
  <c r="F256" i="5"/>
  <c r="K256" i="5"/>
  <c r="J256" i="5"/>
  <c r="I256" i="5"/>
  <c r="G256" i="5"/>
  <c r="J155" i="5"/>
  <c r="K155" i="5"/>
  <c r="I126" i="5"/>
  <c r="H88" i="5"/>
  <c r="K288" i="5"/>
  <c r="J253" i="5"/>
  <c r="E224" i="5"/>
  <c r="I286" i="5"/>
  <c r="G125" i="5"/>
  <c r="H320" i="5"/>
  <c r="J90" i="5"/>
  <c r="I155" i="5"/>
  <c r="I154" i="5"/>
  <c r="I158" i="5"/>
  <c r="F222" i="5"/>
  <c r="H222" i="5"/>
  <c r="J290" i="5"/>
  <c r="H290" i="5"/>
  <c r="K290" i="5"/>
  <c r="G290" i="5"/>
  <c r="K121" i="5"/>
  <c r="K123" i="5"/>
  <c r="F89" i="5"/>
  <c r="J89" i="5"/>
  <c r="K89" i="5"/>
  <c r="I55" i="5"/>
  <c r="I258" i="5"/>
  <c r="H258" i="5"/>
  <c r="G258" i="5"/>
  <c r="F258" i="5"/>
  <c r="K258" i="5"/>
  <c r="H156" i="5"/>
  <c r="F156" i="5"/>
  <c r="I156" i="5"/>
  <c r="I320" i="5"/>
  <c r="I290" i="5"/>
  <c r="K57" i="3"/>
  <c r="G319" i="5"/>
  <c r="H59" i="5"/>
  <c r="G59" i="5"/>
  <c r="J59" i="5"/>
  <c r="K59" i="5"/>
  <c r="E55" i="5"/>
  <c r="F291" i="5"/>
  <c r="K291" i="5"/>
  <c r="I291" i="5"/>
  <c r="H291" i="5"/>
  <c r="G291" i="5"/>
  <c r="F121" i="5"/>
  <c r="F122" i="5"/>
  <c r="F125" i="5"/>
  <c r="F323" i="5"/>
  <c r="H323" i="5"/>
  <c r="J323" i="5"/>
  <c r="G323" i="5"/>
  <c r="K323" i="5"/>
  <c r="H225" i="5"/>
  <c r="I59" i="5"/>
  <c r="K157" i="5"/>
  <c r="J157" i="5"/>
  <c r="I157" i="5"/>
  <c r="G157" i="5"/>
  <c r="F157" i="5"/>
  <c r="I319" i="5"/>
  <c r="E286" i="5"/>
  <c r="F220" i="5"/>
  <c r="F59" i="5"/>
  <c r="G89" i="5"/>
  <c r="G56" i="5"/>
  <c r="I92" i="5"/>
  <c r="I124" i="5"/>
  <c r="J93" i="5"/>
  <c r="H157" i="5"/>
  <c r="H154" i="5"/>
  <c r="H155" i="5"/>
  <c r="G220" i="5"/>
  <c r="I226" i="5"/>
  <c r="K226" i="5"/>
  <c r="J226" i="5"/>
  <c r="H226" i="5"/>
  <c r="F226" i="5"/>
  <c r="G226" i="5"/>
  <c r="E58" i="5"/>
  <c r="F292" i="5"/>
  <c r="K292" i="5"/>
  <c r="H292" i="5"/>
  <c r="J292" i="5"/>
  <c r="I292" i="5"/>
  <c r="G292" i="5"/>
  <c r="G127" i="5"/>
  <c r="G121" i="5"/>
  <c r="G122" i="5"/>
  <c r="G123" i="5"/>
  <c r="E324" i="5"/>
  <c r="F324" i="5"/>
  <c r="K324" i="5"/>
  <c r="I324" i="5"/>
  <c r="H324" i="5"/>
  <c r="G324" i="5"/>
  <c r="I90" i="5"/>
  <c r="H90" i="5"/>
  <c r="F90" i="5"/>
  <c r="E255" i="5"/>
  <c r="K321" i="5"/>
  <c r="F127" i="5"/>
  <c r="J259" i="5"/>
  <c r="I259" i="5"/>
  <c r="H259" i="5"/>
  <c r="G259" i="5"/>
  <c r="F259" i="5"/>
  <c r="K259" i="5"/>
  <c r="I323" i="5"/>
  <c r="E292" i="5"/>
  <c r="K126" i="5"/>
  <c r="F224" i="5"/>
  <c r="G88" i="5"/>
  <c r="E323" i="5"/>
  <c r="G55" i="5"/>
  <c r="I253" i="5"/>
  <c r="J288" i="5"/>
  <c r="G124" i="5"/>
  <c r="G255" i="5"/>
  <c r="K156" i="5"/>
  <c r="K154" i="5"/>
  <c r="K61" i="5"/>
  <c r="H61" i="5"/>
  <c r="F61" i="5"/>
  <c r="I61" i="5"/>
  <c r="J61" i="5"/>
  <c r="G61" i="5"/>
  <c r="H123" i="5"/>
  <c r="H121" i="5"/>
  <c r="H122" i="5"/>
  <c r="H124" i="5"/>
  <c r="E325" i="5"/>
  <c r="F325" i="5"/>
  <c r="I325" i="5"/>
  <c r="K325" i="5"/>
  <c r="J325" i="5"/>
  <c r="G325" i="5"/>
  <c r="H325" i="5"/>
  <c r="F92" i="5"/>
  <c r="H92" i="5"/>
  <c r="G92" i="5"/>
  <c r="J92" i="5"/>
  <c r="K92" i="5"/>
  <c r="K319" i="5"/>
  <c r="K127" i="5"/>
  <c r="K254" i="5"/>
  <c r="J254" i="5"/>
  <c r="K158" i="5"/>
  <c r="J158" i="5"/>
  <c r="H158" i="5"/>
  <c r="G158" i="5"/>
  <c r="I321" i="5"/>
  <c r="J60" i="5"/>
  <c r="F225" i="5"/>
  <c r="K122" i="5"/>
  <c r="E225" i="5"/>
  <c r="E319" i="5"/>
  <c r="G57" i="5"/>
  <c r="K90" i="5"/>
  <c r="F253" i="5"/>
  <c r="J291" i="5"/>
  <c r="K124" i="5"/>
  <c r="G254" i="5"/>
  <c r="J154" i="5"/>
  <c r="J156" i="5"/>
  <c r="J159" i="5"/>
  <c r="I223" i="5"/>
  <c r="K223" i="5"/>
  <c r="G223" i="5"/>
  <c r="F223" i="5"/>
  <c r="K56" i="5"/>
  <c r="J56" i="5"/>
  <c r="G289" i="5"/>
  <c r="F289" i="5"/>
  <c r="K289" i="5"/>
  <c r="J289" i="5"/>
  <c r="I289" i="5"/>
  <c r="E121" i="5"/>
  <c r="E122" i="5"/>
  <c r="E123" i="5"/>
  <c r="E124" i="5"/>
  <c r="E125" i="5"/>
  <c r="E126" i="5"/>
  <c r="E127" i="5"/>
  <c r="K320" i="5"/>
  <c r="J320" i="5"/>
  <c r="J94" i="5"/>
  <c r="I94" i="5"/>
  <c r="H94" i="5"/>
  <c r="F94" i="5"/>
  <c r="G94" i="5"/>
  <c r="K94" i="5"/>
  <c r="E258" i="5"/>
  <c r="F255" i="5"/>
  <c r="I255" i="5"/>
  <c r="H255" i="5"/>
  <c r="E223" i="5"/>
  <c r="E320" i="5"/>
  <c r="K125" i="5"/>
  <c r="J258" i="3"/>
  <c r="E91" i="3"/>
  <c r="E56" i="3"/>
  <c r="G255" i="3"/>
  <c r="J91" i="3"/>
  <c r="E57" i="3"/>
  <c r="G57" i="3"/>
  <c r="H254" i="3"/>
  <c r="F58" i="3"/>
  <c r="H256" i="3"/>
  <c r="J57" i="3"/>
  <c r="I55" i="3"/>
  <c r="G59" i="3"/>
  <c r="K90" i="3"/>
  <c r="I59" i="3"/>
  <c r="E90" i="3"/>
  <c r="H59" i="3"/>
  <c r="G254" i="3"/>
  <c r="E89" i="3"/>
  <c r="J255" i="3"/>
  <c r="J90" i="3"/>
  <c r="K257" i="3"/>
  <c r="H257" i="3"/>
  <c r="G257" i="3"/>
  <c r="J257" i="3"/>
  <c r="H224" i="3"/>
  <c r="H220" i="3"/>
  <c r="H223" i="3"/>
  <c r="H221" i="3"/>
  <c r="J191" i="3"/>
  <c r="G191" i="3"/>
  <c r="K191" i="3"/>
  <c r="H191" i="3"/>
  <c r="F187" i="3"/>
  <c r="F191" i="3"/>
  <c r="F188" i="3"/>
  <c r="G126" i="3"/>
  <c r="I126" i="3"/>
  <c r="K126" i="3"/>
  <c r="F126" i="3"/>
  <c r="J188" i="3"/>
  <c r="I256" i="3"/>
  <c r="J256" i="3"/>
  <c r="G256" i="3"/>
  <c r="F256" i="3"/>
  <c r="K256" i="3"/>
  <c r="K255" i="3"/>
  <c r="G190" i="3"/>
  <c r="G188" i="3"/>
  <c r="G187" i="3"/>
  <c r="G189" i="3"/>
  <c r="G125" i="3"/>
  <c r="J125" i="3"/>
  <c r="H125" i="3"/>
  <c r="K125" i="3"/>
  <c r="J226" i="3"/>
  <c r="J222" i="3"/>
  <c r="J225" i="3"/>
  <c r="J220" i="3"/>
  <c r="I253" i="3"/>
  <c r="E121" i="3"/>
  <c r="E127" i="3"/>
  <c r="E126" i="3"/>
  <c r="E123" i="3"/>
  <c r="E125" i="3"/>
  <c r="E124" i="3"/>
  <c r="E122" i="3"/>
  <c r="H92" i="3"/>
  <c r="H222" i="3"/>
  <c r="I222" i="3"/>
  <c r="F222" i="3"/>
  <c r="F253" i="3"/>
  <c r="J56" i="3"/>
  <c r="K56" i="3"/>
  <c r="E88" i="3"/>
  <c r="I127" i="3"/>
  <c r="I125" i="3"/>
  <c r="I122" i="3"/>
  <c r="I121" i="3"/>
  <c r="K254" i="3"/>
  <c r="J254" i="3"/>
  <c r="K253" i="3"/>
  <c r="I226" i="3"/>
  <c r="I221" i="3"/>
  <c r="I224" i="3"/>
  <c r="I220" i="3"/>
  <c r="G122" i="3"/>
  <c r="G123" i="3"/>
  <c r="G121" i="3"/>
  <c r="I93" i="3"/>
  <c r="F254" i="3"/>
  <c r="E93" i="3"/>
  <c r="H253" i="3"/>
  <c r="G258" i="3"/>
  <c r="F258" i="3"/>
  <c r="K258" i="3"/>
  <c r="I258" i="3"/>
  <c r="H258" i="3"/>
  <c r="E253" i="3"/>
  <c r="H193" i="3"/>
  <c r="H190" i="3"/>
  <c r="H187" i="3"/>
  <c r="H188" i="3"/>
  <c r="K124" i="3"/>
  <c r="I124" i="3"/>
  <c r="G124" i="3"/>
  <c r="J124" i="3"/>
  <c r="F124" i="3"/>
  <c r="K223" i="3"/>
  <c r="K222" i="3"/>
  <c r="K220" i="3"/>
  <c r="K123" i="3"/>
  <c r="K121" i="3"/>
  <c r="F92" i="3"/>
  <c r="J224" i="3"/>
  <c r="G224" i="3"/>
  <c r="K224" i="3"/>
  <c r="K59" i="3"/>
  <c r="J59" i="3"/>
  <c r="G91" i="3"/>
  <c r="F91" i="3"/>
  <c r="I91" i="3"/>
  <c r="K91" i="3"/>
  <c r="I189" i="3"/>
  <c r="I191" i="3"/>
  <c r="I188" i="3"/>
  <c r="I187" i="3"/>
  <c r="J127" i="3"/>
  <c r="K127" i="3"/>
  <c r="G127" i="3"/>
  <c r="F127" i="3"/>
  <c r="H127" i="3"/>
  <c r="F221" i="3"/>
  <c r="F220" i="3"/>
  <c r="F224" i="3"/>
  <c r="J223" i="3"/>
  <c r="F223" i="3"/>
  <c r="I223" i="3"/>
  <c r="F193" i="3"/>
  <c r="G193" i="3"/>
  <c r="K193" i="3"/>
  <c r="J193" i="3"/>
  <c r="I193" i="3"/>
  <c r="K60" i="3"/>
  <c r="H60" i="3"/>
  <c r="G60" i="3"/>
  <c r="F60" i="3"/>
  <c r="I60" i="3"/>
  <c r="G93" i="3"/>
  <c r="H93" i="3"/>
  <c r="K93" i="3"/>
  <c r="F93" i="3"/>
  <c r="H126" i="3"/>
  <c r="H121" i="3"/>
  <c r="H124" i="3"/>
  <c r="H122" i="3"/>
  <c r="J221" i="3"/>
  <c r="K221" i="3"/>
  <c r="F192" i="3"/>
  <c r="H192" i="3"/>
  <c r="K192" i="3"/>
  <c r="I192" i="3"/>
  <c r="G192" i="3"/>
  <c r="K58" i="3"/>
  <c r="I58" i="3"/>
  <c r="G58" i="3"/>
  <c r="J58" i="3"/>
  <c r="J94" i="3"/>
  <c r="H94" i="3"/>
  <c r="I94" i="3"/>
  <c r="K94" i="3"/>
  <c r="F259" i="3"/>
  <c r="K259" i="3"/>
  <c r="J259" i="3"/>
  <c r="I259" i="3"/>
  <c r="H259" i="3"/>
  <c r="G259" i="3"/>
  <c r="E255" i="3"/>
  <c r="K188" i="3"/>
  <c r="K187" i="3"/>
  <c r="K189" i="3"/>
  <c r="J253" i="3"/>
  <c r="I123" i="3"/>
  <c r="F123" i="3"/>
  <c r="H123" i="3"/>
  <c r="E220" i="3"/>
  <c r="E221" i="3"/>
  <c r="E223" i="3"/>
  <c r="E224" i="3"/>
  <c r="E225" i="3"/>
  <c r="E226" i="3"/>
  <c r="E222" i="3"/>
  <c r="F122" i="3"/>
  <c r="F121" i="3"/>
  <c r="F125" i="3"/>
  <c r="F94" i="3"/>
  <c r="F226" i="3"/>
  <c r="G226" i="3"/>
  <c r="H226" i="3"/>
  <c r="K226" i="3"/>
  <c r="K190" i="3"/>
  <c r="F190" i="3"/>
  <c r="I190" i="3"/>
  <c r="F61" i="3"/>
  <c r="K61" i="3"/>
  <c r="G61" i="3"/>
  <c r="I61" i="3"/>
  <c r="J61" i="3"/>
  <c r="H61" i="3"/>
  <c r="J92" i="3"/>
  <c r="G92" i="3"/>
  <c r="K92" i="3"/>
  <c r="F255" i="3"/>
  <c r="H255" i="3"/>
  <c r="I255" i="3"/>
  <c r="J190" i="3"/>
  <c r="J189" i="3"/>
  <c r="J187" i="3"/>
  <c r="J192" i="3"/>
  <c r="G223" i="3"/>
  <c r="G222" i="3"/>
  <c r="G220" i="3"/>
  <c r="G221" i="3"/>
  <c r="J123" i="3"/>
  <c r="J126" i="3"/>
  <c r="J121" i="3"/>
  <c r="E60" i="3"/>
  <c r="K225" i="3"/>
  <c r="F225" i="3"/>
  <c r="H225" i="3"/>
  <c r="I225" i="3"/>
  <c r="G225" i="3"/>
  <c r="J60" i="3"/>
  <c r="G94" i="3"/>
  <c r="F189" i="3"/>
  <c r="H189" i="3"/>
  <c r="F90" i="3"/>
  <c r="H90" i="3"/>
  <c r="I90" i="3"/>
  <c r="E188" i="3"/>
  <c r="E191" i="3"/>
  <c r="E189" i="3"/>
  <c r="E190" i="3"/>
  <c r="E192" i="3"/>
  <c r="E193" i="3"/>
  <c r="E187" i="3"/>
  <c r="I257" i="3"/>
  <c r="F257" i="3"/>
  <c r="H57" i="3"/>
  <c r="F57" i="3"/>
  <c r="K122" i="3"/>
  <c r="J122" i="3"/>
  <c r="I254" i="3"/>
  <c r="F325" i="3"/>
  <c r="K323" i="3"/>
  <c r="F324" i="3"/>
  <c r="H323" i="3"/>
  <c r="H325" i="3"/>
  <c r="K322" i="3"/>
  <c r="J320" i="3"/>
  <c r="J323" i="3"/>
  <c r="J322" i="3"/>
  <c r="G324" i="3"/>
  <c r="I324" i="3"/>
  <c r="I325" i="3"/>
  <c r="I321" i="3"/>
  <c r="I323" i="3"/>
  <c r="I320" i="3"/>
  <c r="I319" i="3"/>
  <c r="F322" i="3"/>
  <c r="F320" i="3"/>
  <c r="F319" i="3"/>
  <c r="F323" i="3"/>
  <c r="K325" i="3"/>
  <c r="K321" i="3"/>
  <c r="K319" i="3"/>
  <c r="G325" i="3"/>
  <c r="G321" i="3"/>
  <c r="G320" i="3"/>
  <c r="G319" i="3"/>
  <c r="H320" i="3"/>
  <c r="H319" i="3"/>
  <c r="H322" i="3"/>
  <c r="H324" i="3"/>
  <c r="J321" i="3"/>
  <c r="J319" i="3"/>
  <c r="J324" i="3"/>
  <c r="E325" i="3"/>
  <c r="E323" i="3"/>
  <c r="E320" i="3"/>
  <c r="E321" i="3"/>
  <c r="E319" i="3"/>
  <c r="E324" i="3"/>
  <c r="E322" i="3"/>
  <c r="K162" i="3" l="1"/>
  <c r="I139" i="3" s="1"/>
  <c r="K30" i="3"/>
  <c r="I7" i="3" s="1"/>
  <c r="G6" i="6" s="1"/>
  <c r="K195" i="5"/>
  <c r="K172" i="5" s="1"/>
  <c r="K294" i="3"/>
  <c r="K271" i="3" s="1"/>
  <c r="K261" i="5"/>
  <c r="J238" i="5" s="1"/>
  <c r="K63" i="5"/>
  <c r="J40" i="5" s="1"/>
  <c r="K327" i="5"/>
  <c r="J304" i="5" s="1"/>
  <c r="K294" i="5"/>
  <c r="K271" i="5" s="1"/>
  <c r="K96" i="5"/>
  <c r="J73" i="5" s="1"/>
  <c r="K162" i="5"/>
  <c r="J139" i="5" s="1"/>
  <c r="K228" i="5"/>
  <c r="I205" i="5" s="1"/>
  <c r="K129" i="5"/>
  <c r="I106" i="5" s="1"/>
  <c r="K63" i="3"/>
  <c r="J40" i="3" s="1"/>
  <c r="K261" i="3"/>
  <c r="J238" i="3" s="1"/>
  <c r="K129" i="3"/>
  <c r="K195" i="3"/>
  <c r="K228" i="3"/>
  <c r="K96" i="3"/>
  <c r="K327" i="3"/>
  <c r="I304" i="3" s="1"/>
  <c r="J139" i="3" l="1"/>
  <c r="H10" i="6" s="1"/>
  <c r="K139" i="3"/>
  <c r="I10" i="4" s="1"/>
  <c r="I172" i="5"/>
  <c r="J172" i="5"/>
  <c r="K7" i="3"/>
  <c r="I6" i="6" s="1"/>
  <c r="G6" i="4"/>
  <c r="H7" i="4"/>
  <c r="H7" i="6"/>
  <c r="J7" i="3"/>
  <c r="G15" i="4"/>
  <c r="G15" i="6"/>
  <c r="G10" i="4"/>
  <c r="G10" i="6"/>
  <c r="H13" i="4"/>
  <c r="H13" i="6"/>
  <c r="I14" i="4"/>
  <c r="I14" i="6"/>
  <c r="I238" i="5"/>
  <c r="K238" i="5"/>
  <c r="K40" i="5"/>
  <c r="K139" i="5"/>
  <c r="I271" i="3"/>
  <c r="J271" i="3"/>
  <c r="I139" i="5"/>
  <c r="K304" i="5"/>
  <c r="I304" i="5"/>
  <c r="J106" i="5"/>
  <c r="I40" i="5"/>
  <c r="I73" i="5"/>
  <c r="K106" i="5"/>
  <c r="J271" i="5"/>
  <c r="I271" i="5"/>
  <c r="J205" i="5"/>
  <c r="K205" i="5"/>
  <c r="K73" i="5"/>
  <c r="K238" i="3"/>
  <c r="I238" i="3"/>
  <c r="K40" i="3"/>
  <c r="I40" i="3"/>
  <c r="J106" i="3"/>
  <c r="K106" i="3"/>
  <c r="I106" i="3"/>
  <c r="I73" i="3"/>
  <c r="J73" i="3"/>
  <c r="K73" i="3"/>
  <c r="J205" i="3"/>
  <c r="K205" i="3"/>
  <c r="I205" i="3"/>
  <c r="I172" i="3"/>
  <c r="K172" i="3"/>
  <c r="J172" i="3"/>
  <c r="K304" i="3"/>
  <c r="J304" i="3"/>
  <c r="I10" i="6" l="1"/>
  <c r="V10" i="6" s="1"/>
  <c r="H10" i="4"/>
  <c r="I6" i="4"/>
  <c r="H15" i="4"/>
  <c r="H15" i="6"/>
  <c r="I8" i="4"/>
  <c r="I8" i="6"/>
  <c r="G13" i="4"/>
  <c r="G13" i="6"/>
  <c r="I15" i="4"/>
  <c r="I15" i="6"/>
  <c r="G9" i="4"/>
  <c r="G9" i="6"/>
  <c r="G8" i="4"/>
  <c r="G8" i="6"/>
  <c r="I11" i="4"/>
  <c r="I11" i="6"/>
  <c r="I9" i="4"/>
  <c r="I9" i="6"/>
  <c r="H8" i="4"/>
  <c r="H8" i="6"/>
  <c r="G12" i="4"/>
  <c r="G12" i="6"/>
  <c r="I13" i="4"/>
  <c r="I13" i="6"/>
  <c r="H11" i="4"/>
  <c r="H11" i="6"/>
  <c r="G11" i="4"/>
  <c r="G11" i="6"/>
  <c r="H9" i="4"/>
  <c r="H9" i="6"/>
  <c r="I12" i="4"/>
  <c r="I12" i="6"/>
  <c r="G7" i="4"/>
  <c r="G7" i="6"/>
  <c r="H14" i="4"/>
  <c r="H14" i="6"/>
  <c r="H12" i="4"/>
  <c r="H12" i="6"/>
  <c r="I7" i="4"/>
  <c r="I7" i="6"/>
  <c r="G14" i="4"/>
  <c r="G14" i="6"/>
  <c r="H6" i="4"/>
  <c r="H6" i="6"/>
  <c r="V6" i="6" s="1"/>
  <c r="AB6" i="6" l="1"/>
  <c r="AK6" i="6" s="1"/>
  <c r="AD10" i="6"/>
  <c r="AM10" i="6" s="1"/>
  <c r="W10" i="6"/>
  <c r="AB10" i="6" s="1"/>
  <c r="AK10" i="6" s="1"/>
  <c r="V11" i="6"/>
  <c r="V9" i="6"/>
  <c r="V15" i="6"/>
  <c r="V14" i="6"/>
  <c r="V12" i="6"/>
  <c r="V8" i="6"/>
  <c r="V7" i="6"/>
  <c r="V13" i="6"/>
  <c r="AC10" i="6" l="1"/>
  <c r="AL10" i="6" s="1"/>
  <c r="AB14" i="6"/>
  <c r="AK14" i="6" s="1"/>
  <c r="AB7" i="6"/>
  <c r="AK7" i="6" s="1"/>
  <c r="AD15" i="6"/>
  <c r="AM15" i="6" s="1"/>
  <c r="W15" i="6"/>
  <c r="AB15" i="6" s="1"/>
  <c r="AK15" i="6" s="1"/>
  <c r="AC15" i="6"/>
  <c r="AL15" i="6" s="1"/>
  <c r="AD11" i="6"/>
  <c r="AM11" i="6" s="1"/>
  <c r="AC13" i="6"/>
  <c r="AL13" i="6" s="1"/>
  <c r="AB13" i="6"/>
  <c r="AK13" i="6" s="1"/>
  <c r="AC8" i="6"/>
  <c r="AL8" i="6" s="1"/>
  <c r="AD8" i="6"/>
  <c r="AM8" i="6" s="1"/>
  <c r="AD12" i="6"/>
  <c r="AM12" i="6" s="1"/>
  <c r="AC12" i="6"/>
  <c r="AL12" i="6" s="1"/>
  <c r="AD9" i="6"/>
  <c r="AM9" i="6" s="1"/>
  <c r="Z10" i="6"/>
  <c r="W11" i="6"/>
  <c r="AB11" i="6" s="1"/>
  <c r="AK11" i="6" s="1"/>
  <c r="W9" i="6"/>
  <c r="AC9" i="6" s="1"/>
  <c r="AL9" i="6" s="1"/>
  <c r="W14" i="6"/>
  <c r="AD14" i="6" s="1"/>
  <c r="AM14" i="6" s="1"/>
  <c r="W13" i="6"/>
  <c r="AD13" i="6" s="1"/>
  <c r="AM13" i="6" s="1"/>
  <c r="W8" i="6"/>
  <c r="AB8" i="6" s="1"/>
  <c r="AK8" i="6" s="1"/>
  <c r="W7" i="6"/>
  <c r="AD7" i="6" s="1"/>
  <c r="AM7" i="6" s="1"/>
  <c r="W12" i="6"/>
  <c r="AB12" i="6" s="1"/>
  <c r="AK12" i="6" s="1"/>
  <c r="AB9" i="6" l="1"/>
  <c r="AK9" i="6" s="1"/>
  <c r="AC7" i="6"/>
  <c r="AL7" i="6" s="1"/>
  <c r="AC11" i="6"/>
  <c r="AL11" i="6" s="1"/>
  <c r="AC14" i="6"/>
  <c r="AL14" i="6" s="1"/>
  <c r="Z15" i="6"/>
  <c r="Z9" i="6"/>
  <c r="Z14" i="6"/>
  <c r="Z11" i="6"/>
  <c r="Z12" i="6"/>
  <c r="Z7" i="6"/>
  <c r="Z8" i="6"/>
  <c r="Z13" i="6"/>
  <c r="D8" i="5" l="1"/>
  <c r="F8" i="5" s="1"/>
  <c r="F13" i="5" s="1"/>
  <c r="C6" i="6"/>
  <c r="G8" i="5" l="1"/>
  <c r="J14" i="5" s="1"/>
  <c r="F27" i="5" s="1"/>
  <c r="M6" i="6"/>
  <c r="P6" i="6" s="1"/>
  <c r="T6" i="6"/>
  <c r="S6" i="6"/>
  <c r="K6" i="6"/>
  <c r="L6" i="6"/>
  <c r="O6" i="6" s="1"/>
  <c r="G13" i="5"/>
  <c r="H13" i="5"/>
  <c r="K13" i="5"/>
  <c r="I13" i="5"/>
  <c r="E13" i="5"/>
  <c r="J13" i="5"/>
  <c r="K14" i="5" l="1"/>
  <c r="I28" i="5" s="1"/>
  <c r="H14" i="5"/>
  <c r="K25" i="5" s="1"/>
  <c r="I27" i="5"/>
  <c r="G14" i="5"/>
  <c r="K24" i="5" s="1"/>
  <c r="G27" i="5"/>
  <c r="E14" i="5"/>
  <c r="F22" i="5" s="1"/>
  <c r="I14" i="5"/>
  <c r="F26" i="5" s="1"/>
  <c r="F14" i="5"/>
  <c r="I23" i="5" s="1"/>
  <c r="R6" i="6"/>
  <c r="W6" i="6" s="1"/>
  <c r="AC6" i="6" s="1"/>
  <c r="AL6" i="6" s="1"/>
  <c r="K27" i="5"/>
  <c r="E27" i="5"/>
  <c r="J27" i="5"/>
  <c r="H27" i="5"/>
  <c r="Z6" i="6" l="1"/>
  <c r="AA6" i="6" s="1"/>
  <c r="AD6" i="6"/>
  <c r="AM6" i="6" s="1"/>
  <c r="H28" i="5"/>
  <c r="G28" i="5"/>
  <c r="K28" i="5"/>
  <c r="J24" i="5"/>
  <c r="E28" i="5"/>
  <c r="X6" i="6"/>
  <c r="I22" i="5"/>
  <c r="G24" i="5"/>
  <c r="H24" i="5"/>
  <c r="E22" i="5"/>
  <c r="J22" i="5"/>
  <c r="J25" i="5"/>
  <c r="J28" i="5"/>
  <c r="I25" i="5"/>
  <c r="G25" i="5"/>
  <c r="E24" i="5"/>
  <c r="F25" i="5"/>
  <c r="F28" i="5"/>
  <c r="E25" i="5"/>
  <c r="H25" i="5"/>
  <c r="I26" i="5"/>
  <c r="E23" i="5"/>
  <c r="J23" i="5"/>
  <c r="G23" i="5"/>
  <c r="K23" i="5"/>
  <c r="H23" i="5"/>
  <c r="F24" i="5"/>
  <c r="I24" i="5"/>
  <c r="H22" i="5"/>
  <c r="K26" i="5"/>
  <c r="J26" i="5"/>
  <c r="E26" i="5"/>
  <c r="H26" i="5"/>
  <c r="K22" i="5"/>
  <c r="F23" i="5"/>
  <c r="G26" i="5"/>
  <c r="G22" i="5"/>
  <c r="K30" i="5" l="1"/>
  <c r="I7" i="5" s="1"/>
  <c r="K7" i="5" l="1"/>
  <c r="J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Caelen Brown</author>
  </authors>
  <commentList>
    <comment ref="G7" authorId="0" shapeId="0" xr:uid="{E74B2AB2-70D6-489C-A1B4-81E356547609}">
      <text>
        <r>
          <rPr>
            <b/>
            <sz val="9"/>
            <color indexed="81"/>
            <rFont val="Tahoma"/>
            <charset val="1"/>
          </rPr>
          <t>Caelen Brown:</t>
        </r>
        <r>
          <rPr>
            <sz val="9"/>
            <color indexed="81"/>
            <rFont val="Tahoma"/>
            <charset val="1"/>
          </rPr>
          <t xml:space="preserve">
Best odds from a cominbation of several UK bookmakers including, bet365, betway and WilliamHill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Caelen Brown</author>
  </authors>
  <commentList>
    <comment ref="H10" authorId="0" shapeId="0" xr:uid="{A5A71D11-47F0-4FA8-8201-43B7EAE8E8BC}">
      <text>
        <r>
          <rPr>
            <b/>
            <sz val="9"/>
            <color indexed="81"/>
            <rFont val="Tahoma"/>
            <charset val="1"/>
          </rPr>
          <t>Caelen Brown:</t>
        </r>
        <r>
          <rPr>
            <sz val="9"/>
            <color indexed="81"/>
            <rFont val="Tahoma"/>
            <charset val="1"/>
          </rPr>
          <t xml:space="preserve">
Home goal conceded= total number of goals conceded/ number of games played
Did the same for expected goals in the sheet
Attacking strength and Defensive weakness
- Average Number of team goals scored/ Average number of goals scored by each team in leagye
- Average number of team goals conceded/ average number goals conceded by each team in the league</t>
        </r>
      </text>
    </comment>
    <comment ref="H43" authorId="0" shapeId="0" xr:uid="{D0DA719E-C4A8-46B2-A631-53C5B0837ED0}">
      <text>
        <r>
          <rPr>
            <b/>
            <sz val="9"/>
            <color indexed="81"/>
            <rFont val="Tahoma"/>
            <charset val="1"/>
          </rPr>
          <t>Caelen Brown:</t>
        </r>
        <r>
          <rPr>
            <sz val="9"/>
            <color indexed="81"/>
            <rFont val="Tahoma"/>
            <charset val="1"/>
          </rPr>
          <t xml:space="preserve">
Home goal conceded= total number of goals conceded/ number of games played
Did the same for expected goals in the sheet
Attacking strength and Defensive weakness
- Average Number of team goals scored/ Average number of goals scored by each team in leagye
- Average number of team goals conceded/ average number goals conceded by each team in the league</t>
        </r>
      </text>
    </comment>
    <comment ref="H74" authorId="0" shapeId="0" xr:uid="{4868EE44-5079-421F-9072-B911298A3EEC}">
      <text>
        <r>
          <rPr>
            <b/>
            <sz val="9"/>
            <color indexed="81"/>
            <rFont val="Tahoma"/>
            <charset val="1"/>
          </rPr>
          <t>Caelen Brown:</t>
        </r>
        <r>
          <rPr>
            <sz val="9"/>
            <color indexed="81"/>
            <rFont val="Tahoma"/>
            <charset val="1"/>
          </rPr>
          <t xml:space="preserve">
Home goal conceded= total number of goals conceded/ number of games played
Did the same for expected goals in the sheet
Attacking strength and Defensive weakness
- Average Number of team goals scored/ Average number of goals scored by each team in leagye
- Average number of team goals conceded/ average number goals conceded by each team in the league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Caelen Brown</author>
  </authors>
  <commentList>
    <comment ref="AP2" authorId="0" shapeId="0" xr:uid="{DBBC95AB-372F-4644-81B1-A8B224869838}">
      <text>
        <r>
          <rPr>
            <b/>
            <sz val="9"/>
            <color indexed="81"/>
            <rFont val="Tahoma"/>
            <charset val="1"/>
          </rPr>
          <t>Caelen Brown:</t>
        </r>
        <r>
          <rPr>
            <sz val="9"/>
            <color indexed="81"/>
            <rFont val="Tahoma"/>
            <charset val="1"/>
          </rPr>
          <t xml:space="preserve">
Market didn’t do any draws so cannot divide by zero so manually typed it</t>
        </r>
      </text>
    </comment>
  </commentList>
</comments>
</file>

<file path=xl/sharedStrings.xml><?xml version="1.0" encoding="utf-8"?>
<sst xmlns="http://schemas.openxmlformats.org/spreadsheetml/2006/main" count="9335" uniqueCount="191">
  <si>
    <t>season</t>
  </si>
  <si>
    <t>date</t>
  </si>
  <si>
    <t>league_id</t>
  </si>
  <si>
    <t>league</t>
  </si>
  <si>
    <t>team1</t>
  </si>
  <si>
    <t>team2</t>
  </si>
  <si>
    <t>spi1</t>
  </si>
  <si>
    <t>spi2</t>
  </si>
  <si>
    <t>prob1</t>
  </si>
  <si>
    <t>prob2</t>
  </si>
  <si>
    <t>probtie</t>
  </si>
  <si>
    <t>proj_score1</t>
  </si>
  <si>
    <t>proj_score2</t>
  </si>
  <si>
    <t>importance1</t>
  </si>
  <si>
    <t>importance2</t>
  </si>
  <si>
    <t>score1</t>
  </si>
  <si>
    <t>score2</t>
  </si>
  <si>
    <t>xg1</t>
  </si>
  <si>
    <t>xg2</t>
  </si>
  <si>
    <t>nsxg1</t>
  </si>
  <si>
    <t>nsxg2</t>
  </si>
  <si>
    <t>adj_score1</t>
  </si>
  <si>
    <t>adj_score2</t>
  </si>
  <si>
    <t>Barclays Premier League</t>
  </si>
  <si>
    <t>Hull City</t>
  </si>
  <si>
    <t>Leicester City</t>
  </si>
  <si>
    <t>Middlesbrough</t>
  </si>
  <si>
    <t>Stoke City</t>
  </si>
  <si>
    <t>Everton</t>
  </si>
  <si>
    <t>Tottenham Hotspur</t>
  </si>
  <si>
    <t>Crystal Palace</t>
  </si>
  <si>
    <t>West Bromwich Albion</t>
  </si>
  <si>
    <t>Burnley</t>
  </si>
  <si>
    <t>Swansea City</t>
  </si>
  <si>
    <t>Southampton</t>
  </si>
  <si>
    <t>Watford</t>
  </si>
  <si>
    <t>Manchester City</t>
  </si>
  <si>
    <t>Sunderland</t>
  </si>
  <si>
    <t>AFC Bournemouth</t>
  </si>
  <si>
    <t>Manchester United</t>
  </si>
  <si>
    <t>Arsenal</t>
  </si>
  <si>
    <t>Liverpool</t>
  </si>
  <si>
    <t>Chelsea</t>
  </si>
  <si>
    <t>West Ham United</t>
  </si>
  <si>
    <t>Huddersfield Town</t>
  </si>
  <si>
    <t>Brighton and Hove Albion</t>
  </si>
  <si>
    <t>Newcastle</t>
  </si>
  <si>
    <t>Cardiff City</t>
  </si>
  <si>
    <t>Fulham</t>
  </si>
  <si>
    <t>Wolverhampton</t>
  </si>
  <si>
    <t>Norwich City</t>
  </si>
  <si>
    <t>Sheffield United</t>
  </si>
  <si>
    <t>Aston Villa</t>
  </si>
  <si>
    <t>Leeds United</t>
  </si>
  <si>
    <t>Season 18/19</t>
  </si>
  <si>
    <t>AGC</t>
  </si>
  <si>
    <t>AGS</t>
  </si>
  <si>
    <t>HGC</t>
  </si>
  <si>
    <t>HGS</t>
  </si>
  <si>
    <t>HGP</t>
  </si>
  <si>
    <t>AGP</t>
  </si>
  <si>
    <t>HXGS</t>
  </si>
  <si>
    <t>HXGC</t>
  </si>
  <si>
    <t>AXGS</t>
  </si>
  <si>
    <t>AXGC</t>
  </si>
  <si>
    <t>Home Average goal scored</t>
  </si>
  <si>
    <t>Home average goal conceded</t>
  </si>
  <si>
    <t>Away Average goal scored</t>
  </si>
  <si>
    <t>Away average goal conceded</t>
  </si>
  <si>
    <t>Home AS</t>
  </si>
  <si>
    <t>Away AS</t>
  </si>
  <si>
    <t>Home DW</t>
  </si>
  <si>
    <t>Away DW</t>
  </si>
  <si>
    <t>XHome AS</t>
  </si>
  <si>
    <t>XHome DW</t>
  </si>
  <si>
    <t>XAway AS</t>
  </si>
  <si>
    <t>XAway DW</t>
  </si>
  <si>
    <t>XHome Average goal scored</t>
  </si>
  <si>
    <t>XHome average goal conceded</t>
  </si>
  <si>
    <t>XAway Average goal scored</t>
  </si>
  <si>
    <t>XAway average goal conceded</t>
  </si>
  <si>
    <t xml:space="preserve">Team 1 </t>
  </si>
  <si>
    <t>Team 2</t>
  </si>
  <si>
    <t>Team 1</t>
  </si>
  <si>
    <t>Score Predictor</t>
  </si>
  <si>
    <t>Game 1</t>
  </si>
  <si>
    <t xml:space="preserve">Prob </t>
  </si>
  <si>
    <t>Sum</t>
  </si>
  <si>
    <t>Draw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</si>
  <si>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</si>
  <si>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</si>
  <si>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</si>
  <si>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</si>
  <si>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</si>
  <si>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</si>
  <si>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</si>
  <si>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</si>
  <si>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Game 10</t>
  </si>
  <si>
    <t>Real Goals</t>
  </si>
  <si>
    <t>XG</t>
  </si>
  <si>
    <t>Season 19/20</t>
  </si>
  <si>
    <t>Season 2019</t>
  </si>
  <si>
    <t>Season 2018</t>
  </si>
  <si>
    <t>H</t>
  </si>
  <si>
    <t>D</t>
  </si>
  <si>
    <t>A</t>
  </si>
  <si>
    <t>Betfair odds</t>
  </si>
  <si>
    <t>Model Implied Probability</t>
  </si>
  <si>
    <t>Betfair implied probability</t>
  </si>
  <si>
    <t>Week 7</t>
  </si>
  <si>
    <t>Real Winner</t>
  </si>
  <si>
    <t>Model Correct</t>
  </si>
  <si>
    <t>Model Winner</t>
  </si>
  <si>
    <t>Model V Betfair</t>
  </si>
  <si>
    <t>Percentage Correct</t>
  </si>
  <si>
    <t>My Model</t>
  </si>
  <si>
    <t>Percentage Better v Betfair</t>
  </si>
  <si>
    <t/>
  </si>
  <si>
    <t xml:space="preserve">Max H </t>
  </si>
  <si>
    <t>Max D</t>
  </si>
  <si>
    <t>Max A</t>
  </si>
  <si>
    <t xml:space="preserve">Home </t>
  </si>
  <si>
    <t>Away</t>
  </si>
  <si>
    <t xml:space="preserve">man city </t>
  </si>
  <si>
    <t>Combination of seasons</t>
  </si>
  <si>
    <t>Number of Games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</si>
  <si>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</si>
  <si>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</si>
  <si>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</si>
  <si>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</si>
  <si>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</si>
  <si>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</si>
  <si>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</si>
  <si>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</si>
  <si>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</si>
  <si>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</si>
  <si>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</si>
  <si>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</si>
  <si>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</si>
  <si>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</si>
  <si>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</si>
  <si>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</si>
  <si>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</si>
  <si>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</si>
  <si>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</si>
  <si>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</si>
  <si>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</si>
  <si>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</si>
  <si>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</si>
  <si>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</si>
  <si>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</si>
  <si>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</si>
  <si>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</si>
  <si>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</si>
  <si>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</si>
  <si>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</si>
  <si>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</si>
  <si>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First week without fans</t>
  </si>
  <si>
    <t>Total correct</t>
  </si>
  <si>
    <t>Total correct with fans</t>
  </si>
  <si>
    <t>Better than Odds</t>
  </si>
  <si>
    <t>Better than Odds with fans</t>
  </si>
  <si>
    <t>Odds Winner</t>
  </si>
  <si>
    <t>Odds Correct</t>
  </si>
  <si>
    <t>Odds Total correct</t>
  </si>
  <si>
    <t>Odds Total correct with fans</t>
  </si>
  <si>
    <t>Model Home</t>
  </si>
  <si>
    <t>Model Draw</t>
  </si>
  <si>
    <t>Model Away</t>
  </si>
  <si>
    <t>Model draw</t>
  </si>
  <si>
    <t>Model away</t>
  </si>
  <si>
    <t>Model  Home</t>
  </si>
  <si>
    <t>Odds Home</t>
  </si>
  <si>
    <t>Odds Draw</t>
  </si>
  <si>
    <t>Odds Away</t>
  </si>
  <si>
    <t>Market Home</t>
  </si>
  <si>
    <t>Market Draw</t>
  </si>
  <si>
    <t>Market Away</t>
  </si>
  <si>
    <t>Home winnings</t>
  </si>
  <si>
    <t xml:space="preserve">Draw winnings </t>
  </si>
  <si>
    <t>Away winnings</t>
  </si>
  <si>
    <t>Home winning</t>
  </si>
  <si>
    <t>Draw winning</t>
  </si>
  <si>
    <t>Away winning</t>
  </si>
  <si>
    <t>Home</t>
  </si>
  <si>
    <t>Market odds</t>
  </si>
  <si>
    <t>Market implied probability</t>
  </si>
  <si>
    <t>Market</t>
  </si>
  <si>
    <t>Model V Market</t>
  </si>
  <si>
    <t>Percentage Better v Market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</si>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</sst>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0" fontId="0" fillId="0" borderId="0" xfId="0" applyNumberFormat="1" applyBorder="1"/>
    <xf numFmtId="165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9" xfId="0" applyFill="1" applyBorder="1"/>
    <xf numFmtId="9" fontId="0" fillId="2" borderId="9" xfId="0" applyNumberFormat="1" applyFill="1" applyBorder="1"/>
    <xf numFmtId="0" fontId="0" fillId="3" borderId="0" xfId="0" applyFill="1"/>
    <xf numFmtId="164" fontId="0" fillId="3" borderId="0" xfId="0" applyNumberFormat="1" applyFill="1"/>
    <xf numFmtId="0" fontId="0" fillId="3" borderId="9" xfId="0" applyFill="1" applyBorder="1"/>
    <xf numFmtId="165" fontId="0" fillId="0" borderId="0" xfId="0" applyNumberFormat="1"/>
    <xf numFmtId="165" fontId="0" fillId="0" borderId="0" xfId="0" quotePrefix="1" applyNumberFormat="1"/>
    <xf numFmtId="0" fontId="0" fillId="4" borderId="0" xfId="0" applyFill="1"/>
    <xf numFmtId="0" fontId="0" fillId="5" borderId="0" xfId="0" applyFill="1" applyBorder="1"/>
    <xf numFmtId="10" fontId="0" fillId="3" borderId="9" xfId="0" applyNumberForma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A311-114E-47FB-83D6-562F783A9B0C}">
  <sheetPr filterMode="1"/>
  <dimension ref="A2:X1902"/>
  <sheetViews>
    <sheetView zoomScale="66" workbookViewId="0">
      <selection activeCell="J1904" sqref="J1904"/>
    </sheetView>
    <sheetView topLeftCell="A1419" zoomScale="73" workbookViewId="1">
      <selection activeCell="D1438" sqref="D1438"/>
    </sheetView>
  </sheetViews>
  <sheetFormatPr defaultRowHeight="14.5" x14ac:dyDescent="0.35"/>
  <cols>
    <col min="1" max="1" width="14.08984375" customWidth="1"/>
    <col min="3" max="3" width="11.36328125" bestFit="1" customWidth="1"/>
  </cols>
  <sheetData>
    <row r="2" spans="2:2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2:24" hidden="1" x14ac:dyDescent="0.35">
      <c r="B3">
        <v>2016</v>
      </c>
      <c r="C3" s="1">
        <v>42595</v>
      </c>
      <c r="D3">
        <v>2411</v>
      </c>
      <c r="E3" t="s">
        <v>23</v>
      </c>
      <c r="F3" t="s">
        <v>24</v>
      </c>
      <c r="G3" t="s">
        <v>25</v>
      </c>
      <c r="H3">
        <v>53.57</v>
      </c>
      <c r="I3">
        <v>66.81</v>
      </c>
      <c r="J3">
        <v>0.34589999999999999</v>
      </c>
      <c r="K3">
        <v>0.36209999999999998</v>
      </c>
      <c r="L3">
        <v>0.29210000000000003</v>
      </c>
      <c r="M3">
        <v>1.1599999999999999</v>
      </c>
      <c r="N3">
        <v>1.24</v>
      </c>
      <c r="O3">
        <v>38.1</v>
      </c>
      <c r="P3">
        <v>22.2</v>
      </c>
      <c r="Q3">
        <v>2</v>
      </c>
      <c r="R3">
        <v>1</v>
      </c>
      <c r="S3">
        <v>0.85</v>
      </c>
      <c r="T3">
        <v>2.77</v>
      </c>
      <c r="U3">
        <v>0.17</v>
      </c>
      <c r="V3">
        <v>1.25</v>
      </c>
      <c r="W3">
        <v>2.1</v>
      </c>
      <c r="X3">
        <v>1.05</v>
      </c>
    </row>
    <row r="4" spans="2:24" hidden="1" x14ac:dyDescent="0.35">
      <c r="B4">
        <v>2016</v>
      </c>
      <c r="C4" s="1">
        <v>42595</v>
      </c>
      <c r="D4">
        <v>2411</v>
      </c>
      <c r="E4" t="s">
        <v>23</v>
      </c>
      <c r="F4" t="s">
        <v>26</v>
      </c>
      <c r="G4" t="s">
        <v>27</v>
      </c>
      <c r="H4">
        <v>56.32</v>
      </c>
      <c r="I4">
        <v>60.35</v>
      </c>
      <c r="J4">
        <v>0.438</v>
      </c>
      <c r="K4">
        <v>0.26919999999999999</v>
      </c>
      <c r="L4">
        <v>0.29270000000000002</v>
      </c>
      <c r="M4">
        <v>1.3</v>
      </c>
      <c r="N4">
        <v>1.01</v>
      </c>
      <c r="O4">
        <v>33.9</v>
      </c>
      <c r="P4">
        <v>32.5</v>
      </c>
      <c r="Q4">
        <v>1</v>
      </c>
      <c r="R4">
        <v>1</v>
      </c>
      <c r="S4">
        <v>1.4</v>
      </c>
      <c r="T4">
        <v>0.55000000000000004</v>
      </c>
      <c r="U4">
        <v>1.1299999999999999</v>
      </c>
      <c r="V4">
        <v>1.06</v>
      </c>
      <c r="W4">
        <v>1.05</v>
      </c>
      <c r="X4">
        <v>1.05</v>
      </c>
    </row>
    <row r="5" spans="2:24" hidden="1" x14ac:dyDescent="0.35">
      <c r="B5">
        <v>2016</v>
      </c>
      <c r="C5" s="1">
        <v>42595</v>
      </c>
      <c r="D5">
        <v>2411</v>
      </c>
      <c r="E5" t="s">
        <v>23</v>
      </c>
      <c r="F5" t="s">
        <v>28</v>
      </c>
      <c r="G5" t="s">
        <v>29</v>
      </c>
      <c r="H5">
        <v>68.02</v>
      </c>
      <c r="I5">
        <v>73.25</v>
      </c>
      <c r="J5">
        <v>0.39100000000000001</v>
      </c>
      <c r="K5">
        <v>0.34010000000000001</v>
      </c>
      <c r="L5">
        <v>0.26889999999999997</v>
      </c>
      <c r="M5">
        <v>1.47</v>
      </c>
      <c r="N5">
        <v>1.38</v>
      </c>
      <c r="O5">
        <v>31.9</v>
      </c>
      <c r="P5">
        <v>48</v>
      </c>
      <c r="Q5">
        <v>1</v>
      </c>
      <c r="R5">
        <v>1</v>
      </c>
      <c r="S5">
        <v>0.73</v>
      </c>
      <c r="T5">
        <v>1.1100000000000001</v>
      </c>
      <c r="U5">
        <v>0.88</v>
      </c>
      <c r="V5">
        <v>1.81</v>
      </c>
      <c r="W5">
        <v>1.05</v>
      </c>
      <c r="X5">
        <v>1.05</v>
      </c>
    </row>
    <row r="6" spans="2:24" hidden="1" x14ac:dyDescent="0.35">
      <c r="B6">
        <v>2016</v>
      </c>
      <c r="C6" s="1">
        <v>42595</v>
      </c>
      <c r="D6">
        <v>2411</v>
      </c>
      <c r="E6" t="s">
        <v>23</v>
      </c>
      <c r="F6" t="s">
        <v>30</v>
      </c>
      <c r="G6" t="s">
        <v>31</v>
      </c>
      <c r="H6">
        <v>55.19</v>
      </c>
      <c r="I6">
        <v>58.66</v>
      </c>
      <c r="J6">
        <v>0.4214</v>
      </c>
      <c r="K6">
        <v>0.29389999999999999</v>
      </c>
      <c r="L6">
        <v>0.28470000000000001</v>
      </c>
      <c r="M6">
        <v>1.35</v>
      </c>
      <c r="N6">
        <v>1.1399999999999999</v>
      </c>
      <c r="O6">
        <v>43.6</v>
      </c>
      <c r="P6">
        <v>34.6</v>
      </c>
      <c r="Q6">
        <v>0</v>
      </c>
      <c r="R6">
        <v>1</v>
      </c>
      <c r="S6">
        <v>1.1100000000000001</v>
      </c>
      <c r="T6">
        <v>0.68</v>
      </c>
      <c r="U6">
        <v>0.84</v>
      </c>
      <c r="V6">
        <v>1.6</v>
      </c>
      <c r="W6">
        <v>0</v>
      </c>
      <c r="X6">
        <v>1.05</v>
      </c>
    </row>
    <row r="7" spans="2:24" hidden="1" x14ac:dyDescent="0.35">
      <c r="B7">
        <v>2016</v>
      </c>
      <c r="C7" s="1">
        <v>42595</v>
      </c>
      <c r="D7">
        <v>2411</v>
      </c>
      <c r="E7" t="s">
        <v>23</v>
      </c>
      <c r="F7" t="s">
        <v>32</v>
      </c>
      <c r="G7" t="s">
        <v>33</v>
      </c>
      <c r="H7">
        <v>58.98</v>
      </c>
      <c r="I7">
        <v>59.74</v>
      </c>
      <c r="J7">
        <v>0.44819999999999999</v>
      </c>
      <c r="K7">
        <v>0.26629999999999998</v>
      </c>
      <c r="L7">
        <v>0.28539999999999999</v>
      </c>
      <c r="M7">
        <v>1.37</v>
      </c>
      <c r="N7">
        <v>1.05</v>
      </c>
      <c r="O7">
        <v>36.5</v>
      </c>
      <c r="P7">
        <v>29.1</v>
      </c>
      <c r="Q7">
        <v>0</v>
      </c>
      <c r="R7">
        <v>1</v>
      </c>
      <c r="S7">
        <v>1.24</v>
      </c>
      <c r="T7">
        <v>1.84</v>
      </c>
      <c r="U7">
        <v>1.71</v>
      </c>
      <c r="V7">
        <v>1.56</v>
      </c>
      <c r="W7">
        <v>0</v>
      </c>
      <c r="X7">
        <v>1.05</v>
      </c>
    </row>
    <row r="8" spans="2:24" hidden="1" x14ac:dyDescent="0.35">
      <c r="B8">
        <v>2016</v>
      </c>
      <c r="C8" s="1">
        <v>42595</v>
      </c>
      <c r="D8">
        <v>2411</v>
      </c>
      <c r="E8" t="s">
        <v>23</v>
      </c>
      <c r="F8" t="s">
        <v>34</v>
      </c>
      <c r="G8" t="s">
        <v>35</v>
      </c>
      <c r="H8">
        <v>69.489999999999995</v>
      </c>
      <c r="I8">
        <v>59.33</v>
      </c>
      <c r="J8">
        <v>0.57589999999999997</v>
      </c>
      <c r="K8">
        <v>0.18740000000000001</v>
      </c>
      <c r="L8">
        <v>0.23669999999999999</v>
      </c>
      <c r="M8">
        <v>1.91</v>
      </c>
      <c r="N8">
        <v>1.05</v>
      </c>
      <c r="O8">
        <v>34.1</v>
      </c>
      <c r="P8">
        <v>30.7</v>
      </c>
      <c r="Q8">
        <v>1</v>
      </c>
      <c r="R8">
        <v>1</v>
      </c>
      <c r="S8">
        <v>1.05</v>
      </c>
      <c r="T8">
        <v>0.22</v>
      </c>
      <c r="U8">
        <v>1.52</v>
      </c>
      <c r="V8">
        <v>0.41</v>
      </c>
      <c r="W8">
        <v>1.05</v>
      </c>
      <c r="X8">
        <v>1.05</v>
      </c>
    </row>
    <row r="9" spans="2:24" hidden="1" x14ac:dyDescent="0.35">
      <c r="B9">
        <v>2016</v>
      </c>
      <c r="C9" s="1">
        <v>42595</v>
      </c>
      <c r="D9">
        <v>2411</v>
      </c>
      <c r="E9" t="s">
        <v>23</v>
      </c>
      <c r="F9" t="s">
        <v>36</v>
      </c>
      <c r="G9" t="s">
        <v>37</v>
      </c>
      <c r="H9">
        <v>86.42</v>
      </c>
      <c r="I9">
        <v>53.64</v>
      </c>
      <c r="J9">
        <v>0.81520000000000004</v>
      </c>
      <c r="K9">
        <v>5.2499999999999998E-2</v>
      </c>
      <c r="L9">
        <v>0.1323</v>
      </c>
      <c r="M9">
        <v>2.69</v>
      </c>
      <c r="N9">
        <v>0.48</v>
      </c>
      <c r="O9">
        <v>73</v>
      </c>
      <c r="P9">
        <v>27</v>
      </c>
      <c r="Q9">
        <v>2</v>
      </c>
      <c r="R9">
        <v>1</v>
      </c>
      <c r="S9">
        <v>2.14</v>
      </c>
      <c r="T9">
        <v>1.25</v>
      </c>
      <c r="U9">
        <v>1.81</v>
      </c>
      <c r="V9">
        <v>0.92</v>
      </c>
      <c r="W9">
        <v>2.1</v>
      </c>
      <c r="X9">
        <v>1.05</v>
      </c>
    </row>
    <row r="10" spans="2:24" hidden="1" x14ac:dyDescent="0.35">
      <c r="B10">
        <v>2016</v>
      </c>
      <c r="C10" s="1">
        <v>42596</v>
      </c>
      <c r="D10">
        <v>2411</v>
      </c>
      <c r="E10" t="s">
        <v>23</v>
      </c>
      <c r="F10" t="s">
        <v>38</v>
      </c>
      <c r="G10" t="s">
        <v>39</v>
      </c>
      <c r="H10">
        <v>61.57</v>
      </c>
      <c r="I10">
        <v>80.489999999999995</v>
      </c>
      <c r="J10">
        <v>0.21110000000000001</v>
      </c>
      <c r="K10">
        <v>0.54610000000000003</v>
      </c>
      <c r="L10">
        <v>0.24279999999999999</v>
      </c>
      <c r="M10">
        <v>1.1499999999999999</v>
      </c>
      <c r="N10">
        <v>1.78</v>
      </c>
      <c r="O10">
        <v>27.9</v>
      </c>
      <c r="P10">
        <v>58</v>
      </c>
      <c r="Q10">
        <v>1</v>
      </c>
      <c r="R10">
        <v>3</v>
      </c>
      <c r="S10">
        <v>0.51</v>
      </c>
      <c r="T10">
        <v>2.21</v>
      </c>
      <c r="U10">
        <v>1.1100000000000001</v>
      </c>
      <c r="V10">
        <v>0.88</v>
      </c>
      <c r="W10">
        <v>1.05</v>
      </c>
      <c r="X10">
        <v>3.15</v>
      </c>
    </row>
    <row r="11" spans="2:24" hidden="1" x14ac:dyDescent="0.35">
      <c r="B11">
        <v>2016</v>
      </c>
      <c r="C11" s="1">
        <v>42596</v>
      </c>
      <c r="D11">
        <v>2411</v>
      </c>
      <c r="E11" t="s">
        <v>23</v>
      </c>
      <c r="F11" t="s">
        <v>40</v>
      </c>
      <c r="G11" t="s">
        <v>41</v>
      </c>
      <c r="H11">
        <v>82.55</v>
      </c>
      <c r="I11">
        <v>77.44</v>
      </c>
      <c r="J11">
        <v>0.55510000000000004</v>
      </c>
      <c r="K11">
        <v>0.21149999999999999</v>
      </c>
      <c r="L11">
        <v>0.2334</v>
      </c>
      <c r="M11">
        <v>1.91</v>
      </c>
      <c r="N11">
        <v>1.21</v>
      </c>
      <c r="O11">
        <v>62.7</v>
      </c>
      <c r="P11">
        <v>63.9</v>
      </c>
      <c r="Q11">
        <v>3</v>
      </c>
      <c r="R11">
        <v>4</v>
      </c>
      <c r="S11">
        <v>1.1399999999999999</v>
      </c>
      <c r="T11">
        <v>1.84</v>
      </c>
      <c r="U11">
        <v>1.19</v>
      </c>
      <c r="V11">
        <v>1.49</v>
      </c>
      <c r="W11">
        <v>3.15</v>
      </c>
      <c r="X11">
        <v>4.2</v>
      </c>
    </row>
    <row r="12" spans="2:24" hidden="1" x14ac:dyDescent="0.35">
      <c r="B12">
        <v>2016</v>
      </c>
      <c r="C12" s="1">
        <v>42597</v>
      </c>
      <c r="D12">
        <v>2411</v>
      </c>
      <c r="E12" t="s">
        <v>23</v>
      </c>
      <c r="F12" t="s">
        <v>42</v>
      </c>
      <c r="G12" t="s">
        <v>43</v>
      </c>
      <c r="H12">
        <v>80.7</v>
      </c>
      <c r="I12">
        <v>63.27</v>
      </c>
      <c r="J12">
        <v>0.69079999999999997</v>
      </c>
      <c r="K12">
        <v>0.1177</v>
      </c>
      <c r="L12">
        <v>0.1915</v>
      </c>
      <c r="M12">
        <v>2.23</v>
      </c>
      <c r="N12">
        <v>0.91</v>
      </c>
      <c r="O12">
        <v>67.7</v>
      </c>
      <c r="P12">
        <v>25.5</v>
      </c>
      <c r="Q12">
        <v>2</v>
      </c>
      <c r="R12">
        <v>1</v>
      </c>
      <c r="S12">
        <v>1.55</v>
      </c>
      <c r="T12">
        <v>0.55000000000000004</v>
      </c>
      <c r="U12">
        <v>1.76</v>
      </c>
      <c r="V12">
        <v>0.75</v>
      </c>
      <c r="W12">
        <v>2.1</v>
      </c>
      <c r="X12">
        <v>1.05</v>
      </c>
    </row>
    <row r="13" spans="2:24" hidden="1" x14ac:dyDescent="0.35">
      <c r="B13">
        <v>2016</v>
      </c>
      <c r="C13" s="1">
        <v>42601</v>
      </c>
      <c r="D13">
        <v>2411</v>
      </c>
      <c r="E13" t="s">
        <v>23</v>
      </c>
      <c r="F13" t="s">
        <v>39</v>
      </c>
      <c r="G13" t="s">
        <v>34</v>
      </c>
      <c r="H13">
        <v>81.05</v>
      </c>
      <c r="I13">
        <v>69.22</v>
      </c>
      <c r="J13">
        <v>0.61970000000000003</v>
      </c>
      <c r="K13">
        <v>0.14940000000000001</v>
      </c>
      <c r="L13">
        <v>0.23089999999999999</v>
      </c>
      <c r="M13">
        <v>1.85</v>
      </c>
      <c r="N13">
        <v>0.87</v>
      </c>
      <c r="O13">
        <v>61.8</v>
      </c>
      <c r="P13">
        <v>41.6</v>
      </c>
      <c r="Q13">
        <v>2</v>
      </c>
      <c r="R13">
        <v>0</v>
      </c>
      <c r="S13">
        <v>1.37</v>
      </c>
      <c r="T13">
        <v>0.7</v>
      </c>
      <c r="U13">
        <v>1.59</v>
      </c>
      <c r="V13">
        <v>1.69</v>
      </c>
      <c r="W13">
        <v>2.1</v>
      </c>
      <c r="X13">
        <v>0</v>
      </c>
    </row>
    <row r="14" spans="2:24" hidden="1" x14ac:dyDescent="0.35">
      <c r="B14">
        <v>2016</v>
      </c>
      <c r="C14" s="1">
        <v>42602</v>
      </c>
      <c r="D14">
        <v>2411</v>
      </c>
      <c r="E14" t="s">
        <v>23</v>
      </c>
      <c r="F14" t="s">
        <v>27</v>
      </c>
      <c r="G14" t="s">
        <v>36</v>
      </c>
      <c r="H14">
        <v>60.42</v>
      </c>
      <c r="I14">
        <v>85.71</v>
      </c>
      <c r="J14">
        <v>0.1278</v>
      </c>
      <c r="K14">
        <v>0.67200000000000004</v>
      </c>
      <c r="L14">
        <v>0.20019999999999999</v>
      </c>
      <c r="M14">
        <v>0.99</v>
      </c>
      <c r="N14">
        <v>1.98</v>
      </c>
      <c r="O14">
        <v>28.9</v>
      </c>
      <c r="P14">
        <v>67</v>
      </c>
      <c r="Q14">
        <v>1</v>
      </c>
      <c r="R14">
        <v>4</v>
      </c>
      <c r="S14">
        <v>1.38</v>
      </c>
      <c r="T14">
        <v>2.2599999999999998</v>
      </c>
      <c r="U14">
        <v>0.83</v>
      </c>
      <c r="V14">
        <v>2.0499999999999998</v>
      </c>
      <c r="W14">
        <v>1.05</v>
      </c>
      <c r="X14">
        <v>3.27</v>
      </c>
    </row>
    <row r="15" spans="2:24" hidden="1" x14ac:dyDescent="0.35">
      <c r="B15">
        <v>2016</v>
      </c>
      <c r="C15" s="1">
        <v>42602</v>
      </c>
      <c r="D15">
        <v>2411</v>
      </c>
      <c r="E15" t="s">
        <v>23</v>
      </c>
      <c r="F15" t="s">
        <v>35</v>
      </c>
      <c r="G15" t="s">
        <v>42</v>
      </c>
      <c r="H15">
        <v>59.57</v>
      </c>
      <c r="I15">
        <v>80.510000000000005</v>
      </c>
      <c r="J15">
        <v>0.19550000000000001</v>
      </c>
      <c r="K15">
        <v>0.57830000000000004</v>
      </c>
      <c r="L15">
        <v>0.22620000000000001</v>
      </c>
      <c r="M15">
        <v>1.2</v>
      </c>
      <c r="N15">
        <v>1.98</v>
      </c>
      <c r="O15">
        <v>29.4</v>
      </c>
      <c r="P15">
        <v>60.3</v>
      </c>
      <c r="Q15">
        <v>1</v>
      </c>
      <c r="R15">
        <v>2</v>
      </c>
      <c r="S15">
        <v>0.76</v>
      </c>
      <c r="T15">
        <v>1.87</v>
      </c>
      <c r="U15">
        <v>0.47</v>
      </c>
      <c r="V15">
        <v>2.04</v>
      </c>
      <c r="W15">
        <v>1.05</v>
      </c>
      <c r="X15">
        <v>2.1</v>
      </c>
    </row>
    <row r="16" spans="2:24" hidden="1" x14ac:dyDescent="0.35">
      <c r="B16">
        <v>2016</v>
      </c>
      <c r="C16" s="1">
        <v>42602</v>
      </c>
      <c r="D16">
        <v>2411</v>
      </c>
      <c r="E16" t="s">
        <v>23</v>
      </c>
      <c r="F16" t="s">
        <v>29</v>
      </c>
      <c r="G16" t="s">
        <v>30</v>
      </c>
      <c r="H16">
        <v>73.64</v>
      </c>
      <c r="I16">
        <v>54.21</v>
      </c>
      <c r="J16">
        <v>0.66379999999999995</v>
      </c>
      <c r="K16">
        <v>0.11899999999999999</v>
      </c>
      <c r="L16">
        <v>0.2172</v>
      </c>
      <c r="M16">
        <v>1.94</v>
      </c>
      <c r="N16">
        <v>0.71</v>
      </c>
      <c r="O16">
        <v>44.2</v>
      </c>
      <c r="P16">
        <v>37.5</v>
      </c>
      <c r="Q16">
        <v>1</v>
      </c>
      <c r="R16">
        <v>0</v>
      </c>
      <c r="S16">
        <v>2.3199999999999998</v>
      </c>
      <c r="T16">
        <v>0.4</v>
      </c>
      <c r="U16">
        <v>1.38</v>
      </c>
      <c r="V16">
        <v>0.79</v>
      </c>
      <c r="W16">
        <v>1.05</v>
      </c>
      <c r="X16">
        <v>0</v>
      </c>
    </row>
    <row r="17" spans="2:24" hidden="1" x14ac:dyDescent="0.35">
      <c r="B17">
        <v>2016</v>
      </c>
      <c r="C17" s="1">
        <v>42602</v>
      </c>
      <c r="D17">
        <v>2411</v>
      </c>
      <c r="E17" t="s">
        <v>23</v>
      </c>
      <c r="F17" t="s">
        <v>31</v>
      </c>
      <c r="G17" t="s">
        <v>28</v>
      </c>
      <c r="H17">
        <v>59.64</v>
      </c>
      <c r="I17">
        <v>67.510000000000005</v>
      </c>
      <c r="J17">
        <v>0.36959999999999998</v>
      </c>
      <c r="K17">
        <v>0.34910000000000002</v>
      </c>
      <c r="L17">
        <v>0.28139999999999998</v>
      </c>
      <c r="M17">
        <v>1.31</v>
      </c>
      <c r="N17">
        <v>1.3</v>
      </c>
      <c r="O17">
        <v>29.7</v>
      </c>
      <c r="P17">
        <v>27.7</v>
      </c>
      <c r="Q17">
        <v>1</v>
      </c>
      <c r="R17">
        <v>2</v>
      </c>
      <c r="S17">
        <v>2.12</v>
      </c>
      <c r="T17">
        <v>1.95</v>
      </c>
      <c r="U17">
        <v>1.76</v>
      </c>
      <c r="V17">
        <v>2.14</v>
      </c>
      <c r="W17">
        <v>1.05</v>
      </c>
      <c r="X17">
        <v>2.1</v>
      </c>
    </row>
    <row r="18" spans="2:24" hidden="1" x14ac:dyDescent="0.35">
      <c r="B18">
        <v>2016</v>
      </c>
      <c r="C18" s="1">
        <v>42602</v>
      </c>
      <c r="D18">
        <v>2411</v>
      </c>
      <c r="E18" t="s">
        <v>23</v>
      </c>
      <c r="F18" t="s">
        <v>33</v>
      </c>
      <c r="G18" t="s">
        <v>24</v>
      </c>
      <c r="H18">
        <v>60.87</v>
      </c>
      <c r="I18">
        <v>53.47</v>
      </c>
      <c r="J18">
        <v>0.49930000000000002</v>
      </c>
      <c r="K18">
        <v>0.21709999999999999</v>
      </c>
      <c r="L18">
        <v>0.28360000000000002</v>
      </c>
      <c r="M18">
        <v>1.41</v>
      </c>
      <c r="N18">
        <v>0.86</v>
      </c>
      <c r="O18">
        <v>29.1</v>
      </c>
      <c r="P18">
        <v>32.4</v>
      </c>
      <c r="Q18">
        <v>0</v>
      </c>
      <c r="R18">
        <v>2</v>
      </c>
      <c r="S18">
        <v>1.35</v>
      </c>
      <c r="T18">
        <v>1.94</v>
      </c>
      <c r="U18">
        <v>3.11</v>
      </c>
      <c r="V18">
        <v>0.94</v>
      </c>
      <c r="W18">
        <v>0</v>
      </c>
      <c r="X18">
        <v>1.58</v>
      </c>
    </row>
    <row r="19" spans="2:24" hidden="1" x14ac:dyDescent="0.35">
      <c r="B19">
        <v>2016</v>
      </c>
      <c r="C19" s="1">
        <v>42602</v>
      </c>
      <c r="D19">
        <v>2411</v>
      </c>
      <c r="E19" t="s">
        <v>23</v>
      </c>
      <c r="F19" t="s">
        <v>32</v>
      </c>
      <c r="G19" t="s">
        <v>41</v>
      </c>
      <c r="H19">
        <v>57.85</v>
      </c>
      <c r="I19">
        <v>78.87</v>
      </c>
      <c r="J19">
        <v>0.2079</v>
      </c>
      <c r="K19">
        <v>0.55200000000000005</v>
      </c>
      <c r="L19">
        <v>0.2402</v>
      </c>
      <c r="M19">
        <v>1.1200000000000001</v>
      </c>
      <c r="N19">
        <v>1.79</v>
      </c>
      <c r="O19">
        <v>31.4</v>
      </c>
      <c r="P19">
        <v>56.4</v>
      </c>
      <c r="Q19">
        <v>2</v>
      </c>
      <c r="R19">
        <v>0</v>
      </c>
      <c r="S19">
        <v>0.21</v>
      </c>
      <c r="T19">
        <v>1.19</v>
      </c>
      <c r="U19">
        <v>0.33</v>
      </c>
      <c r="V19">
        <v>2.36</v>
      </c>
      <c r="W19">
        <v>2.1</v>
      </c>
      <c r="X19">
        <v>0</v>
      </c>
    </row>
    <row r="20" spans="2:24" hidden="1" x14ac:dyDescent="0.35">
      <c r="B20">
        <v>2016</v>
      </c>
      <c r="C20" s="1">
        <v>42602</v>
      </c>
      <c r="D20">
        <v>2411</v>
      </c>
      <c r="E20" t="s">
        <v>23</v>
      </c>
      <c r="F20" t="s">
        <v>25</v>
      </c>
      <c r="G20" t="s">
        <v>40</v>
      </c>
      <c r="H20">
        <v>66.930000000000007</v>
      </c>
      <c r="I20">
        <v>81.569999999999993</v>
      </c>
      <c r="J20">
        <v>0.2505</v>
      </c>
      <c r="K20">
        <v>0.50560000000000005</v>
      </c>
      <c r="L20">
        <v>0.24390000000000001</v>
      </c>
      <c r="M20">
        <v>1.31</v>
      </c>
      <c r="N20">
        <v>1.78</v>
      </c>
      <c r="O20">
        <v>23.8</v>
      </c>
      <c r="P20">
        <v>63</v>
      </c>
      <c r="Q20">
        <v>0</v>
      </c>
      <c r="R20">
        <v>0</v>
      </c>
      <c r="S20">
        <v>0.42</v>
      </c>
      <c r="T20">
        <v>0.57999999999999996</v>
      </c>
      <c r="U20">
        <v>0.68</v>
      </c>
      <c r="V20">
        <v>1.53</v>
      </c>
      <c r="W20">
        <v>0</v>
      </c>
      <c r="X20">
        <v>0</v>
      </c>
    </row>
    <row r="21" spans="2:24" hidden="1" x14ac:dyDescent="0.35">
      <c r="B21">
        <v>2016</v>
      </c>
      <c r="C21" s="1">
        <v>42603</v>
      </c>
      <c r="D21">
        <v>2411</v>
      </c>
      <c r="E21" t="s">
        <v>23</v>
      </c>
      <c r="F21" t="s">
        <v>37</v>
      </c>
      <c r="G21" t="s">
        <v>26</v>
      </c>
      <c r="H21">
        <v>54.83</v>
      </c>
      <c r="I21">
        <v>56.24</v>
      </c>
      <c r="J21">
        <v>0.43930000000000002</v>
      </c>
      <c r="K21">
        <v>0.2722</v>
      </c>
      <c r="L21">
        <v>0.28849999999999998</v>
      </c>
      <c r="M21">
        <v>1.34</v>
      </c>
      <c r="N21">
        <v>1.04</v>
      </c>
      <c r="O21">
        <v>37.6</v>
      </c>
      <c r="P21">
        <v>37.799999999999997</v>
      </c>
      <c r="Q21">
        <v>1</v>
      </c>
      <c r="R21">
        <v>2</v>
      </c>
      <c r="S21">
        <v>1.58</v>
      </c>
      <c r="T21">
        <v>0.8</v>
      </c>
      <c r="U21">
        <v>2.23</v>
      </c>
      <c r="V21">
        <v>1.04</v>
      </c>
      <c r="W21">
        <v>1.05</v>
      </c>
      <c r="X21">
        <v>2.1</v>
      </c>
    </row>
    <row r="22" spans="2:24" hidden="1" x14ac:dyDescent="0.35">
      <c r="B22">
        <v>2016</v>
      </c>
      <c r="C22" s="1">
        <v>42603</v>
      </c>
      <c r="D22">
        <v>2411</v>
      </c>
      <c r="E22" t="s">
        <v>23</v>
      </c>
      <c r="F22" t="s">
        <v>43</v>
      </c>
      <c r="G22" t="s">
        <v>38</v>
      </c>
      <c r="H22">
        <v>63.46</v>
      </c>
      <c r="I22">
        <v>60.82</v>
      </c>
      <c r="J22">
        <v>0.48670000000000002</v>
      </c>
      <c r="K22">
        <v>0.25690000000000002</v>
      </c>
      <c r="L22">
        <v>0.25640000000000002</v>
      </c>
      <c r="M22">
        <v>1.71</v>
      </c>
      <c r="N22">
        <v>1.23</v>
      </c>
      <c r="O22">
        <v>26.8</v>
      </c>
      <c r="P22">
        <v>27.1</v>
      </c>
      <c r="Q22">
        <v>1</v>
      </c>
      <c r="R22">
        <v>0</v>
      </c>
      <c r="S22">
        <v>1.84</v>
      </c>
      <c r="T22">
        <v>0.46</v>
      </c>
      <c r="U22">
        <v>1.82</v>
      </c>
      <c r="V22">
        <v>1.39</v>
      </c>
      <c r="W22">
        <v>1.05</v>
      </c>
      <c r="X22">
        <v>0</v>
      </c>
    </row>
    <row r="23" spans="2:24" hidden="1" x14ac:dyDescent="0.35">
      <c r="B23">
        <v>2016</v>
      </c>
      <c r="C23" s="1">
        <v>42609</v>
      </c>
      <c r="D23">
        <v>2411</v>
      </c>
      <c r="E23" t="s">
        <v>23</v>
      </c>
      <c r="F23" t="s">
        <v>29</v>
      </c>
      <c r="G23" t="s">
        <v>41</v>
      </c>
      <c r="H23">
        <v>73.709999999999994</v>
      </c>
      <c r="I23">
        <v>78.14</v>
      </c>
      <c r="J23">
        <v>0.3967</v>
      </c>
      <c r="K23">
        <v>0.34439999999999998</v>
      </c>
      <c r="L23">
        <v>0.25890000000000002</v>
      </c>
      <c r="M23">
        <v>1.58</v>
      </c>
      <c r="N23">
        <v>1.46</v>
      </c>
      <c r="O23">
        <v>55</v>
      </c>
      <c r="P23">
        <v>64.099999999999994</v>
      </c>
      <c r="Q23">
        <v>1</v>
      </c>
      <c r="R23">
        <v>1</v>
      </c>
      <c r="S23">
        <v>0.7</v>
      </c>
      <c r="T23">
        <v>1.93</v>
      </c>
      <c r="U23">
        <v>1.69</v>
      </c>
      <c r="V23">
        <v>1.39</v>
      </c>
      <c r="W23">
        <v>1.05</v>
      </c>
      <c r="X23">
        <v>1.05</v>
      </c>
    </row>
    <row r="24" spans="2:24" hidden="1" x14ac:dyDescent="0.35">
      <c r="B24">
        <v>2016</v>
      </c>
      <c r="C24" s="1">
        <v>42609</v>
      </c>
      <c r="D24">
        <v>2411</v>
      </c>
      <c r="E24" t="s">
        <v>23</v>
      </c>
      <c r="F24" t="s">
        <v>28</v>
      </c>
      <c r="G24" t="s">
        <v>27</v>
      </c>
      <c r="H24">
        <v>68.06</v>
      </c>
      <c r="I24">
        <v>59.86</v>
      </c>
      <c r="J24">
        <v>0.54700000000000004</v>
      </c>
      <c r="K24">
        <v>0.19539999999999999</v>
      </c>
      <c r="L24">
        <v>0.25750000000000001</v>
      </c>
      <c r="M24">
        <v>1.66</v>
      </c>
      <c r="N24">
        <v>0.94</v>
      </c>
      <c r="O24">
        <v>29.4</v>
      </c>
      <c r="P24">
        <v>31.6</v>
      </c>
      <c r="Q24">
        <v>1</v>
      </c>
      <c r="R24">
        <v>0</v>
      </c>
      <c r="S24">
        <v>2.33</v>
      </c>
      <c r="T24">
        <v>0.23</v>
      </c>
      <c r="U24">
        <v>2.74</v>
      </c>
      <c r="V24">
        <v>1.58</v>
      </c>
      <c r="W24">
        <v>1.05</v>
      </c>
      <c r="X24">
        <v>0</v>
      </c>
    </row>
    <row r="25" spans="2:24" hidden="1" x14ac:dyDescent="0.35">
      <c r="B25">
        <v>2016</v>
      </c>
      <c r="C25" s="1">
        <v>42609</v>
      </c>
      <c r="D25">
        <v>2411</v>
      </c>
      <c r="E25" t="s">
        <v>23</v>
      </c>
      <c r="F25" t="s">
        <v>34</v>
      </c>
      <c r="G25" t="s">
        <v>37</v>
      </c>
      <c r="H25">
        <v>68.930000000000007</v>
      </c>
      <c r="I25">
        <v>54.48</v>
      </c>
      <c r="J25">
        <v>0.59519999999999995</v>
      </c>
      <c r="K25">
        <v>0.16089999999999999</v>
      </c>
      <c r="L25">
        <v>0.24390000000000001</v>
      </c>
      <c r="M25">
        <v>1.75</v>
      </c>
      <c r="N25">
        <v>0.86</v>
      </c>
      <c r="O25">
        <v>20.7</v>
      </c>
      <c r="P25">
        <v>39.1</v>
      </c>
      <c r="Q25">
        <v>1</v>
      </c>
      <c r="R25">
        <v>1</v>
      </c>
      <c r="S25">
        <v>0.74</v>
      </c>
      <c r="T25">
        <v>1.48</v>
      </c>
      <c r="U25">
        <v>1.27</v>
      </c>
      <c r="V25">
        <v>1.41</v>
      </c>
      <c r="W25">
        <v>1.05</v>
      </c>
      <c r="X25">
        <v>1.05</v>
      </c>
    </row>
    <row r="26" spans="2:24" hidden="1" x14ac:dyDescent="0.35">
      <c r="B26">
        <v>2016</v>
      </c>
      <c r="C26" s="1">
        <v>42609</v>
      </c>
      <c r="D26">
        <v>2411</v>
      </c>
      <c r="E26" t="s">
        <v>23</v>
      </c>
      <c r="F26" t="s">
        <v>35</v>
      </c>
      <c r="G26" t="s">
        <v>40</v>
      </c>
      <c r="H26">
        <v>59.03</v>
      </c>
      <c r="I26">
        <v>81.56</v>
      </c>
      <c r="J26">
        <v>0.16980000000000001</v>
      </c>
      <c r="K26">
        <v>0.61329999999999996</v>
      </c>
      <c r="L26">
        <v>0.21690000000000001</v>
      </c>
      <c r="M26">
        <v>1.1499999999999999</v>
      </c>
      <c r="N26">
        <v>2.0099999999999998</v>
      </c>
      <c r="O26">
        <v>30.4</v>
      </c>
      <c r="P26">
        <v>58.9</v>
      </c>
      <c r="Q26">
        <v>1</v>
      </c>
      <c r="R26">
        <v>3</v>
      </c>
      <c r="S26">
        <v>1.43</v>
      </c>
      <c r="T26">
        <v>1.92</v>
      </c>
      <c r="U26">
        <v>1.57</v>
      </c>
      <c r="V26">
        <v>1.74</v>
      </c>
      <c r="W26">
        <v>1.05</v>
      </c>
      <c r="X26">
        <v>3.15</v>
      </c>
    </row>
    <row r="27" spans="2:24" hidden="1" x14ac:dyDescent="0.35">
      <c r="B27">
        <v>2016</v>
      </c>
      <c r="C27" s="1">
        <v>42609</v>
      </c>
      <c r="D27">
        <v>2411</v>
      </c>
      <c r="E27" t="s">
        <v>23</v>
      </c>
      <c r="F27" t="s">
        <v>30</v>
      </c>
      <c r="G27" t="s">
        <v>38</v>
      </c>
      <c r="H27">
        <v>54.06</v>
      </c>
      <c r="I27">
        <v>60.24</v>
      </c>
      <c r="J27">
        <v>0.39850000000000002</v>
      </c>
      <c r="K27">
        <v>0.31459999999999999</v>
      </c>
      <c r="L27">
        <v>0.28689999999999999</v>
      </c>
      <c r="M27">
        <v>1.29</v>
      </c>
      <c r="N27">
        <v>1.19</v>
      </c>
      <c r="O27">
        <v>47.8</v>
      </c>
      <c r="P27">
        <v>36.4</v>
      </c>
      <c r="Q27">
        <v>1</v>
      </c>
      <c r="R27">
        <v>1</v>
      </c>
      <c r="S27">
        <v>2.67</v>
      </c>
      <c r="T27">
        <v>0.99</v>
      </c>
      <c r="U27">
        <v>3.13</v>
      </c>
      <c r="V27">
        <v>1.26</v>
      </c>
      <c r="W27">
        <v>1.05</v>
      </c>
      <c r="X27">
        <v>1.05</v>
      </c>
    </row>
    <row r="28" spans="2:24" hidden="1" x14ac:dyDescent="0.35">
      <c r="B28">
        <v>2016</v>
      </c>
      <c r="C28" s="1">
        <v>42609</v>
      </c>
      <c r="D28">
        <v>2411</v>
      </c>
      <c r="E28" t="s">
        <v>23</v>
      </c>
      <c r="F28" t="s">
        <v>25</v>
      </c>
      <c r="G28" t="s">
        <v>33</v>
      </c>
      <c r="H28">
        <v>66.599999999999994</v>
      </c>
      <c r="I28">
        <v>59.55</v>
      </c>
      <c r="J28">
        <v>0.53510000000000002</v>
      </c>
      <c r="K28">
        <v>0.2056</v>
      </c>
      <c r="L28">
        <v>0.25929999999999997</v>
      </c>
      <c r="M28">
        <v>1.65</v>
      </c>
      <c r="N28">
        <v>0.98</v>
      </c>
      <c r="O28">
        <v>19.7</v>
      </c>
      <c r="P28">
        <v>29.3</v>
      </c>
      <c r="Q28">
        <v>2</v>
      </c>
      <c r="R28">
        <v>1</v>
      </c>
      <c r="S28">
        <v>2.88</v>
      </c>
      <c r="T28">
        <v>0.45</v>
      </c>
      <c r="U28">
        <v>1.18</v>
      </c>
      <c r="V28">
        <v>1.24</v>
      </c>
      <c r="W28">
        <v>2.1</v>
      </c>
      <c r="X28">
        <v>1.05</v>
      </c>
    </row>
    <row r="29" spans="2:24" hidden="1" x14ac:dyDescent="0.35">
      <c r="B29">
        <v>2016</v>
      </c>
      <c r="C29" s="1">
        <v>42609</v>
      </c>
      <c r="D29">
        <v>2411</v>
      </c>
      <c r="E29" t="s">
        <v>23</v>
      </c>
      <c r="F29" t="s">
        <v>42</v>
      </c>
      <c r="G29" t="s">
        <v>32</v>
      </c>
      <c r="H29">
        <v>80.86</v>
      </c>
      <c r="I29">
        <v>58.66</v>
      </c>
      <c r="J29">
        <v>0.71389999999999998</v>
      </c>
      <c r="K29">
        <v>9.1399999999999995E-2</v>
      </c>
      <c r="L29">
        <v>0.19470000000000001</v>
      </c>
      <c r="M29">
        <v>2.04</v>
      </c>
      <c r="N29">
        <v>0.63</v>
      </c>
      <c r="O29">
        <v>65.2</v>
      </c>
      <c r="P29">
        <v>27.5</v>
      </c>
      <c r="Q29">
        <v>3</v>
      </c>
      <c r="R29">
        <v>0</v>
      </c>
      <c r="S29">
        <v>2.73</v>
      </c>
      <c r="T29">
        <v>0.26</v>
      </c>
      <c r="U29">
        <v>3.37</v>
      </c>
      <c r="V29">
        <v>0.94</v>
      </c>
      <c r="W29">
        <v>2.66</v>
      </c>
      <c r="X29">
        <v>0</v>
      </c>
    </row>
    <row r="30" spans="2:24" hidden="1" x14ac:dyDescent="0.35">
      <c r="B30">
        <v>2016</v>
      </c>
      <c r="C30" s="1">
        <v>42609</v>
      </c>
      <c r="D30">
        <v>2411</v>
      </c>
      <c r="E30" t="s">
        <v>23</v>
      </c>
      <c r="F30" t="s">
        <v>24</v>
      </c>
      <c r="G30" t="s">
        <v>39</v>
      </c>
      <c r="H30">
        <v>54.79</v>
      </c>
      <c r="I30">
        <v>81.23</v>
      </c>
      <c r="J30">
        <v>0.17499999999999999</v>
      </c>
      <c r="K30">
        <v>0.57520000000000004</v>
      </c>
      <c r="L30">
        <v>0.24979999999999999</v>
      </c>
      <c r="M30">
        <v>0.89</v>
      </c>
      <c r="N30">
        <v>1.64</v>
      </c>
      <c r="O30">
        <v>26.7</v>
      </c>
      <c r="P30">
        <v>54.9</v>
      </c>
      <c r="Q30">
        <v>0</v>
      </c>
      <c r="R30">
        <v>1</v>
      </c>
      <c r="S30">
        <v>0.33</v>
      </c>
      <c r="T30">
        <v>2.58</v>
      </c>
      <c r="U30">
        <v>0.46</v>
      </c>
      <c r="V30">
        <v>3.08</v>
      </c>
      <c r="W30">
        <v>0</v>
      </c>
      <c r="X30">
        <v>1.05</v>
      </c>
    </row>
    <row r="31" spans="2:24" hidden="1" x14ac:dyDescent="0.35">
      <c r="B31">
        <v>2016</v>
      </c>
      <c r="C31" s="1">
        <v>42610</v>
      </c>
      <c r="D31">
        <v>2411</v>
      </c>
      <c r="E31" t="s">
        <v>23</v>
      </c>
      <c r="F31" t="s">
        <v>31</v>
      </c>
      <c r="G31" t="s">
        <v>26</v>
      </c>
      <c r="H31">
        <v>59.12</v>
      </c>
      <c r="I31">
        <v>56.62</v>
      </c>
      <c r="J31">
        <v>0.45960000000000001</v>
      </c>
      <c r="K31">
        <v>0.2571</v>
      </c>
      <c r="L31">
        <v>0.2833</v>
      </c>
      <c r="M31">
        <v>1.39</v>
      </c>
      <c r="N31">
        <v>1.04</v>
      </c>
      <c r="O31">
        <v>33</v>
      </c>
      <c r="P31">
        <v>28.8</v>
      </c>
      <c r="Q31">
        <v>0</v>
      </c>
      <c r="R31">
        <v>0</v>
      </c>
      <c r="S31">
        <v>0.8</v>
      </c>
      <c r="T31">
        <v>0.43</v>
      </c>
      <c r="U31">
        <v>1.67</v>
      </c>
      <c r="V31">
        <v>0.91</v>
      </c>
      <c r="W31">
        <v>0</v>
      </c>
      <c r="X31">
        <v>0</v>
      </c>
    </row>
    <row r="32" spans="2:24" hidden="1" x14ac:dyDescent="0.35">
      <c r="B32">
        <v>2016</v>
      </c>
      <c r="C32" s="1">
        <v>42610</v>
      </c>
      <c r="D32">
        <v>2411</v>
      </c>
      <c r="E32" t="s">
        <v>23</v>
      </c>
      <c r="F32" t="s">
        <v>36</v>
      </c>
      <c r="G32" t="s">
        <v>43</v>
      </c>
      <c r="H32">
        <v>86.14</v>
      </c>
      <c r="I32">
        <v>63.98</v>
      </c>
      <c r="J32">
        <v>0.76870000000000005</v>
      </c>
      <c r="K32">
        <v>7.8E-2</v>
      </c>
      <c r="L32">
        <v>0.15340000000000001</v>
      </c>
      <c r="M32">
        <v>2.57</v>
      </c>
      <c r="N32">
        <v>0.7</v>
      </c>
      <c r="O32">
        <v>67.599999999999994</v>
      </c>
      <c r="P32">
        <v>23.8</v>
      </c>
      <c r="Q32">
        <v>3</v>
      </c>
      <c r="R32">
        <v>1</v>
      </c>
      <c r="S32">
        <v>2.91</v>
      </c>
      <c r="T32">
        <v>0.9</v>
      </c>
      <c r="U32">
        <v>2.92</v>
      </c>
      <c r="V32">
        <v>0.71</v>
      </c>
      <c r="W32">
        <v>2.63</v>
      </c>
      <c r="X32">
        <v>1.05</v>
      </c>
    </row>
    <row r="33" spans="2:24" hidden="1" x14ac:dyDescent="0.35">
      <c r="B33">
        <v>2016</v>
      </c>
      <c r="C33" s="1">
        <v>42623</v>
      </c>
      <c r="D33">
        <v>2411</v>
      </c>
      <c r="E33" t="s">
        <v>23</v>
      </c>
      <c r="F33" t="s">
        <v>39</v>
      </c>
      <c r="G33" t="s">
        <v>36</v>
      </c>
      <c r="H33">
        <v>82.18</v>
      </c>
      <c r="I33">
        <v>86.26</v>
      </c>
      <c r="J33">
        <v>0.38450000000000001</v>
      </c>
      <c r="K33">
        <v>0.3543</v>
      </c>
      <c r="L33">
        <v>0.26119999999999999</v>
      </c>
      <c r="M33">
        <v>1.53</v>
      </c>
      <c r="N33">
        <v>1.43</v>
      </c>
      <c r="O33">
        <v>82.2</v>
      </c>
      <c r="P33">
        <v>99.4</v>
      </c>
      <c r="Q33">
        <v>1</v>
      </c>
      <c r="R33">
        <v>2</v>
      </c>
      <c r="S33">
        <v>1.42</v>
      </c>
      <c r="T33">
        <v>2.0499999999999998</v>
      </c>
      <c r="U33">
        <v>1.94</v>
      </c>
      <c r="V33">
        <v>2.08</v>
      </c>
      <c r="W33">
        <v>1.05</v>
      </c>
      <c r="X33">
        <v>2.1</v>
      </c>
    </row>
    <row r="34" spans="2:24" hidden="1" x14ac:dyDescent="0.35">
      <c r="B34">
        <v>2016</v>
      </c>
      <c r="C34" s="1">
        <v>42623</v>
      </c>
      <c r="D34">
        <v>2411</v>
      </c>
      <c r="E34" t="s">
        <v>23</v>
      </c>
      <c r="F34" t="s">
        <v>43</v>
      </c>
      <c r="G34" t="s">
        <v>35</v>
      </c>
      <c r="H34">
        <v>63.85</v>
      </c>
      <c r="I34">
        <v>58.86</v>
      </c>
      <c r="J34">
        <v>0.5151</v>
      </c>
      <c r="K34">
        <v>0.23549999999999999</v>
      </c>
      <c r="L34">
        <v>0.24940000000000001</v>
      </c>
      <c r="M34">
        <v>1.8</v>
      </c>
      <c r="N34">
        <v>1.2</v>
      </c>
      <c r="O34">
        <v>21.6</v>
      </c>
      <c r="P34">
        <v>33.200000000000003</v>
      </c>
      <c r="Q34">
        <v>2</v>
      </c>
      <c r="R34">
        <v>4</v>
      </c>
      <c r="S34">
        <v>1.47</v>
      </c>
      <c r="T34">
        <v>1.74</v>
      </c>
      <c r="U34">
        <v>1.34</v>
      </c>
      <c r="V34">
        <v>1.49</v>
      </c>
      <c r="W34">
        <v>2.1</v>
      </c>
      <c r="X34">
        <v>4.2</v>
      </c>
    </row>
    <row r="35" spans="2:24" hidden="1" x14ac:dyDescent="0.35">
      <c r="B35">
        <v>2016</v>
      </c>
      <c r="C35" s="1">
        <v>42623</v>
      </c>
      <c r="D35">
        <v>2411</v>
      </c>
      <c r="E35" t="s">
        <v>23</v>
      </c>
      <c r="F35" t="s">
        <v>26</v>
      </c>
      <c r="G35" t="s">
        <v>30</v>
      </c>
      <c r="H35">
        <v>56.65</v>
      </c>
      <c r="I35">
        <v>55.03</v>
      </c>
      <c r="J35">
        <v>0.49199999999999999</v>
      </c>
      <c r="K35">
        <v>0.21840000000000001</v>
      </c>
      <c r="L35">
        <v>0.28960000000000002</v>
      </c>
      <c r="M35">
        <v>1.35</v>
      </c>
      <c r="N35">
        <v>0.84</v>
      </c>
      <c r="O35">
        <v>33.299999999999997</v>
      </c>
      <c r="P35">
        <v>40.299999999999997</v>
      </c>
      <c r="Q35">
        <v>1</v>
      </c>
      <c r="R35">
        <v>2</v>
      </c>
      <c r="S35">
        <v>0.71</v>
      </c>
      <c r="T35">
        <v>1.25</v>
      </c>
      <c r="U35">
        <v>0.96</v>
      </c>
      <c r="V35">
        <v>1.78</v>
      </c>
      <c r="W35">
        <v>1.05</v>
      </c>
      <c r="X35">
        <v>2.1</v>
      </c>
    </row>
    <row r="36" spans="2:24" hidden="1" x14ac:dyDescent="0.35">
      <c r="B36">
        <v>2016</v>
      </c>
      <c r="C36" s="1">
        <v>42623</v>
      </c>
      <c r="D36">
        <v>2411</v>
      </c>
      <c r="E36" t="s">
        <v>23</v>
      </c>
      <c r="F36" t="s">
        <v>38</v>
      </c>
      <c r="G36" t="s">
        <v>31</v>
      </c>
      <c r="H36">
        <v>59.25</v>
      </c>
      <c r="I36">
        <v>59.02</v>
      </c>
      <c r="J36">
        <v>0.4607</v>
      </c>
      <c r="K36">
        <v>0.26579999999999998</v>
      </c>
      <c r="L36">
        <v>0.27350000000000002</v>
      </c>
      <c r="M36">
        <v>1.5</v>
      </c>
      <c r="N36">
        <v>1.1399999999999999</v>
      </c>
      <c r="O36">
        <v>40.9</v>
      </c>
      <c r="P36">
        <v>31.1</v>
      </c>
      <c r="Q36">
        <v>1</v>
      </c>
      <c r="R36">
        <v>0</v>
      </c>
      <c r="S36">
        <v>0.99</v>
      </c>
      <c r="T36">
        <v>1.57</v>
      </c>
      <c r="U36">
        <v>1.53</v>
      </c>
      <c r="V36">
        <v>1.05</v>
      </c>
      <c r="W36">
        <v>1.05</v>
      </c>
      <c r="X36">
        <v>0</v>
      </c>
    </row>
    <row r="37" spans="2:24" hidden="1" x14ac:dyDescent="0.35">
      <c r="B37">
        <v>2016</v>
      </c>
      <c r="C37" s="1">
        <v>42623</v>
      </c>
      <c r="D37">
        <v>2411</v>
      </c>
      <c r="E37" t="s">
        <v>23</v>
      </c>
      <c r="F37" t="s">
        <v>27</v>
      </c>
      <c r="G37" t="s">
        <v>29</v>
      </c>
      <c r="H37">
        <v>59.11</v>
      </c>
      <c r="I37">
        <v>73.33</v>
      </c>
      <c r="J37">
        <v>0.29320000000000002</v>
      </c>
      <c r="K37">
        <v>0.4274</v>
      </c>
      <c r="L37">
        <v>0.27939999999999998</v>
      </c>
      <c r="M37">
        <v>1.1399999999999999</v>
      </c>
      <c r="N37">
        <v>1.43</v>
      </c>
      <c r="O37">
        <v>34.200000000000003</v>
      </c>
      <c r="P37">
        <v>44.2</v>
      </c>
      <c r="Q37">
        <v>0</v>
      </c>
      <c r="R37">
        <v>4</v>
      </c>
      <c r="S37">
        <v>1.1599999999999999</v>
      </c>
      <c r="T37">
        <v>2.74</v>
      </c>
      <c r="U37">
        <v>2.5299999999999998</v>
      </c>
      <c r="V37">
        <v>1.38</v>
      </c>
      <c r="W37">
        <v>0</v>
      </c>
      <c r="X37">
        <v>4.2</v>
      </c>
    </row>
    <row r="38" spans="2:24" hidden="1" x14ac:dyDescent="0.35">
      <c r="B38">
        <v>2016</v>
      </c>
      <c r="C38" s="1">
        <v>42623</v>
      </c>
      <c r="D38">
        <v>2411</v>
      </c>
      <c r="E38" t="s">
        <v>23</v>
      </c>
      <c r="F38" t="s">
        <v>32</v>
      </c>
      <c r="G38" t="s">
        <v>24</v>
      </c>
      <c r="H38">
        <v>57.38</v>
      </c>
      <c r="I38">
        <v>53.37</v>
      </c>
      <c r="J38">
        <v>0.46329999999999999</v>
      </c>
      <c r="K38">
        <v>0.23569999999999999</v>
      </c>
      <c r="L38">
        <v>0.30099999999999999</v>
      </c>
      <c r="M38">
        <v>1.25</v>
      </c>
      <c r="N38">
        <v>0.83</v>
      </c>
      <c r="O38">
        <v>38</v>
      </c>
      <c r="P38">
        <v>33.799999999999997</v>
      </c>
      <c r="Q38">
        <v>1</v>
      </c>
      <c r="R38">
        <v>1</v>
      </c>
      <c r="S38">
        <v>0.53</v>
      </c>
      <c r="T38">
        <v>1.03</v>
      </c>
      <c r="U38">
        <v>1.43</v>
      </c>
      <c r="V38">
        <v>0.66</v>
      </c>
      <c r="W38">
        <v>1.05</v>
      </c>
      <c r="X38">
        <v>1.05</v>
      </c>
    </row>
    <row r="39" spans="2:24" hidden="1" x14ac:dyDescent="0.35">
      <c r="B39">
        <v>2016</v>
      </c>
      <c r="C39" s="1">
        <v>42623</v>
      </c>
      <c r="D39">
        <v>2411</v>
      </c>
      <c r="E39" t="s">
        <v>23</v>
      </c>
      <c r="F39" t="s">
        <v>40</v>
      </c>
      <c r="G39" t="s">
        <v>34</v>
      </c>
      <c r="H39">
        <v>81.72</v>
      </c>
      <c r="I39">
        <v>67.78</v>
      </c>
      <c r="J39">
        <v>0.65029999999999999</v>
      </c>
      <c r="K39">
        <v>0.13339999999999999</v>
      </c>
      <c r="L39">
        <v>0.21629999999999999</v>
      </c>
      <c r="M39">
        <v>1.95</v>
      </c>
      <c r="N39">
        <v>0.86</v>
      </c>
      <c r="O39">
        <v>65.5</v>
      </c>
      <c r="P39">
        <v>22.8</v>
      </c>
      <c r="Q39">
        <v>2</v>
      </c>
      <c r="R39">
        <v>1</v>
      </c>
      <c r="S39">
        <v>1.93</v>
      </c>
      <c r="T39">
        <v>1.06</v>
      </c>
      <c r="U39">
        <v>2.88</v>
      </c>
      <c r="V39">
        <v>0.7</v>
      </c>
      <c r="W39">
        <v>2.1</v>
      </c>
      <c r="X39">
        <v>1.05</v>
      </c>
    </row>
    <row r="40" spans="2:24" hidden="1" x14ac:dyDescent="0.35">
      <c r="B40">
        <v>2016</v>
      </c>
      <c r="C40" s="1">
        <v>42623</v>
      </c>
      <c r="D40">
        <v>2411</v>
      </c>
      <c r="E40" t="s">
        <v>23</v>
      </c>
      <c r="F40" t="s">
        <v>41</v>
      </c>
      <c r="G40" t="s">
        <v>25</v>
      </c>
      <c r="H40">
        <v>78.41</v>
      </c>
      <c r="I40">
        <v>67.06</v>
      </c>
      <c r="J40">
        <v>0.61450000000000005</v>
      </c>
      <c r="K40">
        <v>0.16370000000000001</v>
      </c>
      <c r="L40">
        <v>0.2218</v>
      </c>
      <c r="M40">
        <v>1.97</v>
      </c>
      <c r="N40">
        <v>1.03</v>
      </c>
      <c r="O40">
        <v>65.400000000000006</v>
      </c>
      <c r="P40">
        <v>33.5</v>
      </c>
      <c r="Q40">
        <v>4</v>
      </c>
      <c r="R40">
        <v>1</v>
      </c>
      <c r="S40">
        <v>2.81</v>
      </c>
      <c r="T40">
        <v>1.34</v>
      </c>
      <c r="U40">
        <v>2.36</v>
      </c>
      <c r="V40">
        <v>1.1599999999999999</v>
      </c>
      <c r="W40">
        <v>3.71</v>
      </c>
      <c r="X40">
        <v>1.05</v>
      </c>
    </row>
    <row r="41" spans="2:24" hidden="1" x14ac:dyDescent="0.35">
      <c r="B41">
        <v>2016</v>
      </c>
      <c r="C41" s="1">
        <v>42624</v>
      </c>
      <c r="D41">
        <v>2411</v>
      </c>
      <c r="E41" t="s">
        <v>23</v>
      </c>
      <c r="F41" t="s">
        <v>33</v>
      </c>
      <c r="G41" t="s">
        <v>42</v>
      </c>
      <c r="H41">
        <v>59.09</v>
      </c>
      <c r="I41">
        <v>81.83</v>
      </c>
      <c r="J41">
        <v>0.17100000000000001</v>
      </c>
      <c r="K41">
        <v>0.60329999999999995</v>
      </c>
      <c r="L41">
        <v>0.22570000000000001</v>
      </c>
      <c r="M41">
        <v>1.07</v>
      </c>
      <c r="N41">
        <v>1.89</v>
      </c>
      <c r="O41">
        <v>31.4</v>
      </c>
      <c r="P41">
        <v>51.2</v>
      </c>
      <c r="Q41">
        <v>2</v>
      </c>
      <c r="R41">
        <v>2</v>
      </c>
      <c r="S41">
        <v>1.33</v>
      </c>
      <c r="T41">
        <v>2.36</v>
      </c>
      <c r="U41">
        <v>0.68</v>
      </c>
      <c r="V41">
        <v>3.12</v>
      </c>
      <c r="W41">
        <v>2.1</v>
      </c>
      <c r="X41">
        <v>2.1</v>
      </c>
    </row>
    <row r="42" spans="2:24" hidden="1" x14ac:dyDescent="0.35">
      <c r="B42">
        <v>2016</v>
      </c>
      <c r="C42" s="1">
        <v>42625</v>
      </c>
      <c r="D42">
        <v>2411</v>
      </c>
      <c r="E42" t="s">
        <v>23</v>
      </c>
      <c r="F42" t="s">
        <v>37</v>
      </c>
      <c r="G42" t="s">
        <v>28</v>
      </c>
      <c r="H42">
        <v>55.71</v>
      </c>
      <c r="I42">
        <v>68.739999999999995</v>
      </c>
      <c r="J42">
        <v>0.33850000000000002</v>
      </c>
      <c r="K42">
        <v>0.38379999999999997</v>
      </c>
      <c r="L42">
        <v>0.2777</v>
      </c>
      <c r="M42">
        <v>1.28</v>
      </c>
      <c r="N42">
        <v>1.4</v>
      </c>
      <c r="O42">
        <v>32</v>
      </c>
      <c r="P42">
        <v>36</v>
      </c>
      <c r="Q42">
        <v>0</v>
      </c>
      <c r="R42">
        <v>3</v>
      </c>
      <c r="S42">
        <v>1.23</v>
      </c>
      <c r="T42">
        <v>2.79</v>
      </c>
      <c r="U42">
        <v>0.98</v>
      </c>
      <c r="V42">
        <v>1.8</v>
      </c>
      <c r="W42">
        <v>0</v>
      </c>
      <c r="X42">
        <v>3.13</v>
      </c>
    </row>
    <row r="43" spans="2:24" hidden="1" x14ac:dyDescent="0.35">
      <c r="B43">
        <v>2016</v>
      </c>
      <c r="C43" s="1">
        <v>42629</v>
      </c>
      <c r="D43">
        <v>2411</v>
      </c>
      <c r="E43" t="s">
        <v>23</v>
      </c>
      <c r="F43" t="s">
        <v>42</v>
      </c>
      <c r="G43" t="s">
        <v>41</v>
      </c>
      <c r="H43">
        <v>81.72</v>
      </c>
      <c r="I43">
        <v>79.28</v>
      </c>
      <c r="J43">
        <v>0.50800000000000001</v>
      </c>
      <c r="K43">
        <v>0.25319999999999998</v>
      </c>
      <c r="L43">
        <v>0.23880000000000001</v>
      </c>
      <c r="M43">
        <v>1.88</v>
      </c>
      <c r="N43">
        <v>1.34</v>
      </c>
      <c r="O43">
        <v>57.8</v>
      </c>
      <c r="P43">
        <v>61.6</v>
      </c>
      <c r="Q43">
        <v>1</v>
      </c>
      <c r="R43">
        <v>2</v>
      </c>
      <c r="S43">
        <v>1.32</v>
      </c>
      <c r="T43">
        <v>1.47</v>
      </c>
      <c r="U43">
        <v>2.08</v>
      </c>
      <c r="V43">
        <v>1.17</v>
      </c>
      <c r="W43">
        <v>1.05</v>
      </c>
      <c r="X43">
        <v>2.1</v>
      </c>
    </row>
    <row r="44" spans="2:24" hidden="1" x14ac:dyDescent="0.35">
      <c r="B44">
        <v>2016</v>
      </c>
      <c r="C44" s="1">
        <v>42630</v>
      </c>
      <c r="D44">
        <v>2411</v>
      </c>
      <c r="E44" t="s">
        <v>23</v>
      </c>
      <c r="F44" t="s">
        <v>25</v>
      </c>
      <c r="G44" t="s">
        <v>32</v>
      </c>
      <c r="H44">
        <v>67.38</v>
      </c>
      <c r="I44">
        <v>56.94</v>
      </c>
      <c r="J44">
        <v>0.54769999999999996</v>
      </c>
      <c r="K44">
        <v>0.19</v>
      </c>
      <c r="L44">
        <v>0.26229999999999998</v>
      </c>
      <c r="M44">
        <v>1.64</v>
      </c>
      <c r="N44">
        <v>0.84</v>
      </c>
      <c r="O44">
        <v>19.100000000000001</v>
      </c>
      <c r="P44">
        <v>36.299999999999997</v>
      </c>
      <c r="Q44">
        <v>3</v>
      </c>
      <c r="R44">
        <v>0</v>
      </c>
      <c r="S44">
        <v>1.8</v>
      </c>
      <c r="T44">
        <v>0.47</v>
      </c>
      <c r="U44">
        <v>1.23</v>
      </c>
      <c r="V44">
        <v>0.53</v>
      </c>
      <c r="W44">
        <v>2.96</v>
      </c>
      <c r="X44">
        <v>0</v>
      </c>
    </row>
    <row r="45" spans="2:24" hidden="1" x14ac:dyDescent="0.35">
      <c r="B45">
        <v>2016</v>
      </c>
      <c r="C45" s="1">
        <v>42630</v>
      </c>
      <c r="D45">
        <v>2411</v>
      </c>
      <c r="E45" t="s">
        <v>23</v>
      </c>
      <c r="F45" t="s">
        <v>36</v>
      </c>
      <c r="G45" t="s">
        <v>38</v>
      </c>
      <c r="H45">
        <v>87.58</v>
      </c>
      <c r="I45">
        <v>59.4</v>
      </c>
      <c r="J45">
        <v>0.8085</v>
      </c>
      <c r="K45">
        <v>0.06</v>
      </c>
      <c r="L45">
        <v>0.13150000000000001</v>
      </c>
      <c r="M45">
        <v>2.8</v>
      </c>
      <c r="N45">
        <v>0.57999999999999996</v>
      </c>
      <c r="O45">
        <v>77.5</v>
      </c>
      <c r="P45">
        <v>19.8</v>
      </c>
      <c r="Q45">
        <v>4</v>
      </c>
      <c r="R45">
        <v>0</v>
      </c>
      <c r="S45">
        <v>3.07</v>
      </c>
      <c r="T45">
        <v>0.28999999999999998</v>
      </c>
      <c r="U45">
        <v>3.27</v>
      </c>
      <c r="V45">
        <v>0.75</v>
      </c>
      <c r="W45">
        <v>4.2</v>
      </c>
      <c r="X45">
        <v>0</v>
      </c>
    </row>
    <row r="46" spans="2:24" hidden="1" x14ac:dyDescent="0.35">
      <c r="B46">
        <v>2016</v>
      </c>
      <c r="C46" s="1">
        <v>42630</v>
      </c>
      <c r="D46">
        <v>2411</v>
      </c>
      <c r="E46" t="s">
        <v>23</v>
      </c>
      <c r="F46" t="s">
        <v>31</v>
      </c>
      <c r="G46" t="s">
        <v>43</v>
      </c>
      <c r="H46">
        <v>58.86</v>
      </c>
      <c r="I46">
        <v>62.06</v>
      </c>
      <c r="J46">
        <v>0.42349999999999999</v>
      </c>
      <c r="K46">
        <v>0.30209999999999998</v>
      </c>
      <c r="L46">
        <v>0.27439999999999998</v>
      </c>
      <c r="M46">
        <v>1.46</v>
      </c>
      <c r="N46">
        <v>1.24</v>
      </c>
      <c r="O46">
        <v>36.700000000000003</v>
      </c>
      <c r="P46">
        <v>27.5</v>
      </c>
      <c r="Q46">
        <v>4</v>
      </c>
      <c r="R46">
        <v>2</v>
      </c>
      <c r="S46">
        <v>2.13</v>
      </c>
      <c r="T46">
        <v>2.78</v>
      </c>
      <c r="U46">
        <v>0.68</v>
      </c>
      <c r="V46">
        <v>2.87</v>
      </c>
      <c r="W46">
        <v>4.2</v>
      </c>
      <c r="X46">
        <v>2.1</v>
      </c>
    </row>
    <row r="47" spans="2:24" hidden="1" x14ac:dyDescent="0.35">
      <c r="B47">
        <v>2016</v>
      </c>
      <c r="C47" s="1">
        <v>42630</v>
      </c>
      <c r="D47">
        <v>2411</v>
      </c>
      <c r="E47" t="s">
        <v>23</v>
      </c>
      <c r="F47" t="s">
        <v>24</v>
      </c>
      <c r="G47" t="s">
        <v>40</v>
      </c>
      <c r="H47">
        <v>53.8</v>
      </c>
      <c r="I47">
        <v>81.95</v>
      </c>
      <c r="J47">
        <v>0.17050000000000001</v>
      </c>
      <c r="K47">
        <v>0.58940000000000003</v>
      </c>
      <c r="L47">
        <v>0.24010000000000001</v>
      </c>
      <c r="M47">
        <v>0.9</v>
      </c>
      <c r="N47">
        <v>1.74</v>
      </c>
      <c r="O47">
        <v>27.7</v>
      </c>
      <c r="P47">
        <v>65.3</v>
      </c>
      <c r="Q47">
        <v>1</v>
      </c>
      <c r="R47">
        <v>4</v>
      </c>
      <c r="S47">
        <v>0.97</v>
      </c>
      <c r="T47">
        <v>3.94</v>
      </c>
      <c r="U47">
        <v>0.69</v>
      </c>
      <c r="V47">
        <v>3.39</v>
      </c>
      <c r="W47">
        <v>1.05</v>
      </c>
      <c r="X47">
        <v>3.36</v>
      </c>
    </row>
    <row r="48" spans="2:24" hidden="1" x14ac:dyDescent="0.35">
      <c r="B48">
        <v>2016</v>
      </c>
      <c r="C48" s="1">
        <v>42630</v>
      </c>
      <c r="D48">
        <v>2411</v>
      </c>
      <c r="E48" t="s">
        <v>23</v>
      </c>
      <c r="F48" t="s">
        <v>28</v>
      </c>
      <c r="G48" t="s">
        <v>26</v>
      </c>
      <c r="H48">
        <v>70.760000000000005</v>
      </c>
      <c r="I48">
        <v>54.92</v>
      </c>
      <c r="J48">
        <v>0.59060000000000001</v>
      </c>
      <c r="K48">
        <v>0.1605</v>
      </c>
      <c r="L48">
        <v>0.24890000000000001</v>
      </c>
      <c r="M48">
        <v>1.72</v>
      </c>
      <c r="N48">
        <v>0.78</v>
      </c>
      <c r="O48">
        <v>40.200000000000003</v>
      </c>
      <c r="P48">
        <v>32.5</v>
      </c>
      <c r="Q48">
        <v>3</v>
      </c>
      <c r="R48">
        <v>1</v>
      </c>
      <c r="S48">
        <v>1.06</v>
      </c>
      <c r="T48">
        <v>0.2</v>
      </c>
      <c r="U48">
        <v>1.55</v>
      </c>
      <c r="V48">
        <v>0.59</v>
      </c>
      <c r="W48">
        <v>3.15</v>
      </c>
      <c r="X48">
        <v>1.05</v>
      </c>
    </row>
    <row r="49" spans="2:24" hidden="1" x14ac:dyDescent="0.35">
      <c r="B49">
        <v>2016</v>
      </c>
      <c r="C49" s="1">
        <v>42631</v>
      </c>
      <c r="D49">
        <v>2411</v>
      </c>
      <c r="E49" t="s">
        <v>23</v>
      </c>
      <c r="F49" t="s">
        <v>35</v>
      </c>
      <c r="G49" t="s">
        <v>39</v>
      </c>
      <c r="H49">
        <v>60.75</v>
      </c>
      <c r="I49">
        <v>81.64</v>
      </c>
      <c r="J49">
        <v>0.20069999999999999</v>
      </c>
      <c r="K49">
        <v>0.56669999999999998</v>
      </c>
      <c r="L49">
        <v>0.2326</v>
      </c>
      <c r="M49">
        <v>1.1499999999999999</v>
      </c>
      <c r="N49">
        <v>1.94</v>
      </c>
      <c r="O49">
        <v>20.3</v>
      </c>
      <c r="P49">
        <v>58.6</v>
      </c>
      <c r="Q49">
        <v>3</v>
      </c>
      <c r="R49">
        <v>1</v>
      </c>
      <c r="S49">
        <v>1.76</v>
      </c>
      <c r="T49">
        <v>1.59</v>
      </c>
      <c r="U49">
        <v>1.1100000000000001</v>
      </c>
      <c r="V49">
        <v>1.1000000000000001</v>
      </c>
      <c r="W49">
        <v>2.63</v>
      </c>
      <c r="X49">
        <v>1.05</v>
      </c>
    </row>
    <row r="50" spans="2:24" hidden="1" x14ac:dyDescent="0.35">
      <c r="B50">
        <v>2016</v>
      </c>
      <c r="C50" s="1">
        <v>42631</v>
      </c>
      <c r="D50">
        <v>2411</v>
      </c>
      <c r="E50" t="s">
        <v>23</v>
      </c>
      <c r="F50" t="s">
        <v>30</v>
      </c>
      <c r="G50" t="s">
        <v>27</v>
      </c>
      <c r="H50">
        <v>56.79</v>
      </c>
      <c r="I50">
        <v>57.23</v>
      </c>
      <c r="J50">
        <v>0.45050000000000001</v>
      </c>
      <c r="K50">
        <v>0.26219999999999999</v>
      </c>
      <c r="L50">
        <v>0.28720000000000001</v>
      </c>
      <c r="M50">
        <v>1.36</v>
      </c>
      <c r="N50">
        <v>1.02</v>
      </c>
      <c r="O50">
        <v>39.9</v>
      </c>
      <c r="P50">
        <v>40.700000000000003</v>
      </c>
      <c r="Q50">
        <v>4</v>
      </c>
      <c r="R50">
        <v>1</v>
      </c>
      <c r="S50">
        <v>1.29</v>
      </c>
      <c r="T50">
        <v>1.34</v>
      </c>
      <c r="U50">
        <v>1.22</v>
      </c>
      <c r="V50">
        <v>1.1200000000000001</v>
      </c>
      <c r="W50">
        <v>4.07</v>
      </c>
      <c r="X50">
        <v>1.05</v>
      </c>
    </row>
    <row r="51" spans="2:24" hidden="1" x14ac:dyDescent="0.35">
      <c r="B51">
        <v>2016</v>
      </c>
      <c r="C51" s="1">
        <v>42631</v>
      </c>
      <c r="D51">
        <v>2411</v>
      </c>
      <c r="E51" t="s">
        <v>23</v>
      </c>
      <c r="F51" t="s">
        <v>34</v>
      </c>
      <c r="G51" t="s">
        <v>33</v>
      </c>
      <c r="H51">
        <v>67.66</v>
      </c>
      <c r="I51">
        <v>59.36</v>
      </c>
      <c r="J51">
        <v>0.53390000000000004</v>
      </c>
      <c r="K51">
        <v>0.20710000000000001</v>
      </c>
      <c r="L51">
        <v>0.2591</v>
      </c>
      <c r="M51">
        <v>1.69</v>
      </c>
      <c r="N51">
        <v>0.96</v>
      </c>
      <c r="O51">
        <v>21.1</v>
      </c>
      <c r="P51">
        <v>30.7</v>
      </c>
      <c r="Q51">
        <v>1</v>
      </c>
      <c r="R51">
        <v>0</v>
      </c>
      <c r="S51">
        <v>2.41</v>
      </c>
      <c r="T51">
        <v>0.61</v>
      </c>
      <c r="U51">
        <v>1.96</v>
      </c>
      <c r="V51">
        <v>1.07</v>
      </c>
      <c r="W51">
        <v>1.05</v>
      </c>
      <c r="X51">
        <v>0</v>
      </c>
    </row>
    <row r="52" spans="2:24" hidden="1" x14ac:dyDescent="0.35">
      <c r="B52">
        <v>2016</v>
      </c>
      <c r="C52" s="1">
        <v>42631</v>
      </c>
      <c r="D52">
        <v>2411</v>
      </c>
      <c r="E52" t="s">
        <v>23</v>
      </c>
      <c r="F52" t="s">
        <v>29</v>
      </c>
      <c r="G52" t="s">
        <v>37</v>
      </c>
      <c r="H52">
        <v>74.38</v>
      </c>
      <c r="I52">
        <v>53.51</v>
      </c>
      <c r="J52">
        <v>0.65600000000000003</v>
      </c>
      <c r="K52">
        <v>0.1278</v>
      </c>
      <c r="L52">
        <v>0.21609999999999999</v>
      </c>
      <c r="M52">
        <v>2</v>
      </c>
      <c r="N52">
        <v>0.78</v>
      </c>
      <c r="O52">
        <v>48.4</v>
      </c>
      <c r="P52">
        <v>36.6</v>
      </c>
      <c r="Q52">
        <v>1</v>
      </c>
      <c r="R52">
        <v>0</v>
      </c>
      <c r="S52">
        <v>2.76</v>
      </c>
      <c r="T52">
        <v>1.19</v>
      </c>
      <c r="U52">
        <v>2.2200000000000002</v>
      </c>
      <c r="V52">
        <v>0.82</v>
      </c>
      <c r="W52">
        <v>1.05</v>
      </c>
      <c r="X52">
        <v>0</v>
      </c>
    </row>
    <row r="53" spans="2:24" hidden="1" x14ac:dyDescent="0.35">
      <c r="B53">
        <v>2016</v>
      </c>
      <c r="C53" s="1">
        <v>42637</v>
      </c>
      <c r="D53">
        <v>2411</v>
      </c>
      <c r="E53" t="s">
        <v>23</v>
      </c>
      <c r="F53" t="s">
        <v>39</v>
      </c>
      <c r="G53" t="s">
        <v>25</v>
      </c>
      <c r="H53">
        <v>80.260000000000005</v>
      </c>
      <c r="I53">
        <v>68.73</v>
      </c>
      <c r="J53">
        <v>0.61650000000000005</v>
      </c>
      <c r="K53">
        <v>0.15359999999999999</v>
      </c>
      <c r="L53">
        <v>0.2298</v>
      </c>
      <c r="M53">
        <v>1.87</v>
      </c>
      <c r="N53">
        <v>0.9</v>
      </c>
      <c r="O53">
        <v>68.2</v>
      </c>
      <c r="P53">
        <v>28.3</v>
      </c>
      <c r="Q53">
        <v>4</v>
      </c>
      <c r="R53">
        <v>1</v>
      </c>
      <c r="S53">
        <v>2.12</v>
      </c>
      <c r="T53">
        <v>0.31</v>
      </c>
      <c r="U53">
        <v>1.55</v>
      </c>
      <c r="V53">
        <v>1.1299999999999999</v>
      </c>
      <c r="W53">
        <v>4.2</v>
      </c>
      <c r="X53">
        <v>1.05</v>
      </c>
    </row>
    <row r="54" spans="2:24" hidden="1" x14ac:dyDescent="0.35">
      <c r="B54">
        <v>2016</v>
      </c>
      <c r="C54" s="1">
        <v>42637</v>
      </c>
      <c r="D54">
        <v>2411</v>
      </c>
      <c r="E54" t="s">
        <v>23</v>
      </c>
      <c r="F54" t="s">
        <v>26</v>
      </c>
      <c r="G54" t="s">
        <v>29</v>
      </c>
      <c r="H54">
        <v>54.34</v>
      </c>
      <c r="I54">
        <v>74.489999999999995</v>
      </c>
      <c r="J54">
        <v>0.26219999999999999</v>
      </c>
      <c r="K54">
        <v>0.46189999999999998</v>
      </c>
      <c r="L54">
        <v>0.27589999999999998</v>
      </c>
      <c r="M54">
        <v>1.06</v>
      </c>
      <c r="N54">
        <v>1.48</v>
      </c>
      <c r="O54">
        <v>37.6</v>
      </c>
      <c r="P54">
        <v>52.6</v>
      </c>
      <c r="Q54">
        <v>1</v>
      </c>
      <c r="R54">
        <v>2</v>
      </c>
      <c r="S54">
        <v>0.41</v>
      </c>
      <c r="T54">
        <v>1.34</v>
      </c>
      <c r="U54">
        <v>0.64</v>
      </c>
      <c r="V54">
        <v>2.4700000000000002</v>
      </c>
      <c r="W54">
        <v>1.05</v>
      </c>
      <c r="X54">
        <v>2.1</v>
      </c>
    </row>
    <row r="55" spans="2:24" hidden="1" x14ac:dyDescent="0.35">
      <c r="B55">
        <v>2016</v>
      </c>
      <c r="C55" s="1">
        <v>42637</v>
      </c>
      <c r="D55">
        <v>2411</v>
      </c>
      <c r="E55" t="s">
        <v>23</v>
      </c>
      <c r="F55" t="s">
        <v>41</v>
      </c>
      <c r="G55" t="s">
        <v>24</v>
      </c>
      <c r="H55">
        <v>79.92</v>
      </c>
      <c r="I55">
        <v>52.27</v>
      </c>
      <c r="J55">
        <v>0.74039999999999995</v>
      </c>
      <c r="K55">
        <v>8.3199999999999996E-2</v>
      </c>
      <c r="L55">
        <v>0.17649999999999999</v>
      </c>
      <c r="M55">
        <v>2.31</v>
      </c>
      <c r="N55">
        <v>0.55000000000000004</v>
      </c>
      <c r="O55">
        <v>67.900000000000006</v>
      </c>
      <c r="P55">
        <v>29.9</v>
      </c>
      <c r="Q55">
        <v>5</v>
      </c>
      <c r="R55">
        <v>1</v>
      </c>
      <c r="S55">
        <v>4.82</v>
      </c>
      <c r="T55">
        <v>0.17</v>
      </c>
      <c r="U55">
        <v>3.71</v>
      </c>
      <c r="V55">
        <v>0.34</v>
      </c>
      <c r="W55">
        <v>5.24</v>
      </c>
      <c r="X55">
        <v>1.05</v>
      </c>
    </row>
    <row r="56" spans="2:24" hidden="1" x14ac:dyDescent="0.35">
      <c r="B56">
        <v>2016</v>
      </c>
      <c r="C56" s="1">
        <v>42637</v>
      </c>
      <c r="D56">
        <v>2411</v>
      </c>
      <c r="E56" t="s">
        <v>23</v>
      </c>
      <c r="F56" t="s">
        <v>33</v>
      </c>
      <c r="G56" t="s">
        <v>36</v>
      </c>
      <c r="H56">
        <v>58.75</v>
      </c>
      <c r="I56">
        <v>88.31</v>
      </c>
      <c r="J56">
        <v>6.88E-2</v>
      </c>
      <c r="K56">
        <v>0.79149999999999998</v>
      </c>
      <c r="L56">
        <v>0.13969999999999999</v>
      </c>
      <c r="M56">
        <v>0.98</v>
      </c>
      <c r="N56">
        <v>2.37</v>
      </c>
      <c r="O56">
        <v>30.1</v>
      </c>
      <c r="P56">
        <v>75.8</v>
      </c>
      <c r="Q56">
        <v>1</v>
      </c>
      <c r="R56">
        <v>3</v>
      </c>
      <c r="S56">
        <v>1.22</v>
      </c>
      <c r="T56">
        <v>2.61</v>
      </c>
      <c r="U56">
        <v>1.7</v>
      </c>
      <c r="V56">
        <v>3.92</v>
      </c>
      <c r="W56">
        <v>1.05</v>
      </c>
      <c r="X56">
        <v>2.99</v>
      </c>
    </row>
    <row r="57" spans="2:24" hidden="1" x14ac:dyDescent="0.35">
      <c r="B57">
        <v>2016</v>
      </c>
      <c r="C57" s="1">
        <v>42637</v>
      </c>
      <c r="D57">
        <v>2411</v>
      </c>
      <c r="E57" t="s">
        <v>23</v>
      </c>
      <c r="F57" t="s">
        <v>37</v>
      </c>
      <c r="G57" t="s">
        <v>30</v>
      </c>
      <c r="H57">
        <v>53.32</v>
      </c>
      <c r="I57">
        <v>58.2</v>
      </c>
      <c r="J57">
        <v>0.43140000000000001</v>
      </c>
      <c r="K57">
        <v>0.28439999999999999</v>
      </c>
      <c r="L57">
        <v>0.28410000000000002</v>
      </c>
      <c r="M57">
        <v>1.37</v>
      </c>
      <c r="N57">
        <v>1.1200000000000001</v>
      </c>
      <c r="O57">
        <v>43.1</v>
      </c>
      <c r="P57">
        <v>31.4</v>
      </c>
      <c r="Q57">
        <v>2</v>
      </c>
      <c r="R57">
        <v>3</v>
      </c>
      <c r="S57">
        <v>1.66</v>
      </c>
      <c r="T57">
        <v>1.31</v>
      </c>
      <c r="U57">
        <v>1.1399999999999999</v>
      </c>
      <c r="V57">
        <v>1.39</v>
      </c>
      <c r="W57">
        <v>2.1</v>
      </c>
      <c r="X57">
        <v>3.15</v>
      </c>
    </row>
    <row r="58" spans="2:24" hidden="1" x14ac:dyDescent="0.35">
      <c r="B58">
        <v>2016</v>
      </c>
      <c r="C58" s="1">
        <v>42637</v>
      </c>
      <c r="D58">
        <v>2411</v>
      </c>
      <c r="E58" t="s">
        <v>23</v>
      </c>
      <c r="F58" t="s">
        <v>38</v>
      </c>
      <c r="G58" t="s">
        <v>28</v>
      </c>
      <c r="H58">
        <v>58.1</v>
      </c>
      <c r="I58">
        <v>71.31</v>
      </c>
      <c r="J58">
        <v>0.30599999999999999</v>
      </c>
      <c r="K58">
        <v>0.42499999999999999</v>
      </c>
      <c r="L58">
        <v>0.26900000000000002</v>
      </c>
      <c r="M58">
        <v>1.27</v>
      </c>
      <c r="N58">
        <v>1.54</v>
      </c>
      <c r="O58">
        <v>31.7</v>
      </c>
      <c r="P58">
        <v>40.799999999999997</v>
      </c>
      <c r="Q58">
        <v>1</v>
      </c>
      <c r="R58">
        <v>0</v>
      </c>
      <c r="S58">
        <v>0.68</v>
      </c>
      <c r="T58">
        <v>1.06</v>
      </c>
      <c r="U58">
        <v>0.82</v>
      </c>
      <c r="V58">
        <v>1.52</v>
      </c>
      <c r="W58">
        <v>1.05</v>
      </c>
      <c r="X58">
        <v>0</v>
      </c>
    </row>
    <row r="59" spans="2:24" hidden="1" x14ac:dyDescent="0.35">
      <c r="B59">
        <v>2016</v>
      </c>
      <c r="C59" s="1">
        <v>42637</v>
      </c>
      <c r="D59">
        <v>2411</v>
      </c>
      <c r="E59" t="s">
        <v>23</v>
      </c>
      <c r="F59" t="s">
        <v>27</v>
      </c>
      <c r="G59" t="s">
        <v>31</v>
      </c>
      <c r="H59">
        <v>55.79</v>
      </c>
      <c r="I59">
        <v>59.09</v>
      </c>
      <c r="J59">
        <v>0.41980000000000001</v>
      </c>
      <c r="K59">
        <v>0.29980000000000001</v>
      </c>
      <c r="L59">
        <v>0.28039999999999998</v>
      </c>
      <c r="M59">
        <v>1.4</v>
      </c>
      <c r="N59">
        <v>1.19</v>
      </c>
      <c r="O59">
        <v>47.3</v>
      </c>
      <c r="P59">
        <v>34.700000000000003</v>
      </c>
      <c r="Q59">
        <v>1</v>
      </c>
      <c r="R59">
        <v>1</v>
      </c>
      <c r="S59">
        <v>1.1200000000000001</v>
      </c>
      <c r="T59">
        <v>0.35</v>
      </c>
      <c r="U59">
        <v>1.75</v>
      </c>
      <c r="V59">
        <v>1.1000000000000001</v>
      </c>
      <c r="W59">
        <v>1.05</v>
      </c>
      <c r="X59">
        <v>1.05</v>
      </c>
    </row>
    <row r="60" spans="2:24" hidden="1" x14ac:dyDescent="0.35">
      <c r="B60">
        <v>2016</v>
      </c>
      <c r="C60" s="1">
        <v>42637</v>
      </c>
      <c r="D60">
        <v>2411</v>
      </c>
      <c r="E60" t="s">
        <v>23</v>
      </c>
      <c r="F60" t="s">
        <v>40</v>
      </c>
      <c r="G60" t="s">
        <v>42</v>
      </c>
      <c r="H60">
        <v>83.19</v>
      </c>
      <c r="I60">
        <v>81.099999999999994</v>
      </c>
      <c r="J60">
        <v>0.49830000000000002</v>
      </c>
      <c r="K60">
        <v>0.25629999999999997</v>
      </c>
      <c r="L60">
        <v>0.24529999999999999</v>
      </c>
      <c r="M60">
        <v>1.79</v>
      </c>
      <c r="N60">
        <v>1.3</v>
      </c>
      <c r="O60">
        <v>67</v>
      </c>
      <c r="P60">
        <v>59.5</v>
      </c>
      <c r="Q60">
        <v>3</v>
      </c>
      <c r="R60">
        <v>0</v>
      </c>
      <c r="S60">
        <v>1.68</v>
      </c>
      <c r="T60">
        <v>0.68</v>
      </c>
      <c r="U60">
        <v>2.76</v>
      </c>
      <c r="V60">
        <v>1.31</v>
      </c>
      <c r="W60">
        <v>3.15</v>
      </c>
      <c r="X60">
        <v>0</v>
      </c>
    </row>
    <row r="61" spans="2:24" hidden="1" x14ac:dyDescent="0.35">
      <c r="B61">
        <v>2016</v>
      </c>
      <c r="C61" s="1">
        <v>42638</v>
      </c>
      <c r="D61">
        <v>2411</v>
      </c>
      <c r="E61" t="s">
        <v>23</v>
      </c>
      <c r="F61" t="s">
        <v>43</v>
      </c>
      <c r="G61" t="s">
        <v>34</v>
      </c>
      <c r="H61">
        <v>61.9</v>
      </c>
      <c r="I61">
        <v>68.19</v>
      </c>
      <c r="J61">
        <v>0.39</v>
      </c>
      <c r="K61">
        <v>0.3417</v>
      </c>
      <c r="L61">
        <v>0.26829999999999998</v>
      </c>
      <c r="M61">
        <v>1.47</v>
      </c>
      <c r="N61">
        <v>1.43</v>
      </c>
      <c r="O61">
        <v>32.9</v>
      </c>
      <c r="P61">
        <v>15.6</v>
      </c>
      <c r="Q61">
        <v>0</v>
      </c>
      <c r="R61">
        <v>3</v>
      </c>
      <c r="S61">
        <v>1.2</v>
      </c>
      <c r="T61">
        <v>2.29</v>
      </c>
      <c r="U61">
        <v>1.66</v>
      </c>
      <c r="V61">
        <v>1.63</v>
      </c>
      <c r="W61">
        <v>0</v>
      </c>
      <c r="X61">
        <v>2.63</v>
      </c>
    </row>
    <row r="62" spans="2:24" hidden="1" x14ac:dyDescent="0.35">
      <c r="B62">
        <v>2016</v>
      </c>
      <c r="C62" s="1">
        <v>42639</v>
      </c>
      <c r="D62">
        <v>2411</v>
      </c>
      <c r="E62" t="s">
        <v>23</v>
      </c>
      <c r="F62" t="s">
        <v>32</v>
      </c>
      <c r="G62" t="s">
        <v>35</v>
      </c>
      <c r="H62">
        <v>55.51</v>
      </c>
      <c r="I62">
        <v>62.74</v>
      </c>
      <c r="J62">
        <v>0.38450000000000001</v>
      </c>
      <c r="K62">
        <v>0.33889999999999998</v>
      </c>
      <c r="L62">
        <v>0.27660000000000001</v>
      </c>
      <c r="M62">
        <v>1.37</v>
      </c>
      <c r="N62">
        <v>1.33</v>
      </c>
      <c r="O62">
        <v>42.3</v>
      </c>
      <c r="P62">
        <v>17</v>
      </c>
      <c r="Q62">
        <v>2</v>
      </c>
      <c r="R62">
        <v>0</v>
      </c>
      <c r="S62">
        <v>0.57999999999999996</v>
      </c>
      <c r="T62">
        <v>0.82</v>
      </c>
      <c r="U62">
        <v>1.27</v>
      </c>
      <c r="V62">
        <v>0.82</v>
      </c>
      <c r="W62">
        <v>2.1</v>
      </c>
      <c r="X62">
        <v>0</v>
      </c>
    </row>
    <row r="63" spans="2:24" hidden="1" x14ac:dyDescent="0.35">
      <c r="B63">
        <v>2016</v>
      </c>
      <c r="C63" s="1">
        <v>42643</v>
      </c>
      <c r="D63">
        <v>2411</v>
      </c>
      <c r="E63" t="s">
        <v>23</v>
      </c>
      <c r="F63" t="s">
        <v>28</v>
      </c>
      <c r="G63" t="s">
        <v>30</v>
      </c>
      <c r="H63">
        <v>70.91</v>
      </c>
      <c r="I63">
        <v>59.01</v>
      </c>
      <c r="J63">
        <v>0.59109999999999996</v>
      </c>
      <c r="K63">
        <v>0.1656</v>
      </c>
      <c r="L63">
        <v>0.24329999999999999</v>
      </c>
      <c r="M63">
        <v>1.77</v>
      </c>
      <c r="N63">
        <v>0.88</v>
      </c>
      <c r="O63">
        <v>33.5</v>
      </c>
      <c r="P63">
        <v>19.899999999999999</v>
      </c>
      <c r="Q63">
        <v>1</v>
      </c>
      <c r="R63">
        <v>1</v>
      </c>
      <c r="S63">
        <v>1.1599999999999999</v>
      </c>
      <c r="T63">
        <v>0.59</v>
      </c>
      <c r="U63">
        <v>1.53</v>
      </c>
      <c r="V63">
        <v>1.66</v>
      </c>
      <c r="W63">
        <v>1.05</v>
      </c>
      <c r="X63">
        <v>1.05</v>
      </c>
    </row>
    <row r="64" spans="2:24" hidden="1" x14ac:dyDescent="0.35">
      <c r="B64">
        <v>2016</v>
      </c>
      <c r="C64" s="1">
        <v>42644</v>
      </c>
      <c r="D64">
        <v>2411</v>
      </c>
      <c r="E64" t="s">
        <v>23</v>
      </c>
      <c r="F64" t="s">
        <v>33</v>
      </c>
      <c r="G64" t="s">
        <v>41</v>
      </c>
      <c r="H64">
        <v>58.64</v>
      </c>
      <c r="I64">
        <v>81.61</v>
      </c>
      <c r="J64">
        <v>0.16159999999999999</v>
      </c>
      <c r="K64">
        <v>0.63400000000000001</v>
      </c>
      <c r="L64">
        <v>0.2044</v>
      </c>
      <c r="M64">
        <v>1.21</v>
      </c>
      <c r="N64">
        <v>2.1</v>
      </c>
      <c r="O64">
        <v>33.4</v>
      </c>
      <c r="P64">
        <v>55.2</v>
      </c>
      <c r="Q64">
        <v>1</v>
      </c>
      <c r="R64">
        <v>2</v>
      </c>
      <c r="S64">
        <v>2.4500000000000002</v>
      </c>
      <c r="T64">
        <v>2.5</v>
      </c>
      <c r="U64">
        <v>0.73</v>
      </c>
      <c r="V64">
        <v>2.37</v>
      </c>
      <c r="W64">
        <v>1.05</v>
      </c>
      <c r="X64">
        <v>2.1</v>
      </c>
    </row>
    <row r="65" spans="2:24" hidden="1" x14ac:dyDescent="0.35">
      <c r="B65">
        <v>2016</v>
      </c>
      <c r="C65" s="1">
        <v>42644</v>
      </c>
      <c r="D65">
        <v>2411</v>
      </c>
      <c r="E65" t="s">
        <v>23</v>
      </c>
      <c r="F65" t="s">
        <v>24</v>
      </c>
      <c r="G65" t="s">
        <v>42</v>
      </c>
      <c r="H65">
        <v>50.28</v>
      </c>
      <c r="I65">
        <v>79.83</v>
      </c>
      <c r="J65">
        <v>0.15390000000000001</v>
      </c>
      <c r="K65">
        <v>0.62209999999999999</v>
      </c>
      <c r="L65">
        <v>0.224</v>
      </c>
      <c r="M65">
        <v>0.95</v>
      </c>
      <c r="N65">
        <v>1.87</v>
      </c>
      <c r="O65">
        <v>36.5</v>
      </c>
      <c r="P65">
        <v>59.5</v>
      </c>
      <c r="Q65">
        <v>0</v>
      </c>
      <c r="R65">
        <v>2</v>
      </c>
      <c r="S65">
        <v>0.28000000000000003</v>
      </c>
      <c r="T65">
        <v>2.1</v>
      </c>
      <c r="U65">
        <v>0.53</v>
      </c>
      <c r="V65">
        <v>2.92</v>
      </c>
      <c r="W65">
        <v>0</v>
      </c>
      <c r="X65">
        <v>2.1</v>
      </c>
    </row>
    <row r="66" spans="2:24" hidden="1" x14ac:dyDescent="0.35">
      <c r="B66">
        <v>2016</v>
      </c>
      <c r="C66" s="1">
        <v>42644</v>
      </c>
      <c r="D66">
        <v>2411</v>
      </c>
      <c r="E66" t="s">
        <v>23</v>
      </c>
      <c r="F66" t="s">
        <v>43</v>
      </c>
      <c r="G66" t="s">
        <v>26</v>
      </c>
      <c r="H66">
        <v>60.07</v>
      </c>
      <c r="I66">
        <v>53.47</v>
      </c>
      <c r="J66">
        <v>0.50180000000000002</v>
      </c>
      <c r="K66">
        <v>0.23630000000000001</v>
      </c>
      <c r="L66">
        <v>0.26190000000000002</v>
      </c>
      <c r="M66">
        <v>1.64</v>
      </c>
      <c r="N66">
        <v>1.1000000000000001</v>
      </c>
      <c r="O66">
        <v>43.1</v>
      </c>
      <c r="P66">
        <v>43.1</v>
      </c>
      <c r="Q66">
        <v>1</v>
      </c>
      <c r="R66">
        <v>1</v>
      </c>
      <c r="S66">
        <v>1.21</v>
      </c>
      <c r="T66">
        <v>0.78</v>
      </c>
      <c r="U66">
        <v>1.71</v>
      </c>
      <c r="V66">
        <v>0.68</v>
      </c>
      <c r="W66">
        <v>1.05</v>
      </c>
      <c r="X66">
        <v>1.05</v>
      </c>
    </row>
    <row r="67" spans="2:24" hidden="1" x14ac:dyDescent="0.35">
      <c r="B67">
        <v>2016</v>
      </c>
      <c r="C67" s="1">
        <v>42644</v>
      </c>
      <c r="D67">
        <v>2411</v>
      </c>
      <c r="E67" t="s">
        <v>23</v>
      </c>
      <c r="F67" t="s">
        <v>37</v>
      </c>
      <c r="G67" t="s">
        <v>31</v>
      </c>
      <c r="H67">
        <v>52.52</v>
      </c>
      <c r="I67">
        <v>58.94</v>
      </c>
      <c r="J67">
        <v>0.41739999999999999</v>
      </c>
      <c r="K67">
        <v>0.30280000000000001</v>
      </c>
      <c r="L67">
        <v>0.27979999999999999</v>
      </c>
      <c r="M67">
        <v>1.4</v>
      </c>
      <c r="N67">
        <v>1.22</v>
      </c>
      <c r="O67">
        <v>49.1</v>
      </c>
      <c r="P67">
        <v>33.4</v>
      </c>
      <c r="Q67">
        <v>1</v>
      </c>
      <c r="R67">
        <v>1</v>
      </c>
      <c r="S67">
        <v>1.39</v>
      </c>
      <c r="T67">
        <v>0.88</v>
      </c>
      <c r="U67">
        <v>1.1200000000000001</v>
      </c>
      <c r="V67">
        <v>1.41</v>
      </c>
      <c r="W67">
        <v>1.05</v>
      </c>
      <c r="X67">
        <v>1.05</v>
      </c>
    </row>
    <row r="68" spans="2:24" hidden="1" x14ac:dyDescent="0.35">
      <c r="B68">
        <v>2016</v>
      </c>
      <c r="C68" s="1">
        <v>42644</v>
      </c>
      <c r="D68">
        <v>2411</v>
      </c>
      <c r="E68" t="s">
        <v>23</v>
      </c>
      <c r="F68" t="s">
        <v>35</v>
      </c>
      <c r="G68" t="s">
        <v>38</v>
      </c>
      <c r="H68">
        <v>61.59</v>
      </c>
      <c r="I68">
        <v>58.45</v>
      </c>
      <c r="J68">
        <v>0.48909999999999998</v>
      </c>
      <c r="K68">
        <v>0.25359999999999999</v>
      </c>
      <c r="L68">
        <v>0.25729999999999997</v>
      </c>
      <c r="M68">
        <v>1.71</v>
      </c>
      <c r="N68">
        <v>1.21</v>
      </c>
      <c r="O68">
        <v>24.2</v>
      </c>
      <c r="P68">
        <v>25.8</v>
      </c>
      <c r="Q68">
        <v>2</v>
      </c>
      <c r="R68">
        <v>2</v>
      </c>
      <c r="S68">
        <v>1.33</v>
      </c>
      <c r="T68">
        <v>1.25</v>
      </c>
      <c r="U68">
        <v>2.37</v>
      </c>
      <c r="V68">
        <v>1.02</v>
      </c>
      <c r="W68">
        <v>2.1</v>
      </c>
      <c r="X68">
        <v>2.1</v>
      </c>
    </row>
    <row r="69" spans="2:24" hidden="1" x14ac:dyDescent="0.35">
      <c r="B69">
        <v>2016</v>
      </c>
      <c r="C69" s="1">
        <v>42645</v>
      </c>
      <c r="D69">
        <v>2411</v>
      </c>
      <c r="E69" t="s">
        <v>23</v>
      </c>
      <c r="F69" t="s">
        <v>39</v>
      </c>
      <c r="G69" t="s">
        <v>27</v>
      </c>
      <c r="H69">
        <v>81.13</v>
      </c>
      <c r="I69">
        <v>55.95</v>
      </c>
      <c r="J69">
        <v>0.73</v>
      </c>
      <c r="K69">
        <v>8.7599999999999997E-2</v>
      </c>
      <c r="L69">
        <v>0.18229999999999999</v>
      </c>
      <c r="M69">
        <v>2.33</v>
      </c>
      <c r="N69">
        <v>0.53</v>
      </c>
      <c r="O69">
        <v>69</v>
      </c>
      <c r="P69">
        <v>38</v>
      </c>
      <c r="Q69">
        <v>1</v>
      </c>
      <c r="R69">
        <v>1</v>
      </c>
      <c r="S69">
        <v>3.2</v>
      </c>
      <c r="T69">
        <v>0.97</v>
      </c>
      <c r="U69">
        <v>2.95</v>
      </c>
      <c r="V69">
        <v>0.63</v>
      </c>
      <c r="W69">
        <v>1.05</v>
      </c>
      <c r="X69">
        <v>1.05</v>
      </c>
    </row>
    <row r="70" spans="2:24" hidden="1" x14ac:dyDescent="0.35">
      <c r="B70">
        <v>2016</v>
      </c>
      <c r="C70" s="1">
        <v>42645</v>
      </c>
      <c r="D70">
        <v>2411</v>
      </c>
      <c r="E70" t="s">
        <v>23</v>
      </c>
      <c r="F70" t="s">
        <v>25</v>
      </c>
      <c r="G70" t="s">
        <v>34</v>
      </c>
      <c r="H70">
        <v>67.87</v>
      </c>
      <c r="I70">
        <v>69.83</v>
      </c>
      <c r="J70">
        <v>0.4395</v>
      </c>
      <c r="K70">
        <v>0.28210000000000002</v>
      </c>
      <c r="L70">
        <v>0.27839999999999998</v>
      </c>
      <c r="M70">
        <v>1.42</v>
      </c>
      <c r="N70">
        <v>1.17</v>
      </c>
      <c r="O70">
        <v>14</v>
      </c>
      <c r="P70">
        <v>26.5</v>
      </c>
      <c r="Q70">
        <v>0</v>
      </c>
      <c r="R70">
        <v>0</v>
      </c>
      <c r="S70">
        <v>0.53</v>
      </c>
      <c r="T70">
        <v>0.97</v>
      </c>
      <c r="U70">
        <v>0.9</v>
      </c>
      <c r="V70">
        <v>1.41</v>
      </c>
      <c r="W70">
        <v>0</v>
      </c>
      <c r="X70">
        <v>0</v>
      </c>
    </row>
    <row r="71" spans="2:24" hidden="1" x14ac:dyDescent="0.35">
      <c r="B71">
        <v>2016</v>
      </c>
      <c r="C71" s="1">
        <v>42645</v>
      </c>
      <c r="D71">
        <v>2411</v>
      </c>
      <c r="E71" t="s">
        <v>23</v>
      </c>
      <c r="F71" t="s">
        <v>29</v>
      </c>
      <c r="G71" t="s">
        <v>36</v>
      </c>
      <c r="H71">
        <v>76.150000000000006</v>
      </c>
      <c r="I71">
        <v>88.4</v>
      </c>
      <c r="J71">
        <v>0.2359</v>
      </c>
      <c r="K71">
        <v>0.52849999999999997</v>
      </c>
      <c r="L71">
        <v>0.2356</v>
      </c>
      <c r="M71">
        <v>1.34</v>
      </c>
      <c r="N71">
        <v>1.79</v>
      </c>
      <c r="O71">
        <v>56.7</v>
      </c>
      <c r="P71">
        <v>78.400000000000006</v>
      </c>
      <c r="Q71">
        <v>2</v>
      </c>
      <c r="R71">
        <v>0</v>
      </c>
      <c r="S71">
        <v>1.61</v>
      </c>
      <c r="T71">
        <v>1</v>
      </c>
      <c r="U71">
        <v>0.53</v>
      </c>
      <c r="V71">
        <v>2.12</v>
      </c>
      <c r="W71">
        <v>2.1</v>
      </c>
      <c r="X71">
        <v>0</v>
      </c>
    </row>
    <row r="72" spans="2:24" hidden="1" x14ac:dyDescent="0.35">
      <c r="B72">
        <v>2016</v>
      </c>
      <c r="C72" s="1">
        <v>42645</v>
      </c>
      <c r="D72">
        <v>2411</v>
      </c>
      <c r="E72" t="s">
        <v>23</v>
      </c>
      <c r="F72" t="s">
        <v>32</v>
      </c>
      <c r="G72" t="s">
        <v>40</v>
      </c>
      <c r="H72">
        <v>56.6</v>
      </c>
      <c r="I72">
        <v>84.61</v>
      </c>
      <c r="J72">
        <v>0.12839999999999999</v>
      </c>
      <c r="K72">
        <v>0.66279999999999994</v>
      </c>
      <c r="L72">
        <v>0.20880000000000001</v>
      </c>
      <c r="M72">
        <v>0.88</v>
      </c>
      <c r="N72">
        <v>1.92</v>
      </c>
      <c r="O72">
        <v>35.799999999999997</v>
      </c>
      <c r="P72">
        <v>50.2</v>
      </c>
      <c r="Q72">
        <v>0</v>
      </c>
      <c r="R72">
        <v>1</v>
      </c>
      <c r="S72">
        <v>0.69</v>
      </c>
      <c r="T72">
        <v>1.65</v>
      </c>
      <c r="U72">
        <v>1.07</v>
      </c>
      <c r="V72">
        <v>3.56</v>
      </c>
      <c r="W72">
        <v>0</v>
      </c>
      <c r="X72">
        <v>1.05</v>
      </c>
    </row>
    <row r="73" spans="2:24" hidden="1" x14ac:dyDescent="0.35">
      <c r="B73">
        <v>2016</v>
      </c>
      <c r="C73" s="1">
        <v>42658</v>
      </c>
      <c r="D73">
        <v>2411</v>
      </c>
      <c r="E73" t="s">
        <v>23</v>
      </c>
      <c r="F73" t="s">
        <v>42</v>
      </c>
      <c r="G73" t="s">
        <v>25</v>
      </c>
      <c r="H73">
        <v>80.91</v>
      </c>
      <c r="I73">
        <v>67.209999999999994</v>
      </c>
      <c r="J73">
        <v>0.64410000000000001</v>
      </c>
      <c r="K73">
        <v>0.13669999999999999</v>
      </c>
      <c r="L73">
        <v>0.21920000000000001</v>
      </c>
      <c r="M73">
        <v>1.93</v>
      </c>
      <c r="N73">
        <v>0.86</v>
      </c>
      <c r="O73">
        <v>61.6</v>
      </c>
      <c r="P73">
        <v>14.3</v>
      </c>
      <c r="Q73">
        <v>3</v>
      </c>
      <c r="R73">
        <v>0</v>
      </c>
      <c r="S73">
        <v>2.65</v>
      </c>
      <c r="T73">
        <v>0.3</v>
      </c>
      <c r="U73">
        <v>2.02</v>
      </c>
      <c r="V73">
        <v>0.59</v>
      </c>
      <c r="W73">
        <v>2.9</v>
      </c>
      <c r="X73">
        <v>0</v>
      </c>
    </row>
    <row r="74" spans="2:24" hidden="1" x14ac:dyDescent="0.35">
      <c r="B74">
        <v>2016</v>
      </c>
      <c r="C74" s="1">
        <v>42658</v>
      </c>
      <c r="D74">
        <v>2411</v>
      </c>
      <c r="E74" t="s">
        <v>23</v>
      </c>
      <c r="F74" t="s">
        <v>27</v>
      </c>
      <c r="G74" t="s">
        <v>37</v>
      </c>
      <c r="H74">
        <v>56.52</v>
      </c>
      <c r="I74">
        <v>52.36</v>
      </c>
      <c r="J74">
        <v>0.47439999999999999</v>
      </c>
      <c r="K74">
        <v>0.2525</v>
      </c>
      <c r="L74">
        <v>0.27310000000000001</v>
      </c>
      <c r="M74">
        <v>1.52</v>
      </c>
      <c r="N74">
        <v>1.0900000000000001</v>
      </c>
      <c r="O74">
        <v>44.2</v>
      </c>
      <c r="P74">
        <v>46.1</v>
      </c>
      <c r="Q74">
        <v>2</v>
      </c>
      <c r="R74">
        <v>0</v>
      </c>
      <c r="S74">
        <v>2.0099999999999998</v>
      </c>
      <c r="T74">
        <v>0.8</v>
      </c>
      <c r="U74">
        <v>2.38</v>
      </c>
      <c r="V74">
        <v>1.03</v>
      </c>
      <c r="W74">
        <v>2.1</v>
      </c>
      <c r="X74">
        <v>0</v>
      </c>
    </row>
    <row r="75" spans="2:24" hidden="1" x14ac:dyDescent="0.35">
      <c r="B75">
        <v>2016</v>
      </c>
      <c r="C75" s="1">
        <v>42658</v>
      </c>
      <c r="D75">
        <v>2411</v>
      </c>
      <c r="E75" t="s">
        <v>23</v>
      </c>
      <c r="F75" t="s">
        <v>40</v>
      </c>
      <c r="G75" t="s">
        <v>33</v>
      </c>
      <c r="H75">
        <v>84.98</v>
      </c>
      <c r="I75">
        <v>58.68</v>
      </c>
      <c r="J75">
        <v>0.78159999999999996</v>
      </c>
      <c r="K75">
        <v>6.7100000000000007E-2</v>
      </c>
      <c r="L75">
        <v>0.15129999999999999</v>
      </c>
      <c r="M75">
        <v>2.56</v>
      </c>
      <c r="N75">
        <v>0.56000000000000005</v>
      </c>
      <c r="O75">
        <v>40.1</v>
      </c>
      <c r="P75">
        <v>30.2</v>
      </c>
      <c r="Q75">
        <v>3</v>
      </c>
      <c r="R75">
        <v>2</v>
      </c>
      <c r="S75">
        <v>3.8</v>
      </c>
      <c r="T75">
        <v>2.21</v>
      </c>
      <c r="U75">
        <v>2.58</v>
      </c>
      <c r="V75">
        <v>1.69</v>
      </c>
      <c r="W75">
        <v>3.15</v>
      </c>
      <c r="X75">
        <v>2.1</v>
      </c>
    </row>
    <row r="76" spans="2:24" hidden="1" x14ac:dyDescent="0.35">
      <c r="B76">
        <v>2016</v>
      </c>
      <c r="C76" s="1">
        <v>42658</v>
      </c>
      <c r="D76">
        <v>2411</v>
      </c>
      <c r="E76" t="s">
        <v>23</v>
      </c>
      <c r="F76" t="s">
        <v>31</v>
      </c>
      <c r="G76" t="s">
        <v>29</v>
      </c>
      <c r="H76">
        <v>59.09</v>
      </c>
      <c r="I76">
        <v>77.040000000000006</v>
      </c>
      <c r="J76">
        <v>0.2427</v>
      </c>
      <c r="K76">
        <v>0.49030000000000001</v>
      </c>
      <c r="L76">
        <v>0.26700000000000002</v>
      </c>
      <c r="M76">
        <v>1.08</v>
      </c>
      <c r="N76">
        <v>1.56</v>
      </c>
      <c r="O76">
        <v>25.7</v>
      </c>
      <c r="P76">
        <v>56.3</v>
      </c>
      <c r="Q76">
        <v>1</v>
      </c>
      <c r="R76">
        <v>1</v>
      </c>
      <c r="S76">
        <v>1.35</v>
      </c>
      <c r="T76">
        <v>1.46</v>
      </c>
      <c r="U76">
        <v>0.78</v>
      </c>
      <c r="V76">
        <v>2.13</v>
      </c>
      <c r="W76">
        <v>1.05</v>
      </c>
      <c r="X76">
        <v>1.05</v>
      </c>
    </row>
    <row r="77" spans="2:24" hidden="1" x14ac:dyDescent="0.35">
      <c r="B77">
        <v>2016</v>
      </c>
      <c r="C77" s="1">
        <v>42658</v>
      </c>
      <c r="D77">
        <v>2411</v>
      </c>
      <c r="E77" t="s">
        <v>23</v>
      </c>
      <c r="F77" t="s">
        <v>38</v>
      </c>
      <c r="G77" t="s">
        <v>24</v>
      </c>
      <c r="H77">
        <v>58.62</v>
      </c>
      <c r="I77">
        <v>48.76</v>
      </c>
      <c r="J77">
        <v>0.52580000000000005</v>
      </c>
      <c r="K77">
        <v>0.2039</v>
      </c>
      <c r="L77">
        <v>0.27029999999999998</v>
      </c>
      <c r="M77">
        <v>1.54</v>
      </c>
      <c r="N77">
        <v>0.88</v>
      </c>
      <c r="O77">
        <v>35.1</v>
      </c>
      <c r="P77">
        <v>42.6</v>
      </c>
      <c r="Q77">
        <v>6</v>
      </c>
      <c r="R77">
        <v>1</v>
      </c>
      <c r="S77">
        <v>2.67</v>
      </c>
      <c r="T77">
        <v>0.45</v>
      </c>
      <c r="U77">
        <v>2.27</v>
      </c>
      <c r="V77">
        <v>0.67</v>
      </c>
      <c r="W77">
        <v>5.52</v>
      </c>
      <c r="X77">
        <v>1.05</v>
      </c>
    </row>
    <row r="78" spans="2:24" hidden="1" x14ac:dyDescent="0.35">
      <c r="B78">
        <v>2016</v>
      </c>
      <c r="C78" s="1">
        <v>42658</v>
      </c>
      <c r="D78">
        <v>2411</v>
      </c>
      <c r="E78" t="s">
        <v>23</v>
      </c>
      <c r="F78" t="s">
        <v>36</v>
      </c>
      <c r="G78" t="s">
        <v>28</v>
      </c>
      <c r="H78">
        <v>87.7</v>
      </c>
      <c r="I78">
        <v>70.14</v>
      </c>
      <c r="J78">
        <v>0.73380000000000001</v>
      </c>
      <c r="K78">
        <v>9.4899999999999998E-2</v>
      </c>
      <c r="L78">
        <v>0.17130000000000001</v>
      </c>
      <c r="M78">
        <v>2.29</v>
      </c>
      <c r="N78">
        <v>0.85</v>
      </c>
      <c r="O78">
        <v>72.599999999999994</v>
      </c>
      <c r="P78">
        <v>37.799999999999997</v>
      </c>
      <c r="Q78">
        <v>1</v>
      </c>
      <c r="R78">
        <v>1</v>
      </c>
      <c r="S78">
        <v>3.06</v>
      </c>
      <c r="T78">
        <v>0.15</v>
      </c>
      <c r="U78">
        <v>4.88</v>
      </c>
      <c r="V78">
        <v>0.21</v>
      </c>
      <c r="W78">
        <v>1.05</v>
      </c>
      <c r="X78">
        <v>1.05</v>
      </c>
    </row>
    <row r="79" spans="2:24" hidden="1" x14ac:dyDescent="0.35">
      <c r="B79">
        <v>2016</v>
      </c>
      <c r="C79" s="1">
        <v>42658</v>
      </c>
      <c r="D79">
        <v>2411</v>
      </c>
      <c r="E79" t="s">
        <v>23</v>
      </c>
      <c r="F79" t="s">
        <v>30</v>
      </c>
      <c r="G79" t="s">
        <v>43</v>
      </c>
      <c r="H79">
        <v>59.84</v>
      </c>
      <c r="I79">
        <v>59.91</v>
      </c>
      <c r="J79">
        <v>0.45590000000000003</v>
      </c>
      <c r="K79">
        <v>0.28060000000000002</v>
      </c>
      <c r="L79">
        <v>0.2636</v>
      </c>
      <c r="M79">
        <v>1.62</v>
      </c>
      <c r="N79">
        <v>1.27</v>
      </c>
      <c r="O79">
        <v>21.2</v>
      </c>
      <c r="P79">
        <v>39.299999999999997</v>
      </c>
      <c r="Q79">
        <v>0</v>
      </c>
      <c r="R79">
        <v>1</v>
      </c>
      <c r="S79">
        <v>2.02</v>
      </c>
      <c r="T79">
        <v>1.03</v>
      </c>
      <c r="U79">
        <v>0.99</v>
      </c>
      <c r="V79">
        <v>1.07</v>
      </c>
      <c r="W79">
        <v>0</v>
      </c>
      <c r="X79">
        <v>1.05</v>
      </c>
    </row>
    <row r="80" spans="2:24" hidden="1" x14ac:dyDescent="0.35">
      <c r="B80">
        <v>2016</v>
      </c>
      <c r="C80" s="1">
        <v>42659</v>
      </c>
      <c r="D80">
        <v>2411</v>
      </c>
      <c r="E80" t="s">
        <v>23</v>
      </c>
      <c r="F80" t="s">
        <v>26</v>
      </c>
      <c r="G80" t="s">
        <v>35</v>
      </c>
      <c r="H80">
        <v>53.6</v>
      </c>
      <c r="I80">
        <v>61.44</v>
      </c>
      <c r="J80">
        <v>0.39989999999999998</v>
      </c>
      <c r="K80">
        <v>0.32329999999999998</v>
      </c>
      <c r="L80">
        <v>0.27689999999999998</v>
      </c>
      <c r="M80">
        <v>1.4</v>
      </c>
      <c r="N80">
        <v>1.28</v>
      </c>
      <c r="O80">
        <v>41.4</v>
      </c>
      <c r="P80">
        <v>23.1</v>
      </c>
      <c r="Q80">
        <v>0</v>
      </c>
      <c r="R80">
        <v>1</v>
      </c>
      <c r="S80">
        <v>0.55000000000000004</v>
      </c>
      <c r="T80">
        <v>0.08</v>
      </c>
      <c r="U80">
        <v>1.31</v>
      </c>
      <c r="V80">
        <v>0.39</v>
      </c>
      <c r="W80">
        <v>0</v>
      </c>
      <c r="X80">
        <v>1.05</v>
      </c>
    </row>
    <row r="81" spans="2:24" hidden="1" x14ac:dyDescent="0.35">
      <c r="B81">
        <v>2016</v>
      </c>
      <c r="C81" s="1">
        <v>42659</v>
      </c>
      <c r="D81">
        <v>2411</v>
      </c>
      <c r="E81" t="s">
        <v>23</v>
      </c>
      <c r="F81" t="s">
        <v>34</v>
      </c>
      <c r="G81" t="s">
        <v>32</v>
      </c>
      <c r="H81">
        <v>70.290000000000006</v>
      </c>
      <c r="I81">
        <v>55.96</v>
      </c>
      <c r="J81">
        <v>0.59770000000000001</v>
      </c>
      <c r="K81">
        <v>0.1424</v>
      </c>
      <c r="L81">
        <v>0.25979999999999998</v>
      </c>
      <c r="M81">
        <v>1.57</v>
      </c>
      <c r="N81">
        <v>0.64</v>
      </c>
      <c r="O81">
        <v>19.2</v>
      </c>
      <c r="P81">
        <v>35.700000000000003</v>
      </c>
      <c r="Q81">
        <v>3</v>
      </c>
      <c r="R81">
        <v>1</v>
      </c>
      <c r="S81">
        <v>4.67</v>
      </c>
      <c r="T81">
        <v>1.05</v>
      </c>
      <c r="U81">
        <v>2.17</v>
      </c>
      <c r="V81">
        <v>1.05</v>
      </c>
      <c r="W81">
        <v>3.15</v>
      </c>
      <c r="X81">
        <v>1.05</v>
      </c>
    </row>
    <row r="82" spans="2:24" hidden="1" x14ac:dyDescent="0.35">
      <c r="B82">
        <v>2016</v>
      </c>
      <c r="C82" s="1">
        <v>42660</v>
      </c>
      <c r="D82">
        <v>2411</v>
      </c>
      <c r="E82" t="s">
        <v>23</v>
      </c>
      <c r="F82" t="s">
        <v>41</v>
      </c>
      <c r="G82" t="s">
        <v>39</v>
      </c>
      <c r="H82">
        <v>81.599999999999994</v>
      </c>
      <c r="I82">
        <v>80.72</v>
      </c>
      <c r="J82">
        <v>0.47370000000000001</v>
      </c>
      <c r="K82">
        <v>0.28149999999999997</v>
      </c>
      <c r="L82">
        <v>0.24479999999999999</v>
      </c>
      <c r="M82">
        <v>1.78</v>
      </c>
      <c r="N82">
        <v>1.41</v>
      </c>
      <c r="O82">
        <v>66.900000000000006</v>
      </c>
      <c r="P82">
        <v>70.099999999999994</v>
      </c>
      <c r="Q82">
        <v>0</v>
      </c>
      <c r="R82">
        <v>0</v>
      </c>
      <c r="S82">
        <v>0.31</v>
      </c>
      <c r="T82">
        <v>0.68</v>
      </c>
      <c r="U82">
        <v>1.49</v>
      </c>
      <c r="V82">
        <v>0.41</v>
      </c>
      <c r="W82">
        <v>0</v>
      </c>
      <c r="X82">
        <v>0</v>
      </c>
    </row>
    <row r="83" spans="2:24" hidden="1" x14ac:dyDescent="0.35">
      <c r="B83">
        <v>2016</v>
      </c>
      <c r="C83" s="1">
        <v>42665</v>
      </c>
      <c r="D83">
        <v>2411</v>
      </c>
      <c r="E83" t="s">
        <v>23</v>
      </c>
      <c r="F83" t="s">
        <v>38</v>
      </c>
      <c r="G83" t="s">
        <v>29</v>
      </c>
      <c r="H83">
        <v>61.54</v>
      </c>
      <c r="I83">
        <v>76.73</v>
      </c>
      <c r="J83">
        <v>0.27789999999999998</v>
      </c>
      <c r="K83">
        <v>0.45400000000000001</v>
      </c>
      <c r="L83">
        <v>0.2681</v>
      </c>
      <c r="M83">
        <v>1.18</v>
      </c>
      <c r="N83">
        <v>1.58</v>
      </c>
      <c r="O83">
        <v>17.100000000000001</v>
      </c>
      <c r="P83">
        <v>55.9</v>
      </c>
      <c r="Q83">
        <v>0</v>
      </c>
      <c r="R83">
        <v>0</v>
      </c>
      <c r="S83">
        <v>0.54</v>
      </c>
      <c r="T83">
        <v>0.85</v>
      </c>
      <c r="U83">
        <v>0.92</v>
      </c>
      <c r="V83">
        <v>1.85</v>
      </c>
      <c r="W83">
        <v>0</v>
      </c>
      <c r="X83">
        <v>0</v>
      </c>
    </row>
    <row r="84" spans="2:24" hidden="1" x14ac:dyDescent="0.35">
      <c r="B84">
        <v>2016</v>
      </c>
      <c r="C84" s="1">
        <v>42665</v>
      </c>
      <c r="D84">
        <v>2411</v>
      </c>
      <c r="E84" t="s">
        <v>23</v>
      </c>
      <c r="F84" t="s">
        <v>24</v>
      </c>
      <c r="G84" t="s">
        <v>27</v>
      </c>
      <c r="H84">
        <v>45.85</v>
      </c>
      <c r="I84">
        <v>57.95</v>
      </c>
      <c r="J84">
        <v>0.36520000000000002</v>
      </c>
      <c r="K84">
        <v>0.34589999999999999</v>
      </c>
      <c r="L84">
        <v>0.28889999999999999</v>
      </c>
      <c r="M84">
        <v>1.22</v>
      </c>
      <c r="N84">
        <v>1.26</v>
      </c>
      <c r="O84">
        <v>53.3</v>
      </c>
      <c r="P84">
        <v>41.8</v>
      </c>
      <c r="Q84">
        <v>0</v>
      </c>
      <c r="R84">
        <v>2</v>
      </c>
      <c r="S84">
        <v>0.74</v>
      </c>
      <c r="T84">
        <v>1.1200000000000001</v>
      </c>
      <c r="U84">
        <v>1.65</v>
      </c>
      <c r="V84">
        <v>1.1599999999999999</v>
      </c>
      <c r="W84">
        <v>0</v>
      </c>
      <c r="X84">
        <v>2.1</v>
      </c>
    </row>
    <row r="85" spans="2:24" hidden="1" x14ac:dyDescent="0.35">
      <c r="B85">
        <v>2016</v>
      </c>
      <c r="C85" s="1">
        <v>42665</v>
      </c>
      <c r="D85">
        <v>2411</v>
      </c>
      <c r="E85" t="s">
        <v>23</v>
      </c>
      <c r="F85" t="s">
        <v>25</v>
      </c>
      <c r="G85" t="s">
        <v>30</v>
      </c>
      <c r="H85">
        <v>65.7</v>
      </c>
      <c r="I85">
        <v>59.15</v>
      </c>
      <c r="J85">
        <v>0.51290000000000002</v>
      </c>
      <c r="K85">
        <v>0.21440000000000001</v>
      </c>
      <c r="L85">
        <v>0.27279999999999999</v>
      </c>
      <c r="M85">
        <v>1.54</v>
      </c>
      <c r="N85">
        <v>0.91</v>
      </c>
      <c r="O85">
        <v>14.9</v>
      </c>
      <c r="P85">
        <v>21.3</v>
      </c>
      <c r="Q85">
        <v>3</v>
      </c>
      <c r="R85">
        <v>1</v>
      </c>
      <c r="S85">
        <v>1.39</v>
      </c>
      <c r="T85">
        <v>2.15</v>
      </c>
      <c r="U85">
        <v>1.71</v>
      </c>
      <c r="V85">
        <v>2.75</v>
      </c>
      <c r="W85">
        <v>2.91</v>
      </c>
      <c r="X85">
        <v>1.05</v>
      </c>
    </row>
    <row r="86" spans="2:24" hidden="1" x14ac:dyDescent="0.35">
      <c r="B86">
        <v>2016</v>
      </c>
      <c r="C86" s="1">
        <v>42665</v>
      </c>
      <c r="D86">
        <v>2411</v>
      </c>
      <c r="E86" t="s">
        <v>23</v>
      </c>
      <c r="F86" t="s">
        <v>33</v>
      </c>
      <c r="G86" t="s">
        <v>35</v>
      </c>
      <c r="H86">
        <v>60.2</v>
      </c>
      <c r="I86">
        <v>61.85</v>
      </c>
      <c r="J86">
        <v>0.4466</v>
      </c>
      <c r="K86">
        <v>0.29480000000000001</v>
      </c>
      <c r="L86">
        <v>0.2586</v>
      </c>
      <c r="M86">
        <v>1.65</v>
      </c>
      <c r="N86">
        <v>1.38</v>
      </c>
      <c r="O86">
        <v>36.1</v>
      </c>
      <c r="P86">
        <v>14.6</v>
      </c>
      <c r="Q86">
        <v>0</v>
      </c>
      <c r="R86">
        <v>0</v>
      </c>
      <c r="S86">
        <v>1.58</v>
      </c>
      <c r="T86">
        <v>0.5</v>
      </c>
      <c r="U86">
        <v>1.77</v>
      </c>
      <c r="V86">
        <v>1.18</v>
      </c>
      <c r="W86">
        <v>0</v>
      </c>
      <c r="X86">
        <v>0</v>
      </c>
    </row>
    <row r="87" spans="2:24" hidden="1" x14ac:dyDescent="0.35">
      <c r="B87">
        <v>2016</v>
      </c>
      <c r="C87" s="1">
        <v>42665</v>
      </c>
      <c r="D87">
        <v>2411</v>
      </c>
      <c r="E87" t="s">
        <v>23</v>
      </c>
      <c r="F87" t="s">
        <v>43</v>
      </c>
      <c r="G87" t="s">
        <v>37</v>
      </c>
      <c r="H87">
        <v>60.58</v>
      </c>
      <c r="I87">
        <v>50.91</v>
      </c>
      <c r="J87">
        <v>0.53690000000000004</v>
      </c>
      <c r="K87">
        <v>0.2142</v>
      </c>
      <c r="L87">
        <v>0.249</v>
      </c>
      <c r="M87">
        <v>1.79</v>
      </c>
      <c r="N87">
        <v>1.1000000000000001</v>
      </c>
      <c r="O87">
        <v>37.1</v>
      </c>
      <c r="P87">
        <v>42.6</v>
      </c>
      <c r="Q87">
        <v>1</v>
      </c>
      <c r="R87">
        <v>0</v>
      </c>
      <c r="S87">
        <v>1.24</v>
      </c>
      <c r="T87">
        <v>0.9</v>
      </c>
      <c r="U87">
        <v>2.1</v>
      </c>
      <c r="V87">
        <v>0.95</v>
      </c>
      <c r="W87">
        <v>1.05</v>
      </c>
      <c r="X87">
        <v>0</v>
      </c>
    </row>
    <row r="88" spans="2:24" hidden="1" x14ac:dyDescent="0.35">
      <c r="B88">
        <v>2016</v>
      </c>
      <c r="C88" s="1">
        <v>42665</v>
      </c>
      <c r="D88">
        <v>2411</v>
      </c>
      <c r="E88" t="s">
        <v>23</v>
      </c>
      <c r="F88" t="s">
        <v>40</v>
      </c>
      <c r="G88" t="s">
        <v>26</v>
      </c>
      <c r="H88">
        <v>85.58</v>
      </c>
      <c r="I88">
        <v>53.15</v>
      </c>
      <c r="J88">
        <v>0.79139999999999999</v>
      </c>
      <c r="K88">
        <v>5.9499999999999997E-2</v>
      </c>
      <c r="L88">
        <v>0.14910000000000001</v>
      </c>
      <c r="M88">
        <v>2.4900000000000002</v>
      </c>
      <c r="N88">
        <v>0.42</v>
      </c>
      <c r="O88">
        <v>75.2</v>
      </c>
      <c r="P88">
        <v>38.4</v>
      </c>
      <c r="Q88">
        <v>0</v>
      </c>
      <c r="R88">
        <v>0</v>
      </c>
      <c r="S88">
        <v>0.62</v>
      </c>
      <c r="T88">
        <v>1.87</v>
      </c>
      <c r="U88">
        <v>3.47</v>
      </c>
      <c r="V88">
        <v>0.77</v>
      </c>
      <c r="W88">
        <v>0</v>
      </c>
      <c r="X88">
        <v>0</v>
      </c>
    </row>
    <row r="89" spans="2:24" hidden="1" x14ac:dyDescent="0.35">
      <c r="B89">
        <v>2016</v>
      </c>
      <c r="C89" s="1">
        <v>42665</v>
      </c>
      <c r="D89">
        <v>2411</v>
      </c>
      <c r="E89" t="s">
        <v>23</v>
      </c>
      <c r="F89" t="s">
        <v>32</v>
      </c>
      <c r="G89" t="s">
        <v>28</v>
      </c>
      <c r="H89">
        <v>54.77</v>
      </c>
      <c r="I89">
        <v>69.66</v>
      </c>
      <c r="J89">
        <v>0.29409999999999997</v>
      </c>
      <c r="K89">
        <v>0.41959999999999997</v>
      </c>
      <c r="L89">
        <v>0.2863</v>
      </c>
      <c r="M89">
        <v>1.0900000000000001</v>
      </c>
      <c r="N89">
        <v>1.36</v>
      </c>
      <c r="O89">
        <v>43</v>
      </c>
      <c r="P89">
        <v>29.5</v>
      </c>
      <c r="Q89">
        <v>2</v>
      </c>
      <c r="R89">
        <v>1</v>
      </c>
      <c r="S89">
        <v>0.97</v>
      </c>
      <c r="T89">
        <v>1</v>
      </c>
      <c r="U89">
        <v>0.5</v>
      </c>
      <c r="V89">
        <v>1.89</v>
      </c>
      <c r="W89">
        <v>2.1</v>
      </c>
      <c r="X89">
        <v>1.05</v>
      </c>
    </row>
    <row r="90" spans="2:24" hidden="1" x14ac:dyDescent="0.35">
      <c r="B90">
        <v>2016</v>
      </c>
      <c r="C90" s="1">
        <v>42665</v>
      </c>
      <c r="D90">
        <v>2411</v>
      </c>
      <c r="E90" t="s">
        <v>23</v>
      </c>
      <c r="F90" t="s">
        <v>41</v>
      </c>
      <c r="G90" t="s">
        <v>31</v>
      </c>
      <c r="H90">
        <v>81.260000000000005</v>
      </c>
      <c r="I90">
        <v>59.19</v>
      </c>
      <c r="J90">
        <v>0.72230000000000005</v>
      </c>
      <c r="K90">
        <v>9.7600000000000006E-2</v>
      </c>
      <c r="L90">
        <v>0.18010000000000001</v>
      </c>
      <c r="M90">
        <v>2.37</v>
      </c>
      <c r="N90">
        <v>0.67</v>
      </c>
      <c r="O90">
        <v>65.099999999999994</v>
      </c>
      <c r="P90">
        <v>19.399999999999999</v>
      </c>
      <c r="Q90">
        <v>2</v>
      </c>
      <c r="R90">
        <v>1</v>
      </c>
      <c r="S90">
        <v>2.48</v>
      </c>
      <c r="T90">
        <v>0.84</v>
      </c>
      <c r="U90">
        <v>1.95</v>
      </c>
      <c r="V90">
        <v>1.24</v>
      </c>
      <c r="W90">
        <v>2.1</v>
      </c>
      <c r="X90">
        <v>1.05</v>
      </c>
    </row>
    <row r="91" spans="2:24" hidden="1" x14ac:dyDescent="0.35">
      <c r="B91">
        <v>2016</v>
      </c>
      <c r="C91" s="1">
        <v>42666</v>
      </c>
      <c r="D91">
        <v>2411</v>
      </c>
      <c r="E91" t="s">
        <v>23</v>
      </c>
      <c r="F91" t="s">
        <v>36</v>
      </c>
      <c r="G91" t="s">
        <v>34</v>
      </c>
      <c r="H91">
        <v>87.29</v>
      </c>
      <c r="I91">
        <v>71.47</v>
      </c>
      <c r="J91">
        <v>0.71189999999999998</v>
      </c>
      <c r="K91">
        <v>0.10440000000000001</v>
      </c>
      <c r="L91">
        <v>0.1837</v>
      </c>
      <c r="M91">
        <v>2.17</v>
      </c>
      <c r="N91">
        <v>0.86</v>
      </c>
      <c r="O91">
        <v>72.3</v>
      </c>
      <c r="P91">
        <v>27.7</v>
      </c>
      <c r="Q91">
        <v>1</v>
      </c>
      <c r="R91">
        <v>1</v>
      </c>
      <c r="S91">
        <v>1.1599999999999999</v>
      </c>
      <c r="T91">
        <v>0.56000000000000005</v>
      </c>
      <c r="U91">
        <v>2.69</v>
      </c>
      <c r="V91">
        <v>0.78</v>
      </c>
      <c r="W91">
        <v>1.05</v>
      </c>
      <c r="X91">
        <v>1.05</v>
      </c>
    </row>
    <row r="92" spans="2:24" hidden="1" x14ac:dyDescent="0.35">
      <c r="B92">
        <v>2016</v>
      </c>
      <c r="C92" s="1">
        <v>42666</v>
      </c>
      <c r="D92">
        <v>2411</v>
      </c>
      <c r="E92" t="s">
        <v>23</v>
      </c>
      <c r="F92" t="s">
        <v>42</v>
      </c>
      <c r="G92" t="s">
        <v>39</v>
      </c>
      <c r="H92">
        <v>82</v>
      </c>
      <c r="I92">
        <v>80.66</v>
      </c>
      <c r="J92">
        <v>0.49959999999999999</v>
      </c>
      <c r="K92">
        <v>0.2397</v>
      </c>
      <c r="L92">
        <v>0.26069999999999999</v>
      </c>
      <c r="M92">
        <v>1.58</v>
      </c>
      <c r="N92">
        <v>1.1599999999999999</v>
      </c>
      <c r="O92">
        <v>77.900000000000006</v>
      </c>
      <c r="P92">
        <v>73.099999999999994</v>
      </c>
      <c r="Q92">
        <v>4</v>
      </c>
      <c r="R92">
        <v>0</v>
      </c>
      <c r="S92">
        <v>2.2000000000000002</v>
      </c>
      <c r="T92">
        <v>1.2</v>
      </c>
      <c r="U92">
        <v>1.62</v>
      </c>
      <c r="V92">
        <v>2.06</v>
      </c>
      <c r="W92">
        <v>4.2</v>
      </c>
      <c r="X92">
        <v>0</v>
      </c>
    </row>
    <row r="93" spans="2:24" hidden="1" x14ac:dyDescent="0.35">
      <c r="B93">
        <v>2016</v>
      </c>
      <c r="C93" s="1">
        <v>42672</v>
      </c>
      <c r="D93">
        <v>2411</v>
      </c>
      <c r="E93" t="s">
        <v>23</v>
      </c>
      <c r="F93" t="s">
        <v>37</v>
      </c>
      <c r="G93" t="s">
        <v>40</v>
      </c>
      <c r="H93">
        <v>50.59</v>
      </c>
      <c r="I93">
        <v>84.67</v>
      </c>
      <c r="J93">
        <v>8.7999999999999995E-2</v>
      </c>
      <c r="K93">
        <v>0.74819999999999998</v>
      </c>
      <c r="L93">
        <v>0.1638</v>
      </c>
      <c r="M93">
        <v>0.94</v>
      </c>
      <c r="N93">
        <v>2.27</v>
      </c>
      <c r="O93">
        <v>48</v>
      </c>
      <c r="P93">
        <v>56.5</v>
      </c>
      <c r="Q93">
        <v>1</v>
      </c>
      <c r="R93">
        <v>4</v>
      </c>
      <c r="S93">
        <v>0.85</v>
      </c>
      <c r="T93">
        <v>2.4300000000000002</v>
      </c>
      <c r="U93">
        <v>0.16</v>
      </c>
      <c r="V93">
        <v>2.4500000000000002</v>
      </c>
      <c r="W93">
        <v>1.05</v>
      </c>
      <c r="X93">
        <v>3.87</v>
      </c>
    </row>
    <row r="94" spans="2:24" hidden="1" x14ac:dyDescent="0.35">
      <c r="B94">
        <v>2016</v>
      </c>
      <c r="C94" s="1">
        <v>42672</v>
      </c>
      <c r="D94">
        <v>2411</v>
      </c>
      <c r="E94" t="s">
        <v>23</v>
      </c>
      <c r="F94" t="s">
        <v>26</v>
      </c>
      <c r="G94" t="s">
        <v>38</v>
      </c>
      <c r="H94">
        <v>54.4</v>
      </c>
      <c r="I94">
        <v>61.22</v>
      </c>
      <c r="J94">
        <v>0.41370000000000001</v>
      </c>
      <c r="K94">
        <v>0.29220000000000002</v>
      </c>
      <c r="L94">
        <v>0.29409999999999997</v>
      </c>
      <c r="M94">
        <v>1.25</v>
      </c>
      <c r="N94">
        <v>1.07</v>
      </c>
      <c r="O94">
        <v>44.6</v>
      </c>
      <c r="P94">
        <v>19.399999999999999</v>
      </c>
      <c r="Q94">
        <v>2</v>
      </c>
      <c r="R94">
        <v>0</v>
      </c>
      <c r="S94">
        <v>1.61</v>
      </c>
      <c r="T94">
        <v>1.59</v>
      </c>
      <c r="U94">
        <v>0.95</v>
      </c>
      <c r="V94">
        <v>2.57</v>
      </c>
      <c r="W94">
        <v>2.1</v>
      </c>
      <c r="X94">
        <v>0</v>
      </c>
    </row>
    <row r="95" spans="2:24" hidden="1" x14ac:dyDescent="0.35">
      <c r="B95">
        <v>2016</v>
      </c>
      <c r="C95" s="1">
        <v>42672</v>
      </c>
      <c r="D95">
        <v>2411</v>
      </c>
      <c r="E95" t="s">
        <v>23</v>
      </c>
      <c r="F95" t="s">
        <v>39</v>
      </c>
      <c r="G95" t="s">
        <v>32</v>
      </c>
      <c r="H95">
        <v>79.31</v>
      </c>
      <c r="I95">
        <v>55.35</v>
      </c>
      <c r="J95">
        <v>0.71530000000000005</v>
      </c>
      <c r="K95">
        <v>8.8099999999999998E-2</v>
      </c>
      <c r="L95">
        <v>0.1966</v>
      </c>
      <c r="M95">
        <v>2.13</v>
      </c>
      <c r="N95">
        <v>0.48</v>
      </c>
      <c r="O95">
        <v>59.4</v>
      </c>
      <c r="P95">
        <v>34.5</v>
      </c>
      <c r="Q95">
        <v>0</v>
      </c>
      <c r="R95">
        <v>0</v>
      </c>
      <c r="S95">
        <v>3.33</v>
      </c>
      <c r="T95">
        <v>0.38</v>
      </c>
      <c r="U95">
        <v>4.29</v>
      </c>
      <c r="V95">
        <v>1.33</v>
      </c>
      <c r="W95">
        <v>0</v>
      </c>
      <c r="X95">
        <v>0</v>
      </c>
    </row>
    <row r="96" spans="2:24" hidden="1" x14ac:dyDescent="0.35">
      <c r="B96">
        <v>2016</v>
      </c>
      <c r="C96" s="1">
        <v>42672</v>
      </c>
      <c r="D96">
        <v>2411</v>
      </c>
      <c r="E96" t="s">
        <v>23</v>
      </c>
      <c r="F96" t="s">
        <v>35</v>
      </c>
      <c r="G96" t="s">
        <v>24</v>
      </c>
      <c r="H96">
        <v>61.69</v>
      </c>
      <c r="I96">
        <v>44.7</v>
      </c>
      <c r="J96">
        <v>0.59640000000000004</v>
      </c>
      <c r="K96">
        <v>0.16200000000000001</v>
      </c>
      <c r="L96">
        <v>0.24160000000000001</v>
      </c>
      <c r="M96">
        <v>1.82</v>
      </c>
      <c r="N96">
        <v>0.84</v>
      </c>
      <c r="O96">
        <v>19.8</v>
      </c>
      <c r="P96">
        <v>44.4</v>
      </c>
      <c r="Q96">
        <v>1</v>
      </c>
      <c r="R96">
        <v>0</v>
      </c>
      <c r="S96">
        <v>1.27</v>
      </c>
      <c r="T96">
        <v>0.26</v>
      </c>
      <c r="U96">
        <v>2.2000000000000002</v>
      </c>
      <c r="V96">
        <v>0.57999999999999996</v>
      </c>
      <c r="W96">
        <v>1.05</v>
      </c>
      <c r="X96">
        <v>0</v>
      </c>
    </row>
    <row r="97" spans="2:24" hidden="1" x14ac:dyDescent="0.35">
      <c r="B97">
        <v>2016</v>
      </c>
      <c r="C97" s="1">
        <v>42672</v>
      </c>
      <c r="D97">
        <v>2411</v>
      </c>
      <c r="E97" t="s">
        <v>23</v>
      </c>
      <c r="F97" t="s">
        <v>31</v>
      </c>
      <c r="G97" t="s">
        <v>36</v>
      </c>
      <c r="H97">
        <v>59.65</v>
      </c>
      <c r="I97">
        <v>86.91</v>
      </c>
      <c r="J97">
        <v>0.1021</v>
      </c>
      <c r="K97">
        <v>0.72350000000000003</v>
      </c>
      <c r="L97">
        <v>0.1744</v>
      </c>
      <c r="M97">
        <v>1</v>
      </c>
      <c r="N97">
        <v>2.17</v>
      </c>
      <c r="O97">
        <v>25.1</v>
      </c>
      <c r="P97">
        <v>66.3</v>
      </c>
      <c r="Q97">
        <v>0</v>
      </c>
      <c r="R97">
        <v>4</v>
      </c>
      <c r="S97">
        <v>0.68</v>
      </c>
      <c r="T97">
        <v>2.31</v>
      </c>
      <c r="U97">
        <v>0.85</v>
      </c>
      <c r="V97">
        <v>2.21</v>
      </c>
      <c r="W97">
        <v>0</v>
      </c>
      <c r="X97">
        <v>3.49</v>
      </c>
    </row>
    <row r="98" spans="2:24" hidden="1" x14ac:dyDescent="0.35">
      <c r="B98">
        <v>2016</v>
      </c>
      <c r="C98" s="1">
        <v>42672</v>
      </c>
      <c r="D98">
        <v>2411</v>
      </c>
      <c r="E98" t="s">
        <v>23</v>
      </c>
      <c r="F98" t="s">
        <v>29</v>
      </c>
      <c r="G98" t="s">
        <v>25</v>
      </c>
      <c r="H98">
        <v>76.81</v>
      </c>
      <c r="I98">
        <v>65.5</v>
      </c>
      <c r="J98">
        <v>0.59909999999999997</v>
      </c>
      <c r="K98">
        <v>0.15279999999999999</v>
      </c>
      <c r="L98">
        <v>0.248</v>
      </c>
      <c r="M98">
        <v>1.69</v>
      </c>
      <c r="N98">
        <v>0.79</v>
      </c>
      <c r="O98">
        <v>65.400000000000006</v>
      </c>
      <c r="P98">
        <v>10.5</v>
      </c>
      <c r="Q98">
        <v>1</v>
      </c>
      <c r="R98">
        <v>1</v>
      </c>
      <c r="S98">
        <v>1.87</v>
      </c>
      <c r="T98">
        <v>0.81</v>
      </c>
      <c r="U98">
        <v>2.34</v>
      </c>
      <c r="V98">
        <v>1.19</v>
      </c>
      <c r="W98">
        <v>1.05</v>
      </c>
      <c r="X98">
        <v>1.05</v>
      </c>
    </row>
    <row r="99" spans="2:24" hidden="1" x14ac:dyDescent="0.35">
      <c r="B99">
        <v>2016</v>
      </c>
      <c r="C99" s="1">
        <v>42672</v>
      </c>
      <c r="D99">
        <v>2411</v>
      </c>
      <c r="E99" t="s">
        <v>23</v>
      </c>
      <c r="F99" t="s">
        <v>30</v>
      </c>
      <c r="G99" t="s">
        <v>41</v>
      </c>
      <c r="H99">
        <v>59.44</v>
      </c>
      <c r="I99">
        <v>80.930000000000007</v>
      </c>
      <c r="J99">
        <v>0.1835</v>
      </c>
      <c r="K99">
        <v>0.59379999999999999</v>
      </c>
      <c r="L99">
        <v>0.22270000000000001</v>
      </c>
      <c r="M99">
        <v>1.17</v>
      </c>
      <c r="N99">
        <v>1.94</v>
      </c>
      <c r="O99">
        <v>23.3</v>
      </c>
      <c r="P99">
        <v>58.2</v>
      </c>
      <c r="Q99">
        <v>2</v>
      </c>
      <c r="R99">
        <v>4</v>
      </c>
      <c r="S99">
        <v>0.44</v>
      </c>
      <c r="T99">
        <v>2.14</v>
      </c>
      <c r="U99">
        <v>1.61</v>
      </c>
      <c r="V99">
        <v>2.14</v>
      </c>
      <c r="W99">
        <v>2.1</v>
      </c>
      <c r="X99">
        <v>4.1900000000000004</v>
      </c>
    </row>
    <row r="100" spans="2:24" hidden="1" x14ac:dyDescent="0.35">
      <c r="B100">
        <v>2016</v>
      </c>
      <c r="C100" s="1">
        <v>42673</v>
      </c>
      <c r="D100">
        <v>2411</v>
      </c>
      <c r="E100" t="s">
        <v>23</v>
      </c>
      <c r="F100" t="s">
        <v>28</v>
      </c>
      <c r="G100" t="s">
        <v>43</v>
      </c>
      <c r="H100">
        <v>69.14</v>
      </c>
      <c r="I100">
        <v>60.89</v>
      </c>
      <c r="J100">
        <v>0.5554</v>
      </c>
      <c r="K100">
        <v>0.19850000000000001</v>
      </c>
      <c r="L100">
        <v>0.24610000000000001</v>
      </c>
      <c r="M100">
        <v>1.8</v>
      </c>
      <c r="N100">
        <v>1.04</v>
      </c>
      <c r="O100">
        <v>20.399999999999999</v>
      </c>
      <c r="P100">
        <v>23.8</v>
      </c>
      <c r="Q100">
        <v>2</v>
      </c>
      <c r="R100">
        <v>0</v>
      </c>
      <c r="S100">
        <v>1.95</v>
      </c>
      <c r="T100">
        <v>1.2</v>
      </c>
      <c r="U100">
        <v>1.76</v>
      </c>
      <c r="V100">
        <v>1.27</v>
      </c>
      <c r="W100">
        <v>1.96</v>
      </c>
      <c r="X100">
        <v>0</v>
      </c>
    </row>
    <row r="101" spans="2:24" hidden="1" x14ac:dyDescent="0.35">
      <c r="B101">
        <v>2016</v>
      </c>
      <c r="C101" s="1">
        <v>42673</v>
      </c>
      <c r="D101">
        <v>2411</v>
      </c>
      <c r="E101" t="s">
        <v>23</v>
      </c>
      <c r="F101" t="s">
        <v>34</v>
      </c>
      <c r="G101" t="s">
        <v>42</v>
      </c>
      <c r="H101">
        <v>71.92</v>
      </c>
      <c r="I101">
        <v>83.43</v>
      </c>
      <c r="J101">
        <v>0.28349999999999997</v>
      </c>
      <c r="K101">
        <v>0.45069999999999999</v>
      </c>
      <c r="L101">
        <v>0.26579999999999998</v>
      </c>
      <c r="M101">
        <v>1.25</v>
      </c>
      <c r="N101">
        <v>1.52</v>
      </c>
      <c r="O101">
        <v>30.2</v>
      </c>
      <c r="P101">
        <v>56.8</v>
      </c>
      <c r="Q101">
        <v>0</v>
      </c>
      <c r="R101">
        <v>2</v>
      </c>
      <c r="S101">
        <v>0.64</v>
      </c>
      <c r="T101">
        <v>1.1200000000000001</v>
      </c>
      <c r="U101">
        <v>1.27</v>
      </c>
      <c r="V101">
        <v>1.66</v>
      </c>
      <c r="W101">
        <v>0</v>
      </c>
      <c r="X101">
        <v>2.1</v>
      </c>
    </row>
    <row r="102" spans="2:24" hidden="1" x14ac:dyDescent="0.35">
      <c r="B102">
        <v>2016</v>
      </c>
      <c r="C102" s="1">
        <v>42674</v>
      </c>
      <c r="D102">
        <v>2411</v>
      </c>
      <c r="E102" t="s">
        <v>23</v>
      </c>
      <c r="F102" t="s">
        <v>27</v>
      </c>
      <c r="G102" t="s">
        <v>33</v>
      </c>
      <c r="H102">
        <v>59.12</v>
      </c>
      <c r="I102">
        <v>60.29</v>
      </c>
      <c r="J102">
        <v>0.44529999999999997</v>
      </c>
      <c r="K102">
        <v>0.27989999999999998</v>
      </c>
      <c r="L102">
        <v>0.27489999999999998</v>
      </c>
      <c r="M102">
        <v>1.48</v>
      </c>
      <c r="N102">
        <v>1.17</v>
      </c>
      <c r="O102">
        <v>35.200000000000003</v>
      </c>
      <c r="P102">
        <v>38.9</v>
      </c>
      <c r="Q102">
        <v>3</v>
      </c>
      <c r="R102">
        <v>1</v>
      </c>
      <c r="S102">
        <v>1.99</v>
      </c>
      <c r="T102">
        <v>1.07</v>
      </c>
      <c r="U102">
        <v>1.98</v>
      </c>
      <c r="V102">
        <v>1.44</v>
      </c>
      <c r="W102">
        <v>3.09</v>
      </c>
      <c r="X102">
        <v>1.05</v>
      </c>
    </row>
    <row r="103" spans="2:24" hidden="1" x14ac:dyDescent="0.35">
      <c r="B103">
        <v>2016</v>
      </c>
      <c r="C103" s="1">
        <v>42679</v>
      </c>
      <c r="D103">
        <v>2411</v>
      </c>
      <c r="E103" t="s">
        <v>23</v>
      </c>
      <c r="F103" t="s">
        <v>32</v>
      </c>
      <c r="G103" t="s">
        <v>30</v>
      </c>
      <c r="H103">
        <v>55.21</v>
      </c>
      <c r="I103">
        <v>59.04</v>
      </c>
      <c r="J103">
        <v>0.41770000000000002</v>
      </c>
      <c r="K103">
        <v>0.29470000000000002</v>
      </c>
      <c r="L103">
        <v>0.28760000000000002</v>
      </c>
      <c r="M103">
        <v>1.32</v>
      </c>
      <c r="N103">
        <v>1.1200000000000001</v>
      </c>
      <c r="O103">
        <v>37.200000000000003</v>
      </c>
      <c r="P103">
        <v>29.2</v>
      </c>
      <c r="Q103">
        <v>3</v>
      </c>
      <c r="R103">
        <v>2</v>
      </c>
      <c r="S103">
        <v>1.87</v>
      </c>
      <c r="T103">
        <v>2.42</v>
      </c>
      <c r="U103">
        <v>0.95</v>
      </c>
      <c r="V103">
        <v>2.12</v>
      </c>
      <c r="W103">
        <v>3.15</v>
      </c>
      <c r="X103">
        <v>2.1</v>
      </c>
    </row>
    <row r="104" spans="2:24" hidden="1" x14ac:dyDescent="0.35">
      <c r="B104">
        <v>2016</v>
      </c>
      <c r="C104" s="1">
        <v>42679</v>
      </c>
      <c r="D104">
        <v>2411</v>
      </c>
      <c r="E104" t="s">
        <v>23</v>
      </c>
      <c r="F104" t="s">
        <v>36</v>
      </c>
      <c r="G104" t="s">
        <v>26</v>
      </c>
      <c r="H104">
        <v>88.27</v>
      </c>
      <c r="I104">
        <v>54.97</v>
      </c>
      <c r="J104">
        <v>0.81420000000000003</v>
      </c>
      <c r="K104">
        <v>4.9700000000000001E-2</v>
      </c>
      <c r="L104">
        <v>0.1361</v>
      </c>
      <c r="M104">
        <v>2.5499999999999998</v>
      </c>
      <c r="N104">
        <v>0.37</v>
      </c>
      <c r="O104">
        <v>66.599999999999994</v>
      </c>
      <c r="P104">
        <v>30.9</v>
      </c>
      <c r="Q104">
        <v>1</v>
      </c>
      <c r="R104">
        <v>1</v>
      </c>
      <c r="S104">
        <v>2.83</v>
      </c>
      <c r="T104">
        <v>0.17</v>
      </c>
      <c r="U104">
        <v>2.89</v>
      </c>
      <c r="V104">
        <v>0.37</v>
      </c>
      <c r="W104">
        <v>1.05</v>
      </c>
      <c r="X104">
        <v>1.05</v>
      </c>
    </row>
    <row r="105" spans="2:24" hidden="1" x14ac:dyDescent="0.35">
      <c r="B105">
        <v>2016</v>
      </c>
      <c r="C105" s="1">
        <v>42679</v>
      </c>
      <c r="D105">
        <v>2411</v>
      </c>
      <c r="E105" t="s">
        <v>23</v>
      </c>
      <c r="F105" t="s">
        <v>43</v>
      </c>
      <c r="G105" t="s">
        <v>27</v>
      </c>
      <c r="H105">
        <v>60.24</v>
      </c>
      <c r="I105">
        <v>60.34</v>
      </c>
      <c r="J105">
        <v>0.46350000000000002</v>
      </c>
      <c r="K105">
        <v>0.2702</v>
      </c>
      <c r="L105">
        <v>0.26629999999999998</v>
      </c>
      <c r="M105">
        <v>1.57</v>
      </c>
      <c r="N105">
        <v>1.22</v>
      </c>
      <c r="O105">
        <v>33.200000000000003</v>
      </c>
      <c r="P105">
        <v>22.2</v>
      </c>
      <c r="Q105">
        <v>1</v>
      </c>
      <c r="R105">
        <v>1</v>
      </c>
      <c r="S105">
        <v>0.44</v>
      </c>
      <c r="T105">
        <v>1.01</v>
      </c>
      <c r="U105">
        <v>0.6</v>
      </c>
      <c r="V105">
        <v>0.86</v>
      </c>
      <c r="W105">
        <v>1.05</v>
      </c>
      <c r="X105">
        <v>1.05</v>
      </c>
    </row>
    <row r="106" spans="2:24" hidden="1" x14ac:dyDescent="0.35">
      <c r="B106">
        <v>2016</v>
      </c>
      <c r="C106" s="1">
        <v>42679</v>
      </c>
      <c r="D106">
        <v>2411</v>
      </c>
      <c r="E106" t="s">
        <v>23</v>
      </c>
      <c r="F106" t="s">
        <v>38</v>
      </c>
      <c r="G106" t="s">
        <v>37</v>
      </c>
      <c r="H106">
        <v>60.66</v>
      </c>
      <c r="I106">
        <v>49.65</v>
      </c>
      <c r="J106">
        <v>0.54300000000000004</v>
      </c>
      <c r="K106">
        <v>0.20130000000000001</v>
      </c>
      <c r="L106">
        <v>0.25580000000000003</v>
      </c>
      <c r="M106">
        <v>1.71</v>
      </c>
      <c r="N106">
        <v>0.97</v>
      </c>
      <c r="O106">
        <v>29.5</v>
      </c>
      <c r="P106">
        <v>48.7</v>
      </c>
      <c r="Q106">
        <v>1</v>
      </c>
      <c r="R106">
        <v>2</v>
      </c>
      <c r="S106">
        <v>2.61</v>
      </c>
      <c r="T106">
        <v>1.1399999999999999</v>
      </c>
      <c r="U106">
        <v>3.41</v>
      </c>
      <c r="V106">
        <v>0.97</v>
      </c>
      <c r="W106">
        <v>1.05</v>
      </c>
      <c r="X106">
        <v>2.1</v>
      </c>
    </row>
    <row r="107" spans="2:24" hidden="1" x14ac:dyDescent="0.35">
      <c r="B107">
        <v>2016</v>
      </c>
      <c r="C107" s="1">
        <v>42679</v>
      </c>
      <c r="D107">
        <v>2411</v>
      </c>
      <c r="E107" t="s">
        <v>23</v>
      </c>
      <c r="F107" t="s">
        <v>42</v>
      </c>
      <c r="G107" t="s">
        <v>28</v>
      </c>
      <c r="H107">
        <v>84.17</v>
      </c>
      <c r="I107">
        <v>69.709999999999994</v>
      </c>
      <c r="J107">
        <v>0.67020000000000002</v>
      </c>
      <c r="K107">
        <v>0.1221</v>
      </c>
      <c r="L107">
        <v>0.2077</v>
      </c>
      <c r="M107">
        <v>2</v>
      </c>
      <c r="N107">
        <v>0.84</v>
      </c>
      <c r="O107">
        <v>64.2</v>
      </c>
      <c r="P107">
        <v>31.8</v>
      </c>
      <c r="Q107">
        <v>5</v>
      </c>
      <c r="R107">
        <v>0</v>
      </c>
      <c r="S107">
        <v>1.74</v>
      </c>
      <c r="T107">
        <v>0.02</v>
      </c>
      <c r="U107">
        <v>3.38</v>
      </c>
      <c r="V107">
        <v>0.44</v>
      </c>
      <c r="W107">
        <v>5.25</v>
      </c>
      <c r="X107">
        <v>0</v>
      </c>
    </row>
    <row r="108" spans="2:24" hidden="1" x14ac:dyDescent="0.35">
      <c r="B108">
        <v>2016</v>
      </c>
      <c r="C108" s="1">
        <v>42680</v>
      </c>
      <c r="D108">
        <v>2411</v>
      </c>
      <c r="E108" t="s">
        <v>23</v>
      </c>
      <c r="F108" t="s">
        <v>40</v>
      </c>
      <c r="G108" t="s">
        <v>29</v>
      </c>
      <c r="H108">
        <v>85.54</v>
      </c>
      <c r="I108">
        <v>75.3</v>
      </c>
      <c r="J108">
        <v>0.62390000000000001</v>
      </c>
      <c r="K108">
        <v>0.1517</v>
      </c>
      <c r="L108">
        <v>0.22439999999999999</v>
      </c>
      <c r="M108">
        <v>1.87</v>
      </c>
      <c r="N108">
        <v>0.94</v>
      </c>
      <c r="O108">
        <v>56.7</v>
      </c>
      <c r="P108">
        <v>66</v>
      </c>
      <c r="Q108">
        <v>1</v>
      </c>
      <c r="R108">
        <v>1</v>
      </c>
      <c r="S108">
        <v>0.87</v>
      </c>
      <c r="T108">
        <v>1.31</v>
      </c>
      <c r="U108">
        <v>1.5</v>
      </c>
      <c r="V108">
        <v>0.94</v>
      </c>
      <c r="W108">
        <v>1.05</v>
      </c>
      <c r="X108">
        <v>1.05</v>
      </c>
    </row>
    <row r="109" spans="2:24" hidden="1" x14ac:dyDescent="0.35">
      <c r="B109">
        <v>2016</v>
      </c>
      <c r="C109" s="1">
        <v>42680</v>
      </c>
      <c r="D109">
        <v>2411</v>
      </c>
      <c r="E109" t="s">
        <v>23</v>
      </c>
      <c r="F109" t="s">
        <v>41</v>
      </c>
      <c r="G109" t="s">
        <v>35</v>
      </c>
      <c r="H109">
        <v>81.349999999999994</v>
      </c>
      <c r="I109">
        <v>62.1</v>
      </c>
      <c r="J109">
        <v>0.71299999999999997</v>
      </c>
      <c r="K109">
        <v>0.1086</v>
      </c>
      <c r="L109">
        <v>0.1784</v>
      </c>
      <c r="M109">
        <v>2.34</v>
      </c>
      <c r="N109">
        <v>0.93</v>
      </c>
      <c r="O109">
        <v>64.3</v>
      </c>
      <c r="P109">
        <v>9.3000000000000007</v>
      </c>
      <c r="Q109">
        <v>6</v>
      </c>
      <c r="R109">
        <v>1</v>
      </c>
      <c r="S109">
        <v>4.01</v>
      </c>
      <c r="T109">
        <v>0.98</v>
      </c>
      <c r="U109">
        <v>3.6</v>
      </c>
      <c r="V109">
        <v>0.8</v>
      </c>
      <c r="W109">
        <v>5.78</v>
      </c>
      <c r="X109">
        <v>1.05</v>
      </c>
    </row>
    <row r="110" spans="2:24" hidden="1" x14ac:dyDescent="0.35">
      <c r="B110">
        <v>2016</v>
      </c>
      <c r="C110" s="1">
        <v>42680</v>
      </c>
      <c r="D110">
        <v>2411</v>
      </c>
      <c r="E110" t="s">
        <v>23</v>
      </c>
      <c r="F110" t="s">
        <v>24</v>
      </c>
      <c r="G110" t="s">
        <v>34</v>
      </c>
      <c r="H110">
        <v>44.3</v>
      </c>
      <c r="I110">
        <v>70.81</v>
      </c>
      <c r="J110">
        <v>0.23930000000000001</v>
      </c>
      <c r="K110">
        <v>0.48249999999999998</v>
      </c>
      <c r="L110">
        <v>0.27829999999999999</v>
      </c>
      <c r="M110">
        <v>0.9</v>
      </c>
      <c r="N110">
        <v>1.54</v>
      </c>
      <c r="O110">
        <v>49.6</v>
      </c>
      <c r="P110">
        <v>14.7</v>
      </c>
      <c r="Q110">
        <v>2</v>
      </c>
      <c r="R110">
        <v>1</v>
      </c>
      <c r="S110">
        <v>0.7</v>
      </c>
      <c r="T110">
        <v>2.23</v>
      </c>
      <c r="U110">
        <v>0.79</v>
      </c>
      <c r="V110">
        <v>2.56</v>
      </c>
      <c r="W110">
        <v>2.1</v>
      </c>
      <c r="X110">
        <v>1.05</v>
      </c>
    </row>
    <row r="111" spans="2:24" hidden="1" x14ac:dyDescent="0.35">
      <c r="B111">
        <v>2016</v>
      </c>
      <c r="C111" s="1">
        <v>42680</v>
      </c>
      <c r="D111">
        <v>2411</v>
      </c>
      <c r="E111" t="s">
        <v>23</v>
      </c>
      <c r="F111" t="s">
        <v>33</v>
      </c>
      <c r="G111" t="s">
        <v>39</v>
      </c>
      <c r="H111">
        <v>59.08</v>
      </c>
      <c r="I111">
        <v>79.39</v>
      </c>
      <c r="J111">
        <v>0.21579999999999999</v>
      </c>
      <c r="K111">
        <v>0.53810000000000002</v>
      </c>
      <c r="L111">
        <v>0.2462</v>
      </c>
      <c r="M111">
        <v>1.1100000000000001</v>
      </c>
      <c r="N111">
        <v>1.79</v>
      </c>
      <c r="O111">
        <v>35.200000000000003</v>
      </c>
      <c r="P111">
        <v>53</v>
      </c>
      <c r="Q111">
        <v>1</v>
      </c>
      <c r="R111">
        <v>3</v>
      </c>
      <c r="S111">
        <v>0.63</v>
      </c>
      <c r="T111">
        <v>0.99</v>
      </c>
      <c r="U111">
        <v>0.51</v>
      </c>
      <c r="V111">
        <v>1.78</v>
      </c>
      <c r="W111">
        <v>1.05</v>
      </c>
      <c r="X111">
        <v>3.15</v>
      </c>
    </row>
    <row r="112" spans="2:24" hidden="1" x14ac:dyDescent="0.35">
      <c r="B112">
        <v>2016</v>
      </c>
      <c r="C112" s="1">
        <v>42680</v>
      </c>
      <c r="D112">
        <v>2411</v>
      </c>
      <c r="E112" t="s">
        <v>23</v>
      </c>
      <c r="F112" t="s">
        <v>25</v>
      </c>
      <c r="G112" t="s">
        <v>31</v>
      </c>
      <c r="H112">
        <v>65.67</v>
      </c>
      <c r="I112">
        <v>58.1</v>
      </c>
      <c r="J112">
        <v>0.51959999999999995</v>
      </c>
      <c r="K112">
        <v>0.21110000000000001</v>
      </c>
      <c r="L112">
        <v>0.26929999999999998</v>
      </c>
      <c r="M112">
        <v>1.58</v>
      </c>
      <c r="N112">
        <v>0.9</v>
      </c>
      <c r="O112">
        <v>12.7</v>
      </c>
      <c r="P112">
        <v>31.5</v>
      </c>
      <c r="Q112">
        <v>1</v>
      </c>
      <c r="R112">
        <v>2</v>
      </c>
      <c r="S112">
        <v>0.67</v>
      </c>
      <c r="T112">
        <v>0.83</v>
      </c>
      <c r="U112">
        <v>1.1000000000000001</v>
      </c>
      <c r="V112">
        <v>0.69</v>
      </c>
      <c r="W112">
        <v>1.05</v>
      </c>
      <c r="X112">
        <v>2.1</v>
      </c>
    </row>
    <row r="113" spans="2:24" hidden="1" x14ac:dyDescent="0.35">
      <c r="B113">
        <v>2016</v>
      </c>
      <c r="C113" s="1">
        <v>42693</v>
      </c>
      <c r="D113">
        <v>2411</v>
      </c>
      <c r="E113" t="s">
        <v>23</v>
      </c>
      <c r="F113" t="s">
        <v>39</v>
      </c>
      <c r="G113" t="s">
        <v>40</v>
      </c>
      <c r="H113">
        <v>80</v>
      </c>
      <c r="I113">
        <v>84.92</v>
      </c>
      <c r="J113">
        <v>0.37340000000000001</v>
      </c>
      <c r="K113">
        <v>0.36570000000000003</v>
      </c>
      <c r="L113">
        <v>0.26079999999999998</v>
      </c>
      <c r="M113">
        <v>1.52</v>
      </c>
      <c r="N113">
        <v>1.46</v>
      </c>
      <c r="O113">
        <v>76.099999999999994</v>
      </c>
      <c r="P113">
        <v>57.9</v>
      </c>
      <c r="Q113">
        <v>1</v>
      </c>
      <c r="R113">
        <v>1</v>
      </c>
      <c r="S113">
        <v>0.6</v>
      </c>
      <c r="T113">
        <v>0.68</v>
      </c>
      <c r="U113">
        <v>1.76</v>
      </c>
      <c r="V113">
        <v>0.75</v>
      </c>
      <c r="W113">
        <v>1.05</v>
      </c>
      <c r="X113">
        <v>1.05</v>
      </c>
    </row>
    <row r="114" spans="2:24" hidden="1" x14ac:dyDescent="0.35">
      <c r="B114">
        <v>2016</v>
      </c>
      <c r="C114" s="1">
        <v>42693</v>
      </c>
      <c r="D114">
        <v>2411</v>
      </c>
      <c r="E114" t="s">
        <v>23</v>
      </c>
      <c r="F114" t="s">
        <v>34</v>
      </c>
      <c r="G114" t="s">
        <v>41</v>
      </c>
      <c r="H114">
        <v>70.260000000000005</v>
      </c>
      <c r="I114">
        <v>82.88</v>
      </c>
      <c r="J114">
        <v>0.26919999999999999</v>
      </c>
      <c r="K114">
        <v>0.48499999999999999</v>
      </c>
      <c r="L114">
        <v>0.24579999999999999</v>
      </c>
      <c r="M114">
        <v>1.38</v>
      </c>
      <c r="N114">
        <v>1.72</v>
      </c>
      <c r="O114">
        <v>10.9</v>
      </c>
      <c r="P114">
        <v>56.5</v>
      </c>
      <c r="Q114">
        <v>0</v>
      </c>
      <c r="R114">
        <v>0</v>
      </c>
      <c r="S114">
        <v>0.16</v>
      </c>
      <c r="T114">
        <v>1.75</v>
      </c>
      <c r="U114">
        <v>0.3</v>
      </c>
      <c r="V114">
        <v>2.4900000000000002</v>
      </c>
      <c r="W114">
        <v>0</v>
      </c>
      <c r="X114">
        <v>0</v>
      </c>
    </row>
    <row r="115" spans="2:24" hidden="1" x14ac:dyDescent="0.35">
      <c r="B115">
        <v>2016</v>
      </c>
      <c r="C115" s="1">
        <v>42693</v>
      </c>
      <c r="D115">
        <v>2411</v>
      </c>
      <c r="E115" t="s">
        <v>23</v>
      </c>
      <c r="F115" t="s">
        <v>30</v>
      </c>
      <c r="G115" t="s">
        <v>36</v>
      </c>
      <c r="H115">
        <v>59.07</v>
      </c>
      <c r="I115">
        <v>87.88</v>
      </c>
      <c r="J115">
        <v>7.5899999999999995E-2</v>
      </c>
      <c r="K115">
        <v>0.78</v>
      </c>
      <c r="L115">
        <v>0.14419999999999999</v>
      </c>
      <c r="M115">
        <v>1.03</v>
      </c>
      <c r="N115">
        <v>2.41</v>
      </c>
      <c r="O115">
        <v>28.5</v>
      </c>
      <c r="P115">
        <v>71.3</v>
      </c>
      <c r="Q115">
        <v>1</v>
      </c>
      <c r="R115">
        <v>2</v>
      </c>
      <c r="S115">
        <v>0.59</v>
      </c>
      <c r="T115">
        <v>2</v>
      </c>
      <c r="U115">
        <v>0.87</v>
      </c>
      <c r="V115">
        <v>1.56</v>
      </c>
      <c r="W115">
        <v>1.05</v>
      </c>
      <c r="X115">
        <v>2.1</v>
      </c>
    </row>
    <row r="116" spans="2:24" hidden="1" x14ac:dyDescent="0.35">
      <c r="B116">
        <v>2016</v>
      </c>
      <c r="C116" s="1">
        <v>42693</v>
      </c>
      <c r="D116">
        <v>2411</v>
      </c>
      <c r="E116" t="s">
        <v>23</v>
      </c>
      <c r="F116" t="s">
        <v>28</v>
      </c>
      <c r="G116" t="s">
        <v>33</v>
      </c>
      <c r="H116">
        <v>67.31</v>
      </c>
      <c r="I116">
        <v>58.26</v>
      </c>
      <c r="J116">
        <v>0.5585</v>
      </c>
      <c r="K116">
        <v>0.19370000000000001</v>
      </c>
      <c r="L116">
        <v>0.24779999999999999</v>
      </c>
      <c r="M116">
        <v>1.78</v>
      </c>
      <c r="N116">
        <v>1</v>
      </c>
      <c r="O116">
        <v>14.1</v>
      </c>
      <c r="P116">
        <v>43</v>
      </c>
      <c r="Q116">
        <v>1</v>
      </c>
      <c r="R116">
        <v>1</v>
      </c>
      <c r="S116">
        <v>1.54</v>
      </c>
      <c r="T116">
        <v>1.1000000000000001</v>
      </c>
      <c r="U116">
        <v>1.35</v>
      </c>
      <c r="V116">
        <v>0.86</v>
      </c>
      <c r="W116">
        <v>1.05</v>
      </c>
      <c r="X116">
        <v>1.05</v>
      </c>
    </row>
    <row r="117" spans="2:24" hidden="1" x14ac:dyDescent="0.35">
      <c r="B117">
        <v>2016</v>
      </c>
      <c r="C117" s="1">
        <v>42693</v>
      </c>
      <c r="D117">
        <v>2411</v>
      </c>
      <c r="E117" t="s">
        <v>23</v>
      </c>
      <c r="F117" t="s">
        <v>35</v>
      </c>
      <c r="G117" t="s">
        <v>25</v>
      </c>
      <c r="H117">
        <v>60.26</v>
      </c>
      <c r="I117">
        <v>64.41</v>
      </c>
      <c r="J117">
        <v>0.41239999999999999</v>
      </c>
      <c r="K117">
        <v>0.31269999999999998</v>
      </c>
      <c r="L117">
        <v>0.27489999999999998</v>
      </c>
      <c r="M117">
        <v>1.44</v>
      </c>
      <c r="N117">
        <v>1.28</v>
      </c>
      <c r="O117">
        <v>18.100000000000001</v>
      </c>
      <c r="P117">
        <v>15.3</v>
      </c>
      <c r="Q117">
        <v>2</v>
      </c>
      <c r="R117">
        <v>1</v>
      </c>
      <c r="S117">
        <v>0.76</v>
      </c>
      <c r="T117">
        <v>1.28</v>
      </c>
      <c r="U117">
        <v>1.23</v>
      </c>
      <c r="V117">
        <v>1.0900000000000001</v>
      </c>
      <c r="W117">
        <v>2.1</v>
      </c>
      <c r="X117">
        <v>1.05</v>
      </c>
    </row>
    <row r="118" spans="2:24" hidden="1" x14ac:dyDescent="0.35">
      <c r="B118">
        <v>2016</v>
      </c>
      <c r="C118" s="1">
        <v>42693</v>
      </c>
      <c r="D118">
        <v>2411</v>
      </c>
      <c r="E118" t="s">
        <v>23</v>
      </c>
      <c r="F118" t="s">
        <v>37</v>
      </c>
      <c r="G118" t="s">
        <v>24</v>
      </c>
      <c r="H118">
        <v>50.04</v>
      </c>
      <c r="I118">
        <v>44.95</v>
      </c>
      <c r="J118">
        <v>0.50260000000000005</v>
      </c>
      <c r="K118">
        <v>0.22320000000000001</v>
      </c>
      <c r="L118">
        <v>0.2742</v>
      </c>
      <c r="M118">
        <v>1.52</v>
      </c>
      <c r="N118">
        <v>0.95</v>
      </c>
      <c r="O118">
        <v>49.2</v>
      </c>
      <c r="P118">
        <v>54.2</v>
      </c>
      <c r="Q118">
        <v>3</v>
      </c>
      <c r="R118">
        <v>0</v>
      </c>
      <c r="S118">
        <v>0.78</v>
      </c>
      <c r="T118">
        <v>1.36</v>
      </c>
      <c r="U118">
        <v>1.33</v>
      </c>
      <c r="V118">
        <v>1.27</v>
      </c>
      <c r="W118">
        <v>2.8</v>
      </c>
      <c r="X118">
        <v>0</v>
      </c>
    </row>
    <row r="119" spans="2:24" hidden="1" x14ac:dyDescent="0.35">
      <c r="B119">
        <v>2016</v>
      </c>
      <c r="C119" s="1">
        <v>42693</v>
      </c>
      <c r="D119">
        <v>2411</v>
      </c>
      <c r="E119" t="s">
        <v>23</v>
      </c>
      <c r="F119" t="s">
        <v>27</v>
      </c>
      <c r="G119" t="s">
        <v>38</v>
      </c>
      <c r="H119">
        <v>60.92</v>
      </c>
      <c r="I119">
        <v>60.28</v>
      </c>
      <c r="J119">
        <v>0.46479999999999999</v>
      </c>
      <c r="K119">
        <v>0.26419999999999999</v>
      </c>
      <c r="L119">
        <v>0.27100000000000002</v>
      </c>
      <c r="M119">
        <v>1.53</v>
      </c>
      <c r="N119">
        <v>1.1499999999999999</v>
      </c>
      <c r="O119">
        <v>24.2</v>
      </c>
      <c r="P119">
        <v>28.2</v>
      </c>
      <c r="Q119">
        <v>0</v>
      </c>
      <c r="R119">
        <v>1</v>
      </c>
      <c r="S119">
        <v>1.83</v>
      </c>
      <c r="T119">
        <v>1.07</v>
      </c>
      <c r="U119">
        <v>1.42</v>
      </c>
      <c r="V119">
        <v>0.71</v>
      </c>
      <c r="W119">
        <v>0</v>
      </c>
      <c r="X119">
        <v>1.05</v>
      </c>
    </row>
    <row r="120" spans="2:24" hidden="1" x14ac:dyDescent="0.35">
      <c r="B120">
        <v>2016</v>
      </c>
      <c r="C120" s="1">
        <v>42693</v>
      </c>
      <c r="D120">
        <v>2411</v>
      </c>
      <c r="E120" t="s">
        <v>23</v>
      </c>
      <c r="F120" t="s">
        <v>29</v>
      </c>
      <c r="G120" t="s">
        <v>43</v>
      </c>
      <c r="H120">
        <v>75.98</v>
      </c>
      <c r="I120">
        <v>59.61</v>
      </c>
      <c r="J120">
        <v>0.64839999999999998</v>
      </c>
      <c r="K120">
        <v>0.1249</v>
      </c>
      <c r="L120">
        <v>0.22670000000000001</v>
      </c>
      <c r="M120">
        <v>1.87</v>
      </c>
      <c r="N120">
        <v>0.73</v>
      </c>
      <c r="O120">
        <v>42.8</v>
      </c>
      <c r="P120">
        <v>32.700000000000003</v>
      </c>
      <c r="Q120">
        <v>3</v>
      </c>
      <c r="R120">
        <v>2</v>
      </c>
      <c r="S120">
        <v>2.59</v>
      </c>
      <c r="T120">
        <v>1.85</v>
      </c>
      <c r="U120">
        <v>1.64</v>
      </c>
      <c r="V120">
        <v>0.98</v>
      </c>
      <c r="W120">
        <v>3.15</v>
      </c>
      <c r="X120">
        <v>2.1</v>
      </c>
    </row>
    <row r="121" spans="2:24" hidden="1" x14ac:dyDescent="0.35">
      <c r="B121">
        <v>2016</v>
      </c>
      <c r="C121" s="1">
        <v>42694</v>
      </c>
      <c r="D121">
        <v>2411</v>
      </c>
      <c r="E121" t="s">
        <v>23</v>
      </c>
      <c r="F121" t="s">
        <v>26</v>
      </c>
      <c r="G121" t="s">
        <v>42</v>
      </c>
      <c r="H121">
        <v>55.64</v>
      </c>
      <c r="I121">
        <v>85.9</v>
      </c>
      <c r="J121">
        <v>0.1203</v>
      </c>
      <c r="K121">
        <v>0.67079999999999995</v>
      </c>
      <c r="L121">
        <v>0.20899999999999999</v>
      </c>
      <c r="M121">
        <v>0.84</v>
      </c>
      <c r="N121">
        <v>1.86</v>
      </c>
      <c r="O121">
        <v>31.4</v>
      </c>
      <c r="P121">
        <v>71.400000000000006</v>
      </c>
      <c r="Q121">
        <v>0</v>
      </c>
      <c r="R121">
        <v>1</v>
      </c>
      <c r="S121">
        <v>0.65</v>
      </c>
      <c r="T121">
        <v>1.73</v>
      </c>
      <c r="U121">
        <v>0.68</v>
      </c>
      <c r="V121">
        <v>3.09</v>
      </c>
      <c r="W121">
        <v>0</v>
      </c>
      <c r="X121">
        <v>1.05</v>
      </c>
    </row>
    <row r="122" spans="2:24" hidden="1" x14ac:dyDescent="0.35">
      <c r="B122">
        <v>2016</v>
      </c>
      <c r="C122" s="1">
        <v>42695</v>
      </c>
      <c r="D122">
        <v>2411</v>
      </c>
      <c r="E122" t="s">
        <v>23</v>
      </c>
      <c r="F122" t="s">
        <v>31</v>
      </c>
      <c r="G122" t="s">
        <v>32</v>
      </c>
      <c r="H122">
        <v>59.41</v>
      </c>
      <c r="I122">
        <v>55.17</v>
      </c>
      <c r="J122">
        <v>0.49690000000000001</v>
      </c>
      <c r="K122">
        <v>0.22559999999999999</v>
      </c>
      <c r="L122">
        <v>0.27750000000000002</v>
      </c>
      <c r="M122">
        <v>1.47</v>
      </c>
      <c r="N122">
        <v>0.94</v>
      </c>
      <c r="O122">
        <v>29.4</v>
      </c>
      <c r="P122">
        <v>31.9</v>
      </c>
      <c r="Q122">
        <v>4</v>
      </c>
      <c r="R122">
        <v>0</v>
      </c>
      <c r="S122">
        <v>1.51</v>
      </c>
      <c r="T122">
        <v>0.56000000000000005</v>
      </c>
      <c r="U122">
        <v>0.93</v>
      </c>
      <c r="V122">
        <v>1.0900000000000001</v>
      </c>
      <c r="W122">
        <v>4.2</v>
      </c>
      <c r="X122">
        <v>0</v>
      </c>
    </row>
    <row r="123" spans="2:24" hidden="1" x14ac:dyDescent="0.35">
      <c r="B123">
        <v>2016</v>
      </c>
      <c r="C123" s="1">
        <v>42700</v>
      </c>
      <c r="D123">
        <v>2411</v>
      </c>
      <c r="E123" t="s">
        <v>23</v>
      </c>
      <c r="F123" t="s">
        <v>32</v>
      </c>
      <c r="G123" t="s">
        <v>36</v>
      </c>
      <c r="H123">
        <v>53.12</v>
      </c>
      <c r="I123">
        <v>87.72</v>
      </c>
      <c r="J123">
        <v>6.0100000000000001E-2</v>
      </c>
      <c r="K123">
        <v>0.8024</v>
      </c>
      <c r="L123">
        <v>0.13750000000000001</v>
      </c>
      <c r="M123">
        <v>0.83</v>
      </c>
      <c r="N123">
        <v>2.36</v>
      </c>
      <c r="O123">
        <v>37.1</v>
      </c>
      <c r="P123">
        <v>77.400000000000006</v>
      </c>
      <c r="Q123">
        <v>1</v>
      </c>
      <c r="R123">
        <v>2</v>
      </c>
      <c r="S123">
        <v>0.73</v>
      </c>
      <c r="T123">
        <v>2.57</v>
      </c>
      <c r="U123">
        <v>1.3</v>
      </c>
      <c r="V123">
        <v>2.19</v>
      </c>
      <c r="W123">
        <v>1.05</v>
      </c>
      <c r="X123">
        <v>2.1</v>
      </c>
    </row>
    <row r="124" spans="2:24" hidden="1" x14ac:dyDescent="0.35">
      <c r="B124">
        <v>2016</v>
      </c>
      <c r="C124" s="1">
        <v>42700</v>
      </c>
      <c r="D124">
        <v>2411</v>
      </c>
      <c r="E124" t="s">
        <v>23</v>
      </c>
      <c r="F124" t="s">
        <v>25</v>
      </c>
      <c r="G124" t="s">
        <v>26</v>
      </c>
      <c r="H124">
        <v>63.63</v>
      </c>
      <c r="I124">
        <v>54.86</v>
      </c>
      <c r="J124">
        <v>0.502</v>
      </c>
      <c r="K124">
        <v>0.21079999999999999</v>
      </c>
      <c r="L124">
        <v>0.28720000000000001</v>
      </c>
      <c r="M124">
        <v>1.4</v>
      </c>
      <c r="N124">
        <v>0.8</v>
      </c>
      <c r="O124">
        <v>20.7</v>
      </c>
      <c r="P124">
        <v>30.7</v>
      </c>
      <c r="Q124">
        <v>2</v>
      </c>
      <c r="R124">
        <v>2</v>
      </c>
      <c r="S124">
        <v>2.11</v>
      </c>
      <c r="T124">
        <v>0.34</v>
      </c>
      <c r="U124">
        <v>1.72</v>
      </c>
      <c r="V124">
        <v>0.61</v>
      </c>
      <c r="W124">
        <v>2.1</v>
      </c>
      <c r="X124">
        <v>2.1</v>
      </c>
    </row>
    <row r="125" spans="2:24" hidden="1" x14ac:dyDescent="0.35">
      <c r="B125">
        <v>2016</v>
      </c>
      <c r="C125" s="1">
        <v>42700</v>
      </c>
      <c r="D125">
        <v>2411</v>
      </c>
      <c r="E125" t="s">
        <v>23</v>
      </c>
      <c r="F125" t="s">
        <v>41</v>
      </c>
      <c r="G125" t="s">
        <v>37</v>
      </c>
      <c r="H125">
        <v>83.39</v>
      </c>
      <c r="I125">
        <v>50.95</v>
      </c>
      <c r="J125">
        <v>0.79990000000000006</v>
      </c>
      <c r="K125">
        <v>6.2700000000000006E-2</v>
      </c>
      <c r="L125">
        <v>0.13739999999999999</v>
      </c>
      <c r="M125">
        <v>2.77</v>
      </c>
      <c r="N125">
        <v>0.57999999999999996</v>
      </c>
      <c r="O125">
        <v>67.5</v>
      </c>
      <c r="P125">
        <v>44.2</v>
      </c>
      <c r="Q125">
        <v>2</v>
      </c>
      <c r="R125">
        <v>0</v>
      </c>
      <c r="S125">
        <v>2.2200000000000002</v>
      </c>
      <c r="T125">
        <v>0.38</v>
      </c>
      <c r="U125">
        <v>2.93</v>
      </c>
      <c r="V125">
        <v>0.59</v>
      </c>
      <c r="W125">
        <v>1.58</v>
      </c>
      <c r="X125">
        <v>0</v>
      </c>
    </row>
    <row r="126" spans="2:24" hidden="1" x14ac:dyDescent="0.35">
      <c r="B126">
        <v>2016</v>
      </c>
      <c r="C126" s="1">
        <v>42700</v>
      </c>
      <c r="D126">
        <v>2411</v>
      </c>
      <c r="E126" t="s">
        <v>23</v>
      </c>
      <c r="F126" t="s">
        <v>33</v>
      </c>
      <c r="G126" t="s">
        <v>30</v>
      </c>
      <c r="H126">
        <v>58.79</v>
      </c>
      <c r="I126">
        <v>59.18</v>
      </c>
      <c r="J126">
        <v>0.4556</v>
      </c>
      <c r="K126">
        <v>0.27900000000000003</v>
      </c>
      <c r="L126">
        <v>0.26540000000000002</v>
      </c>
      <c r="M126">
        <v>1.59</v>
      </c>
      <c r="N126">
        <v>1.25</v>
      </c>
      <c r="O126">
        <v>49.1</v>
      </c>
      <c r="P126">
        <v>36.9</v>
      </c>
      <c r="Q126">
        <v>5</v>
      </c>
      <c r="R126">
        <v>4</v>
      </c>
      <c r="S126">
        <v>3</v>
      </c>
      <c r="T126">
        <v>2.08</v>
      </c>
      <c r="U126">
        <v>1.33</v>
      </c>
      <c r="V126">
        <v>1.48</v>
      </c>
      <c r="W126">
        <v>5.25</v>
      </c>
      <c r="X126">
        <v>4.2</v>
      </c>
    </row>
    <row r="127" spans="2:24" hidden="1" x14ac:dyDescent="0.35">
      <c r="B127">
        <v>2016</v>
      </c>
      <c r="C127" s="1">
        <v>42700</v>
      </c>
      <c r="D127">
        <v>2411</v>
      </c>
      <c r="E127" t="s">
        <v>23</v>
      </c>
      <c r="F127" t="s">
        <v>24</v>
      </c>
      <c r="G127" t="s">
        <v>31</v>
      </c>
      <c r="H127">
        <v>44.06</v>
      </c>
      <c r="I127">
        <v>61.42</v>
      </c>
      <c r="J127">
        <v>0.32379999999999998</v>
      </c>
      <c r="K127">
        <v>0.38669999999999999</v>
      </c>
      <c r="L127">
        <v>0.28949999999999998</v>
      </c>
      <c r="M127">
        <v>1.0900000000000001</v>
      </c>
      <c r="N127">
        <v>1.36</v>
      </c>
      <c r="O127">
        <v>49.5</v>
      </c>
      <c r="P127">
        <v>18.399999999999999</v>
      </c>
      <c r="Q127">
        <v>1</v>
      </c>
      <c r="R127">
        <v>1</v>
      </c>
      <c r="S127">
        <v>0.52</v>
      </c>
      <c r="T127">
        <v>1.32</v>
      </c>
      <c r="U127">
        <v>0.66</v>
      </c>
      <c r="V127">
        <v>1.34</v>
      </c>
      <c r="W127">
        <v>1.05</v>
      </c>
      <c r="X127">
        <v>1.05</v>
      </c>
    </row>
    <row r="128" spans="2:24" hidden="1" x14ac:dyDescent="0.35">
      <c r="B128">
        <v>2016</v>
      </c>
      <c r="C128" s="1">
        <v>42700</v>
      </c>
      <c r="D128">
        <v>2411</v>
      </c>
      <c r="E128" t="s">
        <v>23</v>
      </c>
      <c r="F128" t="s">
        <v>42</v>
      </c>
      <c r="G128" t="s">
        <v>29</v>
      </c>
      <c r="H128">
        <v>86.29</v>
      </c>
      <c r="I128">
        <v>75.06</v>
      </c>
      <c r="J128">
        <v>0.64500000000000002</v>
      </c>
      <c r="K128">
        <v>0.13220000000000001</v>
      </c>
      <c r="L128">
        <v>0.2228</v>
      </c>
      <c r="M128">
        <v>1.84</v>
      </c>
      <c r="N128">
        <v>0.84</v>
      </c>
      <c r="O128">
        <v>73.099999999999994</v>
      </c>
      <c r="P128">
        <v>67.900000000000006</v>
      </c>
      <c r="Q128">
        <v>2</v>
      </c>
      <c r="R128">
        <v>1</v>
      </c>
      <c r="S128">
        <v>1.1200000000000001</v>
      </c>
      <c r="T128">
        <v>0.48</v>
      </c>
      <c r="U128">
        <v>1.1499999999999999</v>
      </c>
      <c r="V128">
        <v>0.93</v>
      </c>
      <c r="W128">
        <v>2.1</v>
      </c>
      <c r="X128">
        <v>1.05</v>
      </c>
    </row>
    <row r="129" spans="2:24" hidden="1" x14ac:dyDescent="0.35">
      <c r="B129">
        <v>2016</v>
      </c>
      <c r="C129" s="1">
        <v>42701</v>
      </c>
      <c r="D129">
        <v>2411</v>
      </c>
      <c r="E129" t="s">
        <v>23</v>
      </c>
      <c r="F129" t="s">
        <v>35</v>
      </c>
      <c r="G129" t="s">
        <v>27</v>
      </c>
      <c r="H129">
        <v>60.54</v>
      </c>
      <c r="I129">
        <v>60.33</v>
      </c>
      <c r="J129">
        <v>0.46089999999999998</v>
      </c>
      <c r="K129">
        <v>0.26750000000000002</v>
      </c>
      <c r="L129">
        <v>0.27160000000000001</v>
      </c>
      <c r="M129">
        <v>1.52</v>
      </c>
      <c r="N129">
        <v>1.1599999999999999</v>
      </c>
      <c r="O129">
        <v>12.1</v>
      </c>
      <c r="P129">
        <v>26.5</v>
      </c>
      <c r="Q129">
        <v>0</v>
      </c>
      <c r="R129">
        <v>1</v>
      </c>
      <c r="S129">
        <v>0.66</v>
      </c>
      <c r="T129">
        <v>0.8</v>
      </c>
      <c r="U129">
        <v>1.55</v>
      </c>
      <c r="V129">
        <v>1.2</v>
      </c>
      <c r="W129">
        <v>0</v>
      </c>
      <c r="X129">
        <v>1.05</v>
      </c>
    </row>
    <row r="130" spans="2:24" hidden="1" x14ac:dyDescent="0.35">
      <c r="B130">
        <v>2016</v>
      </c>
      <c r="C130" s="1">
        <v>42701</v>
      </c>
      <c r="D130">
        <v>2411</v>
      </c>
      <c r="E130" t="s">
        <v>23</v>
      </c>
      <c r="F130" t="s">
        <v>40</v>
      </c>
      <c r="G130" t="s">
        <v>38</v>
      </c>
      <c r="H130">
        <v>84.45</v>
      </c>
      <c r="I130">
        <v>60.85</v>
      </c>
      <c r="J130">
        <v>0.75239999999999996</v>
      </c>
      <c r="K130">
        <v>8.4900000000000003E-2</v>
      </c>
      <c r="L130">
        <v>0.16270000000000001</v>
      </c>
      <c r="M130">
        <v>2.54</v>
      </c>
      <c r="N130">
        <v>0.66</v>
      </c>
      <c r="O130">
        <v>60.6</v>
      </c>
      <c r="P130">
        <v>15.1</v>
      </c>
      <c r="Q130">
        <v>3</v>
      </c>
      <c r="R130">
        <v>1</v>
      </c>
      <c r="S130">
        <v>3.01</v>
      </c>
      <c r="T130">
        <v>2</v>
      </c>
      <c r="U130">
        <v>3</v>
      </c>
      <c r="V130">
        <v>1.42</v>
      </c>
      <c r="W130">
        <v>2.63</v>
      </c>
      <c r="X130">
        <v>1.05</v>
      </c>
    </row>
    <row r="131" spans="2:24" hidden="1" x14ac:dyDescent="0.35">
      <c r="B131">
        <v>2016</v>
      </c>
      <c r="C131" s="1">
        <v>42701</v>
      </c>
      <c r="D131">
        <v>2411</v>
      </c>
      <c r="E131" t="s">
        <v>23</v>
      </c>
      <c r="F131" t="s">
        <v>34</v>
      </c>
      <c r="G131" t="s">
        <v>28</v>
      </c>
      <c r="H131">
        <v>69.27</v>
      </c>
      <c r="I131">
        <v>66.790000000000006</v>
      </c>
      <c r="J131">
        <v>0.46610000000000001</v>
      </c>
      <c r="K131">
        <v>0.251</v>
      </c>
      <c r="L131">
        <v>0.28299999999999997</v>
      </c>
      <c r="M131">
        <v>1.45</v>
      </c>
      <c r="N131">
        <v>0.98</v>
      </c>
      <c r="O131">
        <v>6.4</v>
      </c>
      <c r="P131">
        <v>12</v>
      </c>
      <c r="Q131">
        <v>1</v>
      </c>
      <c r="R131">
        <v>0</v>
      </c>
      <c r="S131">
        <v>2.75</v>
      </c>
      <c r="T131">
        <v>0.8</v>
      </c>
      <c r="U131">
        <v>1.9</v>
      </c>
      <c r="V131">
        <v>1.86</v>
      </c>
      <c r="W131">
        <v>1.05</v>
      </c>
      <c r="X131">
        <v>0</v>
      </c>
    </row>
    <row r="132" spans="2:24" hidden="1" x14ac:dyDescent="0.35">
      <c r="B132">
        <v>2016</v>
      </c>
      <c r="C132" s="1">
        <v>42701</v>
      </c>
      <c r="D132">
        <v>2411</v>
      </c>
      <c r="E132" t="s">
        <v>23</v>
      </c>
      <c r="F132" t="s">
        <v>39</v>
      </c>
      <c r="G132" t="s">
        <v>43</v>
      </c>
      <c r="H132">
        <v>80</v>
      </c>
      <c r="I132">
        <v>60.37</v>
      </c>
      <c r="J132">
        <v>0.68469999999999998</v>
      </c>
      <c r="K132">
        <v>0.1145</v>
      </c>
      <c r="L132">
        <v>0.20069999999999999</v>
      </c>
      <c r="M132">
        <v>2.16</v>
      </c>
      <c r="N132">
        <v>0.78</v>
      </c>
      <c r="O132">
        <v>52.5</v>
      </c>
      <c r="P132">
        <v>29.7</v>
      </c>
      <c r="Q132">
        <v>1</v>
      </c>
      <c r="R132">
        <v>1</v>
      </c>
      <c r="S132">
        <v>1.82</v>
      </c>
      <c r="T132">
        <v>0.78</v>
      </c>
      <c r="U132">
        <v>2.76</v>
      </c>
      <c r="V132">
        <v>1.32</v>
      </c>
      <c r="W132">
        <v>1.05</v>
      </c>
      <c r="X132">
        <v>1.05</v>
      </c>
    </row>
    <row r="133" spans="2:24" hidden="1" x14ac:dyDescent="0.35">
      <c r="B133">
        <v>2016</v>
      </c>
      <c r="C133" s="1">
        <v>42707</v>
      </c>
      <c r="D133">
        <v>2411</v>
      </c>
      <c r="E133" t="s">
        <v>23</v>
      </c>
      <c r="F133" t="s">
        <v>36</v>
      </c>
      <c r="G133" t="s">
        <v>42</v>
      </c>
      <c r="H133">
        <v>87.48</v>
      </c>
      <c r="I133">
        <v>86.11</v>
      </c>
      <c r="J133">
        <v>0.4914</v>
      </c>
      <c r="K133">
        <v>0.2601</v>
      </c>
      <c r="L133">
        <v>0.2485</v>
      </c>
      <c r="M133">
        <v>1.73</v>
      </c>
      <c r="N133">
        <v>1.28</v>
      </c>
      <c r="O133">
        <v>100</v>
      </c>
      <c r="P133">
        <v>100</v>
      </c>
      <c r="Q133">
        <v>1</v>
      </c>
      <c r="R133">
        <v>3</v>
      </c>
      <c r="S133">
        <v>2.72</v>
      </c>
      <c r="T133">
        <v>1.39</v>
      </c>
      <c r="U133">
        <v>2.12</v>
      </c>
      <c r="V133">
        <v>1.38</v>
      </c>
      <c r="W133">
        <v>1.05</v>
      </c>
      <c r="X133">
        <v>2.63</v>
      </c>
    </row>
    <row r="134" spans="2:24" hidden="1" x14ac:dyDescent="0.35">
      <c r="B134">
        <v>2016</v>
      </c>
      <c r="C134" s="1">
        <v>42707</v>
      </c>
      <c r="D134">
        <v>2411</v>
      </c>
      <c r="E134" t="s">
        <v>23</v>
      </c>
      <c r="F134" t="s">
        <v>37</v>
      </c>
      <c r="G134" t="s">
        <v>25</v>
      </c>
      <c r="H134">
        <v>50.61</v>
      </c>
      <c r="I134">
        <v>63.73</v>
      </c>
      <c r="J134">
        <v>0.34770000000000001</v>
      </c>
      <c r="K134">
        <v>0.37030000000000002</v>
      </c>
      <c r="L134">
        <v>0.28199999999999997</v>
      </c>
      <c r="M134">
        <v>1.25</v>
      </c>
      <c r="N134">
        <v>1.36</v>
      </c>
      <c r="O134">
        <v>47.7</v>
      </c>
      <c r="P134">
        <v>22</v>
      </c>
      <c r="Q134">
        <v>2</v>
      </c>
      <c r="R134">
        <v>1</v>
      </c>
      <c r="S134">
        <v>1.48</v>
      </c>
      <c r="T134">
        <v>1.39</v>
      </c>
      <c r="U134">
        <v>2.21</v>
      </c>
      <c r="V134">
        <v>1.33</v>
      </c>
      <c r="W134">
        <v>1.94</v>
      </c>
      <c r="X134">
        <v>1.05</v>
      </c>
    </row>
    <row r="135" spans="2:24" hidden="1" x14ac:dyDescent="0.35">
      <c r="B135">
        <v>2016</v>
      </c>
      <c r="C135" s="1">
        <v>42707</v>
      </c>
      <c r="D135">
        <v>2411</v>
      </c>
      <c r="E135" t="s">
        <v>23</v>
      </c>
      <c r="F135" t="s">
        <v>29</v>
      </c>
      <c r="G135" t="s">
        <v>33</v>
      </c>
      <c r="H135">
        <v>75.27</v>
      </c>
      <c r="I135">
        <v>59.23</v>
      </c>
      <c r="J135">
        <v>0.6472</v>
      </c>
      <c r="K135">
        <v>0.13370000000000001</v>
      </c>
      <c r="L135">
        <v>0.21909999999999999</v>
      </c>
      <c r="M135">
        <v>1.99</v>
      </c>
      <c r="N135">
        <v>0.84</v>
      </c>
      <c r="O135">
        <v>46.6</v>
      </c>
      <c r="P135">
        <v>39.799999999999997</v>
      </c>
      <c r="Q135">
        <v>5</v>
      </c>
      <c r="R135">
        <v>0</v>
      </c>
      <c r="S135">
        <v>4.07</v>
      </c>
      <c r="T135">
        <v>0.06</v>
      </c>
      <c r="U135">
        <v>2.0299999999999998</v>
      </c>
      <c r="V135">
        <v>0.2</v>
      </c>
      <c r="W135">
        <v>4.72</v>
      </c>
      <c r="X135">
        <v>0</v>
      </c>
    </row>
    <row r="136" spans="2:24" hidden="1" x14ac:dyDescent="0.35">
      <c r="B136">
        <v>2016</v>
      </c>
      <c r="C136" s="1">
        <v>42707</v>
      </c>
      <c r="D136">
        <v>2411</v>
      </c>
      <c r="E136" t="s">
        <v>23</v>
      </c>
      <c r="F136" t="s">
        <v>27</v>
      </c>
      <c r="G136" t="s">
        <v>32</v>
      </c>
      <c r="H136">
        <v>61.21</v>
      </c>
      <c r="I136">
        <v>53.56</v>
      </c>
      <c r="J136">
        <v>0.52539999999999998</v>
      </c>
      <c r="K136">
        <v>0.20180000000000001</v>
      </c>
      <c r="L136">
        <v>0.2727</v>
      </c>
      <c r="M136">
        <v>1.53</v>
      </c>
      <c r="N136">
        <v>0.86</v>
      </c>
      <c r="O136">
        <v>27.1</v>
      </c>
      <c r="P136">
        <v>40.4</v>
      </c>
      <c r="Q136">
        <v>2</v>
      </c>
      <c r="R136">
        <v>0</v>
      </c>
      <c r="S136">
        <v>1.02</v>
      </c>
      <c r="T136">
        <v>0.93</v>
      </c>
      <c r="U136">
        <v>1.25</v>
      </c>
      <c r="V136">
        <v>1.68</v>
      </c>
      <c r="W136">
        <v>2.1</v>
      </c>
      <c r="X136">
        <v>0</v>
      </c>
    </row>
    <row r="137" spans="2:24" hidden="1" x14ac:dyDescent="0.35">
      <c r="B137">
        <v>2016</v>
      </c>
      <c r="C137" s="1">
        <v>42707</v>
      </c>
      <c r="D137">
        <v>2411</v>
      </c>
      <c r="E137" t="s">
        <v>23</v>
      </c>
      <c r="F137" t="s">
        <v>31</v>
      </c>
      <c r="G137" t="s">
        <v>35</v>
      </c>
      <c r="H137">
        <v>61.63</v>
      </c>
      <c r="I137">
        <v>59.6</v>
      </c>
      <c r="J137">
        <v>0.48359999999999997</v>
      </c>
      <c r="K137">
        <v>0.24660000000000001</v>
      </c>
      <c r="L137">
        <v>0.26979999999999998</v>
      </c>
      <c r="M137">
        <v>1.54</v>
      </c>
      <c r="N137">
        <v>1.0900000000000001</v>
      </c>
      <c r="O137">
        <v>18.899999999999999</v>
      </c>
      <c r="P137">
        <v>15.4</v>
      </c>
      <c r="Q137">
        <v>3</v>
      </c>
      <c r="R137">
        <v>1</v>
      </c>
      <c r="S137">
        <v>1.02</v>
      </c>
      <c r="T137">
        <v>1.45</v>
      </c>
      <c r="U137">
        <v>1.05</v>
      </c>
      <c r="V137">
        <v>1.44</v>
      </c>
      <c r="W137">
        <v>2.63</v>
      </c>
      <c r="X137">
        <v>1.05</v>
      </c>
    </row>
    <row r="138" spans="2:24" hidden="1" x14ac:dyDescent="0.35">
      <c r="B138">
        <v>2016</v>
      </c>
      <c r="C138" s="1">
        <v>42707</v>
      </c>
      <c r="D138">
        <v>2411</v>
      </c>
      <c r="E138" t="s">
        <v>23</v>
      </c>
      <c r="F138" t="s">
        <v>30</v>
      </c>
      <c r="G138" t="s">
        <v>34</v>
      </c>
      <c r="H138">
        <v>58.8</v>
      </c>
      <c r="I138">
        <v>69.86</v>
      </c>
      <c r="J138">
        <v>0.3352</v>
      </c>
      <c r="K138">
        <v>0.38919999999999999</v>
      </c>
      <c r="L138">
        <v>0.27560000000000001</v>
      </c>
      <c r="M138">
        <v>1.29</v>
      </c>
      <c r="N138">
        <v>1.46</v>
      </c>
      <c r="O138">
        <v>38.200000000000003</v>
      </c>
      <c r="P138">
        <v>7.8</v>
      </c>
      <c r="Q138">
        <v>3</v>
      </c>
      <c r="R138">
        <v>0</v>
      </c>
      <c r="S138">
        <v>1.89</v>
      </c>
      <c r="T138">
        <v>0.98</v>
      </c>
      <c r="U138">
        <v>0.92</v>
      </c>
      <c r="V138">
        <v>1.91</v>
      </c>
      <c r="W138">
        <v>2.77</v>
      </c>
      <c r="X138">
        <v>0</v>
      </c>
    </row>
    <row r="139" spans="2:24" hidden="1" x14ac:dyDescent="0.35">
      <c r="B139">
        <v>2016</v>
      </c>
      <c r="C139" s="1">
        <v>42707</v>
      </c>
      <c r="D139">
        <v>2411</v>
      </c>
      <c r="E139" t="s">
        <v>23</v>
      </c>
      <c r="F139" t="s">
        <v>43</v>
      </c>
      <c r="G139" t="s">
        <v>40</v>
      </c>
      <c r="H139">
        <v>61.16</v>
      </c>
      <c r="I139">
        <v>84.21</v>
      </c>
      <c r="J139">
        <v>0.1416</v>
      </c>
      <c r="K139">
        <v>0.66739999999999999</v>
      </c>
      <c r="L139">
        <v>0.191</v>
      </c>
      <c r="M139">
        <v>1.21</v>
      </c>
      <c r="N139">
        <v>2.2000000000000002</v>
      </c>
      <c r="O139">
        <v>25.1</v>
      </c>
      <c r="P139">
        <v>46.1</v>
      </c>
      <c r="Q139">
        <v>1</v>
      </c>
      <c r="R139">
        <v>5</v>
      </c>
      <c r="S139">
        <v>0.9</v>
      </c>
      <c r="T139">
        <v>2.9</v>
      </c>
      <c r="U139">
        <v>1.29</v>
      </c>
      <c r="V139">
        <v>2.67</v>
      </c>
      <c r="W139">
        <v>1.05</v>
      </c>
      <c r="X139">
        <v>4.1900000000000004</v>
      </c>
    </row>
    <row r="140" spans="2:24" hidden="1" x14ac:dyDescent="0.35">
      <c r="B140">
        <v>2016</v>
      </c>
      <c r="C140" s="1">
        <v>42708</v>
      </c>
      <c r="D140">
        <v>2411</v>
      </c>
      <c r="E140" t="s">
        <v>23</v>
      </c>
      <c r="F140" t="s">
        <v>38</v>
      </c>
      <c r="G140" t="s">
        <v>41</v>
      </c>
      <c r="H140">
        <v>61.36</v>
      </c>
      <c r="I140">
        <v>83.54</v>
      </c>
      <c r="J140">
        <v>0.15329999999999999</v>
      </c>
      <c r="K140">
        <v>0.64539999999999997</v>
      </c>
      <c r="L140">
        <v>0.20130000000000001</v>
      </c>
      <c r="M140">
        <v>1.2</v>
      </c>
      <c r="N140">
        <v>2.1</v>
      </c>
      <c r="O140">
        <v>18.3</v>
      </c>
      <c r="P140">
        <v>58</v>
      </c>
      <c r="Q140">
        <v>4</v>
      </c>
      <c r="R140">
        <v>3</v>
      </c>
      <c r="S140">
        <v>2.73</v>
      </c>
      <c r="T140">
        <v>1.39</v>
      </c>
      <c r="U140">
        <v>1.07</v>
      </c>
      <c r="V140">
        <v>1.56</v>
      </c>
      <c r="W140">
        <v>4.2</v>
      </c>
      <c r="X140">
        <v>3.15</v>
      </c>
    </row>
    <row r="141" spans="2:24" hidden="1" x14ac:dyDescent="0.35">
      <c r="B141">
        <v>2016</v>
      </c>
      <c r="C141" s="1">
        <v>42708</v>
      </c>
      <c r="D141">
        <v>2411</v>
      </c>
      <c r="E141" t="s">
        <v>23</v>
      </c>
      <c r="F141" t="s">
        <v>28</v>
      </c>
      <c r="G141" t="s">
        <v>39</v>
      </c>
      <c r="H141">
        <v>66.16</v>
      </c>
      <c r="I141">
        <v>79.41</v>
      </c>
      <c r="J141">
        <v>0.27900000000000003</v>
      </c>
      <c r="K141">
        <v>0.4456</v>
      </c>
      <c r="L141">
        <v>0.27539999999999998</v>
      </c>
      <c r="M141">
        <v>1.1499999999999999</v>
      </c>
      <c r="N141">
        <v>1.46</v>
      </c>
      <c r="O141">
        <v>9.3000000000000007</v>
      </c>
      <c r="P141">
        <v>52.1</v>
      </c>
      <c r="Q141">
        <v>1</v>
      </c>
      <c r="R141">
        <v>1</v>
      </c>
      <c r="S141">
        <v>1.71</v>
      </c>
      <c r="T141">
        <v>0.51</v>
      </c>
      <c r="U141">
        <v>1.1200000000000001</v>
      </c>
      <c r="V141">
        <v>1.7</v>
      </c>
      <c r="W141">
        <v>1.05</v>
      </c>
      <c r="X141">
        <v>1.05</v>
      </c>
    </row>
    <row r="142" spans="2:24" hidden="1" x14ac:dyDescent="0.35">
      <c r="B142">
        <v>2016</v>
      </c>
      <c r="C142" s="1">
        <v>42709</v>
      </c>
      <c r="D142">
        <v>2411</v>
      </c>
      <c r="E142" t="s">
        <v>23</v>
      </c>
      <c r="F142" t="s">
        <v>26</v>
      </c>
      <c r="G142" t="s">
        <v>24</v>
      </c>
      <c r="H142">
        <v>54.82</v>
      </c>
      <c r="I142">
        <v>43.86</v>
      </c>
      <c r="J142">
        <v>0.54849999999999999</v>
      </c>
      <c r="K142">
        <v>0.1734</v>
      </c>
      <c r="L142">
        <v>0.27810000000000001</v>
      </c>
      <c r="M142">
        <v>1.46</v>
      </c>
      <c r="N142">
        <v>0.69</v>
      </c>
      <c r="O142">
        <v>48.1</v>
      </c>
      <c r="P142">
        <v>48.9</v>
      </c>
      <c r="Q142">
        <v>1</v>
      </c>
      <c r="R142">
        <v>0</v>
      </c>
      <c r="S142">
        <v>2.1</v>
      </c>
      <c r="T142">
        <v>0.23</v>
      </c>
      <c r="U142">
        <v>1.82</v>
      </c>
      <c r="V142">
        <v>0.65</v>
      </c>
      <c r="W142">
        <v>1.05</v>
      </c>
      <c r="X142">
        <v>0</v>
      </c>
    </row>
    <row r="143" spans="2:24" hidden="1" x14ac:dyDescent="0.35">
      <c r="B143">
        <v>2016</v>
      </c>
      <c r="C143" s="1">
        <v>42714</v>
      </c>
      <c r="D143">
        <v>2411</v>
      </c>
      <c r="E143" t="s">
        <v>23</v>
      </c>
      <c r="F143" t="s">
        <v>35</v>
      </c>
      <c r="G143" t="s">
        <v>28</v>
      </c>
      <c r="H143">
        <v>59.33</v>
      </c>
      <c r="I143">
        <v>66.599999999999994</v>
      </c>
      <c r="J143">
        <v>0.38090000000000002</v>
      </c>
      <c r="K143">
        <v>0.34279999999999999</v>
      </c>
      <c r="L143">
        <v>0.27629999999999999</v>
      </c>
      <c r="M143">
        <v>1.37</v>
      </c>
      <c r="N143">
        <v>1.35</v>
      </c>
      <c r="O143">
        <v>20.8</v>
      </c>
      <c r="P143">
        <v>4.4000000000000004</v>
      </c>
      <c r="Q143">
        <v>3</v>
      </c>
      <c r="R143">
        <v>2</v>
      </c>
      <c r="S143">
        <v>1.74</v>
      </c>
      <c r="T143">
        <v>1.4</v>
      </c>
      <c r="U143">
        <v>1.74</v>
      </c>
      <c r="V143">
        <v>1.74</v>
      </c>
      <c r="W143">
        <v>3.15</v>
      </c>
      <c r="X143">
        <v>2.1</v>
      </c>
    </row>
    <row r="144" spans="2:24" hidden="1" x14ac:dyDescent="0.35">
      <c r="B144">
        <v>2016</v>
      </c>
      <c r="C144" s="1">
        <v>42714</v>
      </c>
      <c r="D144">
        <v>2411</v>
      </c>
      <c r="E144" t="s">
        <v>23</v>
      </c>
      <c r="F144" t="s">
        <v>24</v>
      </c>
      <c r="G144" t="s">
        <v>30</v>
      </c>
      <c r="H144">
        <v>43.14</v>
      </c>
      <c r="I144">
        <v>60.65</v>
      </c>
      <c r="J144">
        <v>0.30020000000000002</v>
      </c>
      <c r="K144">
        <v>0.42799999999999999</v>
      </c>
      <c r="L144">
        <v>0.27179999999999999</v>
      </c>
      <c r="M144">
        <v>1.22</v>
      </c>
      <c r="N144">
        <v>1.53</v>
      </c>
      <c r="O144">
        <v>46.4</v>
      </c>
      <c r="P144">
        <v>34.5</v>
      </c>
      <c r="Q144">
        <v>3</v>
      </c>
      <c r="R144">
        <v>3</v>
      </c>
      <c r="S144">
        <v>2.06</v>
      </c>
      <c r="T144">
        <v>1.6</v>
      </c>
      <c r="U144">
        <v>1.51</v>
      </c>
      <c r="V144">
        <v>1.41</v>
      </c>
      <c r="W144">
        <v>3.15</v>
      </c>
      <c r="X144">
        <v>3.15</v>
      </c>
    </row>
    <row r="145" spans="2:24" hidden="1" x14ac:dyDescent="0.35">
      <c r="B145">
        <v>2016</v>
      </c>
      <c r="C145" s="1">
        <v>42714</v>
      </c>
      <c r="D145">
        <v>2411</v>
      </c>
      <c r="E145" t="s">
        <v>23</v>
      </c>
      <c r="F145" t="s">
        <v>33</v>
      </c>
      <c r="G145" t="s">
        <v>37</v>
      </c>
      <c r="H145">
        <v>56.34</v>
      </c>
      <c r="I145">
        <v>51.65</v>
      </c>
      <c r="J145">
        <v>0.48980000000000001</v>
      </c>
      <c r="K145">
        <v>0.25209999999999999</v>
      </c>
      <c r="L145">
        <v>0.2581</v>
      </c>
      <c r="M145">
        <v>1.69</v>
      </c>
      <c r="N145">
        <v>1.23</v>
      </c>
      <c r="O145">
        <v>52.9</v>
      </c>
      <c r="P145">
        <v>52.6</v>
      </c>
      <c r="Q145">
        <v>3</v>
      </c>
      <c r="R145">
        <v>0</v>
      </c>
      <c r="S145">
        <v>2.21</v>
      </c>
      <c r="T145">
        <v>0.83</v>
      </c>
      <c r="U145">
        <v>2.12</v>
      </c>
      <c r="V145">
        <v>1.27</v>
      </c>
      <c r="W145">
        <v>2.9</v>
      </c>
      <c r="X145">
        <v>0</v>
      </c>
    </row>
    <row r="146" spans="2:24" hidden="1" x14ac:dyDescent="0.35">
      <c r="B146">
        <v>2016</v>
      </c>
      <c r="C146" s="1">
        <v>42714</v>
      </c>
      <c r="D146">
        <v>2411</v>
      </c>
      <c r="E146" t="s">
        <v>23</v>
      </c>
      <c r="F146" t="s">
        <v>32</v>
      </c>
      <c r="G146" t="s">
        <v>38</v>
      </c>
      <c r="H146">
        <v>53.2</v>
      </c>
      <c r="I146">
        <v>63.65</v>
      </c>
      <c r="J146">
        <v>0.3523</v>
      </c>
      <c r="K146">
        <v>0.37409999999999999</v>
      </c>
      <c r="L146">
        <v>0.27360000000000001</v>
      </c>
      <c r="M146">
        <v>1.33</v>
      </c>
      <c r="N146">
        <v>1.44</v>
      </c>
      <c r="O146">
        <v>46.2</v>
      </c>
      <c r="P146">
        <v>13.1</v>
      </c>
      <c r="Q146">
        <v>3</v>
      </c>
      <c r="R146">
        <v>2</v>
      </c>
      <c r="S146">
        <v>2.0499999999999998</v>
      </c>
      <c r="T146">
        <v>1.0900000000000001</v>
      </c>
      <c r="U146">
        <v>1.75</v>
      </c>
      <c r="V146">
        <v>1.3</v>
      </c>
      <c r="W146">
        <v>3.04</v>
      </c>
      <c r="X146">
        <v>2.1</v>
      </c>
    </row>
    <row r="147" spans="2:24" hidden="1" x14ac:dyDescent="0.35">
      <c r="B147">
        <v>2016</v>
      </c>
      <c r="C147" s="1">
        <v>42714</v>
      </c>
      <c r="D147">
        <v>2411</v>
      </c>
      <c r="E147" t="s">
        <v>23</v>
      </c>
      <c r="F147" t="s">
        <v>40</v>
      </c>
      <c r="G147" t="s">
        <v>27</v>
      </c>
      <c r="H147">
        <v>85.46</v>
      </c>
      <c r="I147">
        <v>61.56</v>
      </c>
      <c r="J147">
        <v>0.75680000000000003</v>
      </c>
      <c r="K147">
        <v>7.9799999999999996E-2</v>
      </c>
      <c r="L147">
        <v>0.16339999999999999</v>
      </c>
      <c r="M147">
        <v>2.44</v>
      </c>
      <c r="N147">
        <v>0.6</v>
      </c>
      <c r="O147">
        <v>68.099999999999994</v>
      </c>
      <c r="P147">
        <v>11.1</v>
      </c>
      <c r="Q147">
        <v>3</v>
      </c>
      <c r="R147">
        <v>1</v>
      </c>
      <c r="S147">
        <v>1.42</v>
      </c>
      <c r="T147">
        <v>1.23</v>
      </c>
      <c r="U147">
        <v>2.35</v>
      </c>
      <c r="V147">
        <v>1.5</v>
      </c>
      <c r="W147">
        <v>3.04</v>
      </c>
      <c r="X147">
        <v>1.05</v>
      </c>
    </row>
    <row r="148" spans="2:24" hidden="1" x14ac:dyDescent="0.35">
      <c r="B148">
        <v>2016</v>
      </c>
      <c r="C148" s="1">
        <v>42714</v>
      </c>
      <c r="D148">
        <v>2411</v>
      </c>
      <c r="E148" t="s">
        <v>23</v>
      </c>
      <c r="F148" t="s">
        <v>25</v>
      </c>
      <c r="G148" t="s">
        <v>36</v>
      </c>
      <c r="H148">
        <v>60.72</v>
      </c>
      <c r="I148">
        <v>86.39</v>
      </c>
      <c r="J148">
        <v>0.11</v>
      </c>
      <c r="K148">
        <v>0.70960000000000001</v>
      </c>
      <c r="L148">
        <v>0.1804</v>
      </c>
      <c r="M148">
        <v>1.04</v>
      </c>
      <c r="N148">
        <v>2.15</v>
      </c>
      <c r="O148">
        <v>26.4</v>
      </c>
      <c r="P148">
        <v>60.2</v>
      </c>
      <c r="Q148">
        <v>4</v>
      </c>
      <c r="R148">
        <v>2</v>
      </c>
      <c r="S148">
        <v>1.91</v>
      </c>
      <c r="T148">
        <v>1.4</v>
      </c>
      <c r="U148">
        <v>1.35</v>
      </c>
      <c r="V148">
        <v>3.67</v>
      </c>
      <c r="W148">
        <v>4</v>
      </c>
      <c r="X148">
        <v>2.1</v>
      </c>
    </row>
    <row r="149" spans="2:24" hidden="1" x14ac:dyDescent="0.35">
      <c r="B149">
        <v>2016</v>
      </c>
      <c r="C149" s="1">
        <v>42715</v>
      </c>
      <c r="D149">
        <v>2411</v>
      </c>
      <c r="E149" t="s">
        <v>23</v>
      </c>
      <c r="F149" t="s">
        <v>42</v>
      </c>
      <c r="G149" t="s">
        <v>31</v>
      </c>
      <c r="H149">
        <v>86.69</v>
      </c>
      <c r="I149">
        <v>61.9</v>
      </c>
      <c r="J149">
        <v>0.77759999999999996</v>
      </c>
      <c r="K149">
        <v>6.59E-2</v>
      </c>
      <c r="L149">
        <v>0.1565</v>
      </c>
      <c r="M149">
        <v>2.4300000000000002</v>
      </c>
      <c r="N149">
        <v>0.51</v>
      </c>
      <c r="O149">
        <v>90.2</v>
      </c>
      <c r="P149">
        <v>6.6</v>
      </c>
      <c r="Q149">
        <v>1</v>
      </c>
      <c r="R149">
        <v>0</v>
      </c>
      <c r="S149">
        <v>0.64</v>
      </c>
      <c r="T149">
        <v>0.24</v>
      </c>
      <c r="U149">
        <v>0.89</v>
      </c>
      <c r="V149">
        <v>0.37</v>
      </c>
      <c r="W149">
        <v>1.05</v>
      </c>
      <c r="X149">
        <v>0</v>
      </c>
    </row>
    <row r="150" spans="2:24" hidden="1" x14ac:dyDescent="0.35">
      <c r="B150">
        <v>2016</v>
      </c>
      <c r="C150" s="1">
        <v>42715</v>
      </c>
      <c r="D150">
        <v>2411</v>
      </c>
      <c r="E150" t="s">
        <v>23</v>
      </c>
      <c r="F150" t="s">
        <v>39</v>
      </c>
      <c r="G150" t="s">
        <v>29</v>
      </c>
      <c r="H150">
        <v>79.010000000000005</v>
      </c>
      <c r="I150">
        <v>78.12</v>
      </c>
      <c r="J150">
        <v>0.46560000000000001</v>
      </c>
      <c r="K150">
        <v>0.255</v>
      </c>
      <c r="L150">
        <v>0.27929999999999999</v>
      </c>
      <c r="M150">
        <v>1.46</v>
      </c>
      <c r="N150">
        <v>1.05</v>
      </c>
      <c r="O150">
        <v>48.7</v>
      </c>
      <c r="P150">
        <v>75.099999999999994</v>
      </c>
      <c r="Q150">
        <v>1</v>
      </c>
      <c r="R150">
        <v>0</v>
      </c>
      <c r="S150">
        <v>1.1299999999999999</v>
      </c>
      <c r="T150">
        <v>0.64</v>
      </c>
      <c r="U150">
        <v>1.68</v>
      </c>
      <c r="V150">
        <v>0.91</v>
      </c>
      <c r="W150">
        <v>1.05</v>
      </c>
      <c r="X150">
        <v>0</v>
      </c>
    </row>
    <row r="151" spans="2:24" hidden="1" x14ac:dyDescent="0.35">
      <c r="B151">
        <v>2016</v>
      </c>
      <c r="C151" s="1">
        <v>42715</v>
      </c>
      <c r="D151">
        <v>2411</v>
      </c>
      <c r="E151" t="s">
        <v>23</v>
      </c>
      <c r="F151" t="s">
        <v>34</v>
      </c>
      <c r="G151" t="s">
        <v>26</v>
      </c>
      <c r="H151">
        <v>68.239999999999995</v>
      </c>
      <c r="I151">
        <v>55.54</v>
      </c>
      <c r="J151">
        <v>0.53990000000000005</v>
      </c>
      <c r="K151">
        <v>0.17849999999999999</v>
      </c>
      <c r="L151">
        <v>0.28160000000000002</v>
      </c>
      <c r="M151">
        <v>1.45</v>
      </c>
      <c r="N151">
        <v>0.69</v>
      </c>
      <c r="O151">
        <v>7.5</v>
      </c>
      <c r="P151">
        <v>25.9</v>
      </c>
      <c r="Q151">
        <v>1</v>
      </c>
      <c r="R151">
        <v>0</v>
      </c>
      <c r="S151">
        <v>1.55</v>
      </c>
      <c r="T151">
        <v>0.48</v>
      </c>
      <c r="U151">
        <v>1.57</v>
      </c>
      <c r="V151">
        <v>0.78</v>
      </c>
      <c r="W151">
        <v>1.05</v>
      </c>
      <c r="X151">
        <v>0</v>
      </c>
    </row>
    <row r="152" spans="2:24" hidden="1" x14ac:dyDescent="0.35">
      <c r="B152">
        <v>2016</v>
      </c>
      <c r="C152" s="1">
        <v>42715</v>
      </c>
      <c r="D152">
        <v>2411</v>
      </c>
      <c r="E152" t="s">
        <v>23</v>
      </c>
      <c r="F152" t="s">
        <v>41</v>
      </c>
      <c r="G152" t="s">
        <v>43</v>
      </c>
      <c r="H152">
        <v>82.14</v>
      </c>
      <c r="I152">
        <v>59.9</v>
      </c>
      <c r="J152">
        <v>0.74529999999999996</v>
      </c>
      <c r="K152">
        <v>9.5899999999999999E-2</v>
      </c>
      <c r="L152">
        <v>0.1588</v>
      </c>
      <c r="M152">
        <v>2.71</v>
      </c>
      <c r="N152">
        <v>0.86</v>
      </c>
      <c r="O152">
        <v>59.6</v>
      </c>
      <c r="P152">
        <v>31.7</v>
      </c>
      <c r="Q152">
        <v>2</v>
      </c>
      <c r="R152">
        <v>2</v>
      </c>
      <c r="S152">
        <v>1.93</v>
      </c>
      <c r="T152">
        <v>0.71</v>
      </c>
      <c r="U152">
        <v>3.39</v>
      </c>
      <c r="V152">
        <v>0.28000000000000003</v>
      </c>
      <c r="W152">
        <v>2.1</v>
      </c>
      <c r="X152">
        <v>2.1</v>
      </c>
    </row>
    <row r="153" spans="2:24" hidden="1" x14ac:dyDescent="0.35">
      <c r="B153">
        <v>2016</v>
      </c>
      <c r="C153" s="1">
        <v>42717</v>
      </c>
      <c r="D153">
        <v>2411</v>
      </c>
      <c r="E153" t="s">
        <v>23</v>
      </c>
      <c r="F153" t="s">
        <v>38</v>
      </c>
      <c r="G153" t="s">
        <v>25</v>
      </c>
      <c r="H153">
        <v>62.47</v>
      </c>
      <c r="I153">
        <v>63.24</v>
      </c>
      <c r="J153">
        <v>0.45490000000000003</v>
      </c>
      <c r="K153">
        <v>0.29089999999999999</v>
      </c>
      <c r="L153">
        <v>0.25419999999999998</v>
      </c>
      <c r="M153">
        <v>1.71</v>
      </c>
      <c r="N153">
        <v>1.4</v>
      </c>
      <c r="Q153">
        <v>1</v>
      </c>
      <c r="R153">
        <v>0</v>
      </c>
      <c r="S153">
        <v>0.62</v>
      </c>
      <c r="T153">
        <v>1.49</v>
      </c>
      <c r="U153">
        <v>0.83</v>
      </c>
      <c r="V153">
        <v>2.4300000000000002</v>
      </c>
      <c r="W153">
        <v>1.05</v>
      </c>
      <c r="X153">
        <v>0</v>
      </c>
    </row>
    <row r="154" spans="2:24" hidden="1" x14ac:dyDescent="0.35">
      <c r="B154">
        <v>2016</v>
      </c>
      <c r="C154" s="1">
        <v>42717</v>
      </c>
      <c r="D154">
        <v>2411</v>
      </c>
      <c r="E154" t="s">
        <v>23</v>
      </c>
      <c r="F154" t="s">
        <v>28</v>
      </c>
      <c r="G154" t="s">
        <v>40</v>
      </c>
      <c r="H154">
        <v>65.92</v>
      </c>
      <c r="I154">
        <v>85.11</v>
      </c>
      <c r="J154">
        <v>0.17430000000000001</v>
      </c>
      <c r="K154">
        <v>0.61439999999999995</v>
      </c>
      <c r="L154">
        <v>0.2112</v>
      </c>
      <c r="M154">
        <v>1.24</v>
      </c>
      <c r="N154">
        <v>2</v>
      </c>
      <c r="Q154">
        <v>2</v>
      </c>
      <c r="R154">
        <v>1</v>
      </c>
      <c r="S154">
        <v>1.44</v>
      </c>
      <c r="T154">
        <v>1.5</v>
      </c>
      <c r="U154">
        <v>1.47</v>
      </c>
      <c r="V154">
        <v>1.89</v>
      </c>
      <c r="W154">
        <v>2.1</v>
      </c>
      <c r="X154">
        <v>1.05</v>
      </c>
    </row>
    <row r="155" spans="2:24" hidden="1" x14ac:dyDescent="0.35">
      <c r="B155">
        <v>2016</v>
      </c>
      <c r="C155" s="1">
        <v>42718</v>
      </c>
      <c r="D155">
        <v>2411</v>
      </c>
      <c r="E155" t="s">
        <v>23</v>
      </c>
      <c r="F155" t="s">
        <v>43</v>
      </c>
      <c r="G155" t="s">
        <v>32</v>
      </c>
      <c r="H155">
        <v>60.48</v>
      </c>
      <c r="I155">
        <v>54.41</v>
      </c>
      <c r="J155">
        <v>0.52100000000000002</v>
      </c>
      <c r="K155">
        <v>0.2248</v>
      </c>
      <c r="L155">
        <v>0.25409999999999999</v>
      </c>
      <c r="M155">
        <v>1.74</v>
      </c>
      <c r="N155">
        <v>1.1100000000000001</v>
      </c>
      <c r="Q155">
        <v>1</v>
      </c>
      <c r="R155">
        <v>0</v>
      </c>
      <c r="S155">
        <v>2.21</v>
      </c>
      <c r="T155">
        <v>1.06</v>
      </c>
      <c r="U155">
        <v>1.6</v>
      </c>
      <c r="V155">
        <v>1.39</v>
      </c>
      <c r="W155">
        <v>1.05</v>
      </c>
      <c r="X155">
        <v>0</v>
      </c>
    </row>
    <row r="156" spans="2:24" hidden="1" x14ac:dyDescent="0.35">
      <c r="B156">
        <v>2016</v>
      </c>
      <c r="C156" s="1">
        <v>42718</v>
      </c>
      <c r="D156">
        <v>2411</v>
      </c>
      <c r="E156" t="s">
        <v>23</v>
      </c>
      <c r="F156" t="s">
        <v>26</v>
      </c>
      <c r="G156" t="s">
        <v>41</v>
      </c>
      <c r="H156">
        <v>55.14</v>
      </c>
      <c r="I156">
        <v>81.739999999999995</v>
      </c>
      <c r="J156">
        <v>0.16919999999999999</v>
      </c>
      <c r="K156">
        <v>0.60399999999999998</v>
      </c>
      <c r="L156">
        <v>0.2268</v>
      </c>
      <c r="M156">
        <v>1.02</v>
      </c>
      <c r="N156">
        <v>1.82</v>
      </c>
      <c r="Q156">
        <v>0</v>
      </c>
      <c r="R156">
        <v>3</v>
      </c>
      <c r="S156">
        <v>0.26</v>
      </c>
      <c r="T156">
        <v>2.15</v>
      </c>
      <c r="U156">
        <v>0.46</v>
      </c>
      <c r="V156">
        <v>2.08</v>
      </c>
      <c r="W156">
        <v>0</v>
      </c>
      <c r="X156">
        <v>3.15</v>
      </c>
    </row>
    <row r="157" spans="2:24" hidden="1" x14ac:dyDescent="0.35">
      <c r="B157">
        <v>2016</v>
      </c>
      <c r="C157" s="1">
        <v>42718</v>
      </c>
      <c r="D157">
        <v>2411</v>
      </c>
      <c r="E157" t="s">
        <v>23</v>
      </c>
      <c r="F157" t="s">
        <v>37</v>
      </c>
      <c r="G157" t="s">
        <v>42</v>
      </c>
      <c r="H157">
        <v>49.97</v>
      </c>
      <c r="I157">
        <v>86.3</v>
      </c>
      <c r="J157">
        <v>7.3599999999999999E-2</v>
      </c>
      <c r="K157">
        <v>0.76870000000000005</v>
      </c>
      <c r="L157">
        <v>0.15770000000000001</v>
      </c>
      <c r="M157">
        <v>0.83</v>
      </c>
      <c r="N157">
        <v>2.2599999999999998</v>
      </c>
      <c r="Q157">
        <v>0</v>
      </c>
      <c r="R157">
        <v>1</v>
      </c>
      <c r="S157">
        <v>0.55000000000000004</v>
      </c>
      <c r="T157">
        <v>1.08</v>
      </c>
      <c r="U157">
        <v>1</v>
      </c>
      <c r="V157">
        <v>2.4300000000000002</v>
      </c>
      <c r="W157">
        <v>0</v>
      </c>
      <c r="X157">
        <v>1.05</v>
      </c>
    </row>
    <row r="158" spans="2:24" hidden="1" x14ac:dyDescent="0.35">
      <c r="B158">
        <v>2016</v>
      </c>
      <c r="C158" s="1">
        <v>42718</v>
      </c>
      <c r="D158">
        <v>2411</v>
      </c>
      <c r="E158" t="s">
        <v>23</v>
      </c>
      <c r="F158" t="s">
        <v>30</v>
      </c>
      <c r="G158" t="s">
        <v>39</v>
      </c>
      <c r="H158">
        <v>59.76</v>
      </c>
      <c r="I158">
        <v>79.33</v>
      </c>
      <c r="J158">
        <v>0.21440000000000001</v>
      </c>
      <c r="K158">
        <v>0.54469999999999996</v>
      </c>
      <c r="L158">
        <v>0.2409</v>
      </c>
      <c r="M158">
        <v>1.18</v>
      </c>
      <c r="N158">
        <v>1.88</v>
      </c>
      <c r="Q158">
        <v>1</v>
      </c>
      <c r="R158">
        <v>2</v>
      </c>
      <c r="S158">
        <v>0.7</v>
      </c>
      <c r="T158">
        <v>1.37</v>
      </c>
      <c r="U158">
        <v>0.76</v>
      </c>
      <c r="V158">
        <v>2.2200000000000002</v>
      </c>
      <c r="W158">
        <v>1.05</v>
      </c>
      <c r="X158">
        <v>2.1</v>
      </c>
    </row>
    <row r="159" spans="2:24" hidden="1" x14ac:dyDescent="0.35">
      <c r="B159">
        <v>2016</v>
      </c>
      <c r="C159" s="1">
        <v>42718</v>
      </c>
      <c r="D159">
        <v>2411</v>
      </c>
      <c r="E159" t="s">
        <v>23</v>
      </c>
      <c r="F159" t="s">
        <v>27</v>
      </c>
      <c r="G159" t="s">
        <v>34</v>
      </c>
      <c r="H159">
        <v>62.19</v>
      </c>
      <c r="I159">
        <v>68.569999999999993</v>
      </c>
      <c r="J159">
        <v>0.38519999999999999</v>
      </c>
      <c r="K159">
        <v>0.31580000000000003</v>
      </c>
      <c r="L159">
        <v>0.2989</v>
      </c>
      <c r="M159">
        <v>1.19</v>
      </c>
      <c r="N159">
        <v>1.1100000000000001</v>
      </c>
      <c r="Q159">
        <v>0</v>
      </c>
      <c r="R159">
        <v>0</v>
      </c>
      <c r="S159">
        <v>0.34</v>
      </c>
      <c r="T159">
        <v>0.71</v>
      </c>
      <c r="U159">
        <v>0.52</v>
      </c>
      <c r="V159">
        <v>2.33</v>
      </c>
      <c r="W159">
        <v>0</v>
      </c>
      <c r="X159">
        <v>0</v>
      </c>
    </row>
    <row r="160" spans="2:24" hidden="1" x14ac:dyDescent="0.35">
      <c r="B160">
        <v>2016</v>
      </c>
      <c r="C160" s="1">
        <v>42718</v>
      </c>
      <c r="D160">
        <v>2411</v>
      </c>
      <c r="E160" t="s">
        <v>23</v>
      </c>
      <c r="F160" t="s">
        <v>29</v>
      </c>
      <c r="G160" t="s">
        <v>24</v>
      </c>
      <c r="H160">
        <v>77.63</v>
      </c>
      <c r="I160">
        <v>43.95</v>
      </c>
      <c r="J160">
        <v>0.75449999999999995</v>
      </c>
      <c r="K160">
        <v>6.7100000000000007E-2</v>
      </c>
      <c r="L160">
        <v>0.17829999999999999</v>
      </c>
      <c r="M160">
        <v>2.2999999999999998</v>
      </c>
      <c r="N160">
        <v>0.36</v>
      </c>
      <c r="Q160">
        <v>3</v>
      </c>
      <c r="R160">
        <v>0</v>
      </c>
      <c r="S160">
        <v>2.64</v>
      </c>
      <c r="T160">
        <v>0.73</v>
      </c>
      <c r="U160">
        <v>2.5299999999999998</v>
      </c>
      <c r="V160">
        <v>1.27</v>
      </c>
      <c r="W160">
        <v>3.08</v>
      </c>
      <c r="X160">
        <v>0</v>
      </c>
    </row>
    <row r="161" spans="2:24" hidden="1" x14ac:dyDescent="0.35">
      <c r="B161">
        <v>2016</v>
      </c>
      <c r="C161" s="1">
        <v>42718</v>
      </c>
      <c r="D161">
        <v>2411</v>
      </c>
      <c r="E161" t="s">
        <v>23</v>
      </c>
      <c r="F161" t="s">
        <v>36</v>
      </c>
      <c r="G161" t="s">
        <v>35</v>
      </c>
      <c r="H161">
        <v>85.04</v>
      </c>
      <c r="I161">
        <v>60.14</v>
      </c>
      <c r="J161">
        <v>0.78180000000000005</v>
      </c>
      <c r="K161">
        <v>7.4200000000000002E-2</v>
      </c>
      <c r="L161">
        <v>0.14399999999999999</v>
      </c>
      <c r="M161">
        <v>2.74</v>
      </c>
      <c r="N161">
        <v>0.72</v>
      </c>
      <c r="Q161">
        <v>2</v>
      </c>
      <c r="R161">
        <v>0</v>
      </c>
      <c r="S161">
        <v>1.72</v>
      </c>
      <c r="T161">
        <v>0.56999999999999995</v>
      </c>
      <c r="U161">
        <v>2.2799999999999998</v>
      </c>
      <c r="V161">
        <v>0.5</v>
      </c>
      <c r="W161">
        <v>1.7</v>
      </c>
      <c r="X161">
        <v>0</v>
      </c>
    </row>
    <row r="162" spans="2:24" hidden="1" x14ac:dyDescent="0.35">
      <c r="B162">
        <v>2016</v>
      </c>
      <c r="C162" s="1">
        <v>42718</v>
      </c>
      <c r="D162">
        <v>2411</v>
      </c>
      <c r="E162" t="s">
        <v>23</v>
      </c>
      <c r="F162" t="s">
        <v>31</v>
      </c>
      <c r="G162" t="s">
        <v>33</v>
      </c>
      <c r="H162">
        <v>62.24</v>
      </c>
      <c r="I162">
        <v>58.06</v>
      </c>
      <c r="J162">
        <v>0.49630000000000002</v>
      </c>
      <c r="K162">
        <v>0.2414</v>
      </c>
      <c r="L162">
        <v>0.26229999999999998</v>
      </c>
      <c r="M162">
        <v>1.66</v>
      </c>
      <c r="N162">
        <v>1.1100000000000001</v>
      </c>
      <c r="Q162">
        <v>3</v>
      </c>
      <c r="R162">
        <v>1</v>
      </c>
      <c r="S162">
        <v>1.88</v>
      </c>
      <c r="T162">
        <v>1.46</v>
      </c>
      <c r="U162">
        <v>1.24</v>
      </c>
      <c r="V162">
        <v>1.58</v>
      </c>
      <c r="W162">
        <v>3.15</v>
      </c>
      <c r="X162">
        <v>1.05</v>
      </c>
    </row>
    <row r="163" spans="2:24" hidden="1" x14ac:dyDescent="0.35">
      <c r="B163">
        <v>2016</v>
      </c>
      <c r="C163" s="1">
        <v>42721</v>
      </c>
      <c r="D163">
        <v>2411</v>
      </c>
      <c r="E163" t="s">
        <v>23</v>
      </c>
      <c r="F163" t="s">
        <v>30</v>
      </c>
      <c r="G163" t="s">
        <v>42</v>
      </c>
      <c r="H163">
        <v>59.3</v>
      </c>
      <c r="I163">
        <v>86.27</v>
      </c>
      <c r="J163">
        <v>0.1037</v>
      </c>
      <c r="K163">
        <v>0.7218</v>
      </c>
      <c r="L163">
        <v>0.17449999999999999</v>
      </c>
      <c r="M163">
        <v>1.04</v>
      </c>
      <c r="N163">
        <v>2.2799999999999998</v>
      </c>
      <c r="O163">
        <v>32.9</v>
      </c>
      <c r="P163">
        <v>97.2</v>
      </c>
      <c r="Q163">
        <v>0</v>
      </c>
      <c r="R163">
        <v>1</v>
      </c>
      <c r="S163">
        <v>0.42</v>
      </c>
      <c r="T163">
        <v>0.8</v>
      </c>
      <c r="U163">
        <v>1.06</v>
      </c>
      <c r="V163">
        <v>1.85</v>
      </c>
      <c r="W163">
        <v>0</v>
      </c>
      <c r="X163">
        <v>1.05</v>
      </c>
    </row>
    <row r="164" spans="2:24" hidden="1" x14ac:dyDescent="0.35">
      <c r="B164">
        <v>2016</v>
      </c>
      <c r="C164" s="1">
        <v>42721</v>
      </c>
      <c r="D164">
        <v>2411</v>
      </c>
      <c r="E164" t="s">
        <v>23</v>
      </c>
      <c r="F164" t="s">
        <v>26</v>
      </c>
      <c r="G164" t="s">
        <v>33</v>
      </c>
      <c r="H164">
        <v>53.26</v>
      </c>
      <c r="I164">
        <v>57.55</v>
      </c>
      <c r="J164">
        <v>0.436</v>
      </c>
      <c r="K164">
        <v>0.28149999999999997</v>
      </c>
      <c r="L164">
        <v>0.28249999999999997</v>
      </c>
      <c r="M164">
        <v>1.4</v>
      </c>
      <c r="N164">
        <v>1.1200000000000001</v>
      </c>
      <c r="O164">
        <v>49.6</v>
      </c>
      <c r="P164">
        <v>53.2</v>
      </c>
      <c r="Q164">
        <v>3</v>
      </c>
      <c r="R164">
        <v>0</v>
      </c>
      <c r="S164">
        <v>1.77</v>
      </c>
      <c r="T164">
        <v>0.84</v>
      </c>
      <c r="U164">
        <v>0.79</v>
      </c>
      <c r="V164">
        <v>2.02</v>
      </c>
      <c r="W164">
        <v>3.15</v>
      </c>
      <c r="X164">
        <v>0</v>
      </c>
    </row>
    <row r="165" spans="2:24" hidden="1" x14ac:dyDescent="0.35">
      <c r="B165">
        <v>2016</v>
      </c>
      <c r="C165" s="1">
        <v>42721</v>
      </c>
      <c r="D165">
        <v>2411</v>
      </c>
      <c r="E165" t="s">
        <v>23</v>
      </c>
      <c r="F165" t="s">
        <v>37</v>
      </c>
      <c r="G165" t="s">
        <v>35</v>
      </c>
      <c r="H165">
        <v>49.82</v>
      </c>
      <c r="I165">
        <v>59.87</v>
      </c>
      <c r="J165">
        <v>0.38059999999999999</v>
      </c>
      <c r="K165">
        <v>0.34250000000000003</v>
      </c>
      <c r="L165">
        <v>0.27689999999999998</v>
      </c>
      <c r="M165">
        <v>1.37</v>
      </c>
      <c r="N165">
        <v>1.35</v>
      </c>
      <c r="O165">
        <v>48.1</v>
      </c>
      <c r="P165">
        <v>15.1</v>
      </c>
      <c r="Q165">
        <v>1</v>
      </c>
      <c r="R165">
        <v>0</v>
      </c>
      <c r="S165">
        <v>1.23</v>
      </c>
      <c r="T165">
        <v>0.72</v>
      </c>
      <c r="U165">
        <v>1.32</v>
      </c>
      <c r="V165">
        <v>1.32</v>
      </c>
      <c r="W165">
        <v>1.05</v>
      </c>
      <c r="X165">
        <v>0</v>
      </c>
    </row>
    <row r="166" spans="2:24" hidden="1" x14ac:dyDescent="0.35">
      <c r="B166">
        <v>2016</v>
      </c>
      <c r="C166" s="1">
        <v>42721</v>
      </c>
      <c r="D166">
        <v>2411</v>
      </c>
      <c r="E166" t="s">
        <v>23</v>
      </c>
      <c r="F166" t="s">
        <v>43</v>
      </c>
      <c r="G166" t="s">
        <v>24</v>
      </c>
      <c r="H166">
        <v>60.78</v>
      </c>
      <c r="I166">
        <v>43.51</v>
      </c>
      <c r="J166">
        <v>0.60029999999999994</v>
      </c>
      <c r="K166">
        <v>0.1633</v>
      </c>
      <c r="L166">
        <v>0.2364</v>
      </c>
      <c r="M166">
        <v>1.9</v>
      </c>
      <c r="N166">
        <v>0.88</v>
      </c>
      <c r="O166">
        <v>35.700000000000003</v>
      </c>
      <c r="P166">
        <v>48</v>
      </c>
      <c r="Q166">
        <v>1</v>
      </c>
      <c r="R166">
        <v>0</v>
      </c>
      <c r="S166">
        <v>2.12</v>
      </c>
      <c r="T166">
        <v>1.19</v>
      </c>
      <c r="U166">
        <v>1.19</v>
      </c>
      <c r="V166">
        <v>1.49</v>
      </c>
      <c r="W166">
        <v>1.05</v>
      </c>
      <c r="X166">
        <v>0</v>
      </c>
    </row>
    <row r="167" spans="2:24" hidden="1" x14ac:dyDescent="0.35">
      <c r="B167">
        <v>2016</v>
      </c>
      <c r="C167" s="1">
        <v>42721</v>
      </c>
      <c r="D167">
        <v>2411</v>
      </c>
      <c r="E167" t="s">
        <v>23</v>
      </c>
      <c r="F167" t="s">
        <v>27</v>
      </c>
      <c r="G167" t="s">
        <v>25</v>
      </c>
      <c r="H167">
        <v>61.26</v>
      </c>
      <c r="I167">
        <v>63.64</v>
      </c>
      <c r="J167">
        <v>0.42870000000000003</v>
      </c>
      <c r="K167">
        <v>0.28839999999999999</v>
      </c>
      <c r="L167">
        <v>0.28289999999999998</v>
      </c>
      <c r="M167">
        <v>1.39</v>
      </c>
      <c r="N167">
        <v>1.1299999999999999</v>
      </c>
      <c r="O167">
        <v>20.8</v>
      </c>
      <c r="P167">
        <v>22.1</v>
      </c>
      <c r="Q167">
        <v>2</v>
      </c>
      <c r="R167">
        <v>2</v>
      </c>
      <c r="S167">
        <v>2.4</v>
      </c>
      <c r="T167">
        <v>1.39</v>
      </c>
      <c r="U167">
        <v>1.81</v>
      </c>
      <c r="V167">
        <v>1.48</v>
      </c>
      <c r="W167">
        <v>2.1</v>
      </c>
      <c r="X167">
        <v>2.1</v>
      </c>
    </row>
    <row r="168" spans="2:24" hidden="1" x14ac:dyDescent="0.35">
      <c r="B168">
        <v>2016</v>
      </c>
      <c r="C168" s="1">
        <v>42721</v>
      </c>
      <c r="D168">
        <v>2411</v>
      </c>
      <c r="E168" t="s">
        <v>23</v>
      </c>
      <c r="F168" t="s">
        <v>31</v>
      </c>
      <c r="G168" t="s">
        <v>39</v>
      </c>
      <c r="H168">
        <v>62.74</v>
      </c>
      <c r="I168">
        <v>79.64</v>
      </c>
      <c r="J168">
        <v>0.24340000000000001</v>
      </c>
      <c r="K168">
        <v>0.47989999999999999</v>
      </c>
      <c r="L168">
        <v>0.2767</v>
      </c>
      <c r="M168">
        <v>1.02</v>
      </c>
      <c r="N168">
        <v>1.46</v>
      </c>
      <c r="O168">
        <v>4.9000000000000004</v>
      </c>
      <c r="P168">
        <v>56.3</v>
      </c>
      <c r="Q168">
        <v>0</v>
      </c>
      <c r="R168">
        <v>2</v>
      </c>
      <c r="S168">
        <v>0.67</v>
      </c>
      <c r="T168">
        <v>0.88</v>
      </c>
      <c r="U168">
        <v>0.84</v>
      </c>
      <c r="V168">
        <v>1.24</v>
      </c>
      <c r="W168">
        <v>0</v>
      </c>
      <c r="X168">
        <v>2.1</v>
      </c>
    </row>
    <row r="169" spans="2:24" hidden="1" x14ac:dyDescent="0.35">
      <c r="B169">
        <v>2016</v>
      </c>
      <c r="C169" s="1">
        <v>42722</v>
      </c>
      <c r="D169">
        <v>2411</v>
      </c>
      <c r="E169" t="s">
        <v>23</v>
      </c>
      <c r="F169" t="s">
        <v>38</v>
      </c>
      <c r="G169" t="s">
        <v>34</v>
      </c>
      <c r="H169">
        <v>62.01</v>
      </c>
      <c r="I169">
        <v>69.319999999999993</v>
      </c>
      <c r="J169">
        <v>0.37140000000000001</v>
      </c>
      <c r="K169">
        <v>0.34460000000000002</v>
      </c>
      <c r="L169">
        <v>0.28399999999999997</v>
      </c>
      <c r="M169">
        <v>1.3</v>
      </c>
      <c r="N169">
        <v>1.29</v>
      </c>
      <c r="O169">
        <v>11.1</v>
      </c>
      <c r="P169">
        <v>4</v>
      </c>
      <c r="Q169">
        <v>1</v>
      </c>
      <c r="R169">
        <v>3</v>
      </c>
      <c r="S169">
        <v>0.56999999999999995</v>
      </c>
      <c r="T169">
        <v>1.36</v>
      </c>
      <c r="U169">
        <v>1.38</v>
      </c>
      <c r="V169">
        <v>1.59</v>
      </c>
      <c r="W169">
        <v>1.05</v>
      </c>
      <c r="X169">
        <v>2.76</v>
      </c>
    </row>
    <row r="170" spans="2:24" hidden="1" x14ac:dyDescent="0.35">
      <c r="B170">
        <v>2016</v>
      </c>
      <c r="C170" s="1">
        <v>42722</v>
      </c>
      <c r="D170">
        <v>2411</v>
      </c>
      <c r="E170" t="s">
        <v>23</v>
      </c>
      <c r="F170" t="s">
        <v>36</v>
      </c>
      <c r="G170" t="s">
        <v>40</v>
      </c>
      <c r="H170">
        <v>85.1</v>
      </c>
      <c r="I170">
        <v>84.33</v>
      </c>
      <c r="J170">
        <v>0.48230000000000001</v>
      </c>
      <c r="K170">
        <v>0.28370000000000001</v>
      </c>
      <c r="L170">
        <v>0.23400000000000001</v>
      </c>
      <c r="M170">
        <v>1.92</v>
      </c>
      <c r="N170">
        <v>1.49</v>
      </c>
      <c r="O170">
        <v>51.3</v>
      </c>
      <c r="P170">
        <v>60.1</v>
      </c>
      <c r="Q170">
        <v>2</v>
      </c>
      <c r="R170">
        <v>1</v>
      </c>
      <c r="S170">
        <v>1.73</v>
      </c>
      <c r="T170">
        <v>0.66</v>
      </c>
      <c r="U170">
        <v>1.94</v>
      </c>
      <c r="V170">
        <v>0.88</v>
      </c>
      <c r="W170">
        <v>2.1</v>
      </c>
      <c r="X170">
        <v>1.05</v>
      </c>
    </row>
    <row r="171" spans="2:24" hidden="1" x14ac:dyDescent="0.35">
      <c r="B171">
        <v>2016</v>
      </c>
      <c r="C171" s="1">
        <v>42722</v>
      </c>
      <c r="D171">
        <v>2411</v>
      </c>
      <c r="E171" t="s">
        <v>23</v>
      </c>
      <c r="F171" t="s">
        <v>29</v>
      </c>
      <c r="G171" t="s">
        <v>32</v>
      </c>
      <c r="H171">
        <v>78.010000000000005</v>
      </c>
      <c r="I171">
        <v>54.1</v>
      </c>
      <c r="J171">
        <v>0.71379999999999999</v>
      </c>
      <c r="K171">
        <v>8.8200000000000001E-2</v>
      </c>
      <c r="L171">
        <v>0.19800000000000001</v>
      </c>
      <c r="M171">
        <v>2.04</v>
      </c>
      <c r="N171">
        <v>0.59</v>
      </c>
      <c r="O171">
        <v>66.7</v>
      </c>
      <c r="P171">
        <v>31.6</v>
      </c>
      <c r="Q171">
        <v>2</v>
      </c>
      <c r="R171">
        <v>1</v>
      </c>
      <c r="S171">
        <v>1.68</v>
      </c>
      <c r="T171">
        <v>1.43</v>
      </c>
      <c r="U171">
        <v>1.6</v>
      </c>
      <c r="V171">
        <v>1.07</v>
      </c>
      <c r="W171">
        <v>2.1</v>
      </c>
      <c r="X171">
        <v>1.05</v>
      </c>
    </row>
    <row r="172" spans="2:24" hidden="1" x14ac:dyDescent="0.35">
      <c r="B172">
        <v>2016</v>
      </c>
      <c r="C172" s="1">
        <v>42723</v>
      </c>
      <c r="D172">
        <v>2411</v>
      </c>
      <c r="E172" t="s">
        <v>23</v>
      </c>
      <c r="F172" t="s">
        <v>28</v>
      </c>
      <c r="G172" t="s">
        <v>41</v>
      </c>
      <c r="H172">
        <v>67.040000000000006</v>
      </c>
      <c r="I172">
        <v>83.07</v>
      </c>
      <c r="J172">
        <v>0.22539999999999999</v>
      </c>
      <c r="K172">
        <v>0.54369999999999996</v>
      </c>
      <c r="L172">
        <v>0.23089999999999999</v>
      </c>
      <c r="M172">
        <v>1.33</v>
      </c>
      <c r="N172">
        <v>1.88</v>
      </c>
      <c r="O172">
        <v>8.3000000000000007</v>
      </c>
      <c r="P172">
        <v>55.6</v>
      </c>
      <c r="Q172">
        <v>0</v>
      </c>
      <c r="R172">
        <v>1</v>
      </c>
      <c r="S172">
        <v>0.46</v>
      </c>
      <c r="T172">
        <v>2.42</v>
      </c>
      <c r="U172">
        <v>0.48</v>
      </c>
      <c r="V172">
        <v>1.87</v>
      </c>
      <c r="W172">
        <v>0</v>
      </c>
      <c r="X172">
        <v>1.05</v>
      </c>
    </row>
    <row r="173" spans="2:24" hidden="1" x14ac:dyDescent="0.35">
      <c r="B173">
        <v>2016</v>
      </c>
      <c r="C173" s="1">
        <v>42730</v>
      </c>
      <c r="D173">
        <v>2411</v>
      </c>
      <c r="E173" t="s">
        <v>23</v>
      </c>
      <c r="F173" t="s">
        <v>35</v>
      </c>
      <c r="G173" t="s">
        <v>30</v>
      </c>
      <c r="H173">
        <v>59.24</v>
      </c>
      <c r="I173">
        <v>59.06</v>
      </c>
      <c r="J173">
        <v>0.4597</v>
      </c>
      <c r="K173">
        <v>0.28260000000000002</v>
      </c>
      <c r="L173">
        <v>0.25769999999999998</v>
      </c>
      <c r="M173">
        <v>1.7</v>
      </c>
      <c r="N173">
        <v>1.33</v>
      </c>
      <c r="O173">
        <v>21.4</v>
      </c>
      <c r="P173">
        <v>40.6</v>
      </c>
      <c r="Q173">
        <v>1</v>
      </c>
      <c r="R173">
        <v>1</v>
      </c>
      <c r="S173">
        <v>1</v>
      </c>
      <c r="T173">
        <v>1.48</v>
      </c>
      <c r="U173">
        <v>1.1399999999999999</v>
      </c>
      <c r="V173">
        <v>0.54</v>
      </c>
      <c r="W173">
        <v>1.05</v>
      </c>
      <c r="X173">
        <v>1.05</v>
      </c>
    </row>
    <row r="174" spans="2:24" hidden="1" x14ac:dyDescent="0.35">
      <c r="B174">
        <v>2016</v>
      </c>
      <c r="C174" s="1">
        <v>42730</v>
      </c>
      <c r="D174">
        <v>2411</v>
      </c>
      <c r="E174" t="s">
        <v>23</v>
      </c>
      <c r="F174" t="s">
        <v>33</v>
      </c>
      <c r="G174" t="s">
        <v>43</v>
      </c>
      <c r="H174">
        <v>56.09</v>
      </c>
      <c r="I174">
        <v>60.53</v>
      </c>
      <c r="J174">
        <v>0.42109999999999997</v>
      </c>
      <c r="K174">
        <v>0.3226</v>
      </c>
      <c r="L174">
        <v>0.25629999999999997</v>
      </c>
      <c r="M174">
        <v>1.67</v>
      </c>
      <c r="N174">
        <v>1.53</v>
      </c>
      <c r="O174">
        <v>48.4</v>
      </c>
      <c r="P174">
        <v>23.6</v>
      </c>
      <c r="Q174">
        <v>1</v>
      </c>
      <c r="R174">
        <v>4</v>
      </c>
      <c r="S174">
        <v>0.93</v>
      </c>
      <c r="T174">
        <v>3.16</v>
      </c>
      <c r="U174">
        <v>1.5</v>
      </c>
      <c r="V174">
        <v>1.38</v>
      </c>
      <c r="W174">
        <v>1.05</v>
      </c>
      <c r="X174">
        <v>3.51</v>
      </c>
    </row>
    <row r="175" spans="2:24" hidden="1" x14ac:dyDescent="0.35">
      <c r="B175">
        <v>2016</v>
      </c>
      <c r="C175" s="1">
        <v>42730</v>
      </c>
      <c r="D175">
        <v>2411</v>
      </c>
      <c r="E175" t="s">
        <v>23</v>
      </c>
      <c r="F175" t="s">
        <v>42</v>
      </c>
      <c r="G175" t="s">
        <v>38</v>
      </c>
      <c r="H175">
        <v>86.26</v>
      </c>
      <c r="I175">
        <v>60.71</v>
      </c>
      <c r="J175">
        <v>0.78669999999999995</v>
      </c>
      <c r="K175">
        <v>6.25E-2</v>
      </c>
      <c r="L175">
        <v>0.15079999999999999</v>
      </c>
      <c r="M175">
        <v>2.54</v>
      </c>
      <c r="N175">
        <v>0.53</v>
      </c>
      <c r="O175">
        <v>83</v>
      </c>
      <c r="P175">
        <v>11.2</v>
      </c>
      <c r="Q175">
        <v>3</v>
      </c>
      <c r="R175">
        <v>0</v>
      </c>
      <c r="S175">
        <v>1.6</v>
      </c>
      <c r="T175">
        <v>0.66</v>
      </c>
      <c r="U175">
        <v>2.66</v>
      </c>
      <c r="V175">
        <v>0.93</v>
      </c>
      <c r="W175">
        <v>2.63</v>
      </c>
      <c r="X175">
        <v>0</v>
      </c>
    </row>
    <row r="176" spans="2:24" hidden="1" x14ac:dyDescent="0.35">
      <c r="B176">
        <v>2016</v>
      </c>
      <c r="C176" s="1">
        <v>42730</v>
      </c>
      <c r="D176">
        <v>2411</v>
      </c>
      <c r="E176" t="s">
        <v>23</v>
      </c>
      <c r="F176" t="s">
        <v>25</v>
      </c>
      <c r="G176" t="s">
        <v>28</v>
      </c>
      <c r="H176">
        <v>63.54</v>
      </c>
      <c r="I176">
        <v>65.91</v>
      </c>
      <c r="J176">
        <v>0.439</v>
      </c>
      <c r="K176">
        <v>0.29099999999999998</v>
      </c>
      <c r="L176">
        <v>0.27</v>
      </c>
      <c r="M176">
        <v>1.5</v>
      </c>
      <c r="N176">
        <v>1.26</v>
      </c>
      <c r="O176">
        <v>19.8</v>
      </c>
      <c r="P176">
        <v>2.7</v>
      </c>
      <c r="Q176">
        <v>0</v>
      </c>
      <c r="R176">
        <v>2</v>
      </c>
      <c r="S176">
        <v>0.57999999999999996</v>
      </c>
      <c r="T176">
        <v>1.28</v>
      </c>
      <c r="U176">
        <v>1.37</v>
      </c>
      <c r="V176">
        <v>1.26</v>
      </c>
      <c r="W176">
        <v>0</v>
      </c>
      <c r="X176">
        <v>1.58</v>
      </c>
    </row>
    <row r="177" spans="2:24" hidden="1" x14ac:dyDescent="0.35">
      <c r="B177">
        <v>2016</v>
      </c>
      <c r="C177" s="1">
        <v>42730</v>
      </c>
      <c r="D177">
        <v>2411</v>
      </c>
      <c r="E177" t="s">
        <v>23</v>
      </c>
      <c r="F177" t="s">
        <v>32</v>
      </c>
      <c r="G177" t="s">
        <v>26</v>
      </c>
      <c r="H177">
        <v>55.14</v>
      </c>
      <c r="I177">
        <v>54.62</v>
      </c>
      <c r="J177">
        <v>0.4254</v>
      </c>
      <c r="K177">
        <v>0.27329999999999999</v>
      </c>
      <c r="L177">
        <v>0.30130000000000001</v>
      </c>
      <c r="M177">
        <v>1.23</v>
      </c>
      <c r="N177">
        <v>0.95</v>
      </c>
      <c r="O177">
        <v>44</v>
      </c>
      <c r="P177">
        <v>33</v>
      </c>
      <c r="Q177">
        <v>1</v>
      </c>
      <c r="R177">
        <v>0</v>
      </c>
      <c r="S177">
        <v>0.35</v>
      </c>
      <c r="T177">
        <v>0.91</v>
      </c>
      <c r="U177">
        <v>0.81</v>
      </c>
      <c r="V177">
        <v>0.68</v>
      </c>
      <c r="W177">
        <v>1.05</v>
      </c>
      <c r="X177">
        <v>0</v>
      </c>
    </row>
    <row r="178" spans="2:24" hidden="1" x14ac:dyDescent="0.35">
      <c r="B178">
        <v>2016</v>
      </c>
      <c r="C178" s="1">
        <v>42730</v>
      </c>
      <c r="D178">
        <v>2411</v>
      </c>
      <c r="E178" t="s">
        <v>23</v>
      </c>
      <c r="F178" t="s">
        <v>40</v>
      </c>
      <c r="G178" t="s">
        <v>31</v>
      </c>
      <c r="H178">
        <v>83.88</v>
      </c>
      <c r="I178">
        <v>61.69</v>
      </c>
      <c r="J178">
        <v>0.73970000000000002</v>
      </c>
      <c r="K178">
        <v>8.8700000000000001E-2</v>
      </c>
      <c r="L178">
        <v>0.1716</v>
      </c>
      <c r="M178">
        <v>2.39</v>
      </c>
      <c r="N178">
        <v>0.65</v>
      </c>
      <c r="O178">
        <v>64.8</v>
      </c>
      <c r="P178">
        <v>5.5</v>
      </c>
      <c r="Q178">
        <v>1</v>
      </c>
      <c r="R178">
        <v>0</v>
      </c>
      <c r="S178">
        <v>2.2200000000000002</v>
      </c>
      <c r="T178">
        <v>0.59</v>
      </c>
      <c r="U178">
        <v>4.38</v>
      </c>
      <c r="V178">
        <v>0.5</v>
      </c>
      <c r="W178">
        <v>1.05</v>
      </c>
      <c r="X178">
        <v>0</v>
      </c>
    </row>
    <row r="179" spans="2:24" hidden="1" x14ac:dyDescent="0.35">
      <c r="B179">
        <v>2016</v>
      </c>
      <c r="C179" s="1">
        <v>42730</v>
      </c>
      <c r="D179">
        <v>2411</v>
      </c>
      <c r="E179" t="s">
        <v>23</v>
      </c>
      <c r="F179" t="s">
        <v>39</v>
      </c>
      <c r="G179" t="s">
        <v>37</v>
      </c>
      <c r="H179">
        <v>80.36</v>
      </c>
      <c r="I179">
        <v>50.44</v>
      </c>
      <c r="J179">
        <v>0.74639999999999995</v>
      </c>
      <c r="K179">
        <v>6.93E-2</v>
      </c>
      <c r="L179">
        <v>0.1842</v>
      </c>
      <c r="M179">
        <v>2.19</v>
      </c>
      <c r="N179">
        <v>0.38</v>
      </c>
      <c r="O179">
        <v>58.5</v>
      </c>
      <c r="P179">
        <v>51.2</v>
      </c>
      <c r="Q179">
        <v>3</v>
      </c>
      <c r="R179">
        <v>1</v>
      </c>
      <c r="S179">
        <v>2.0699999999999998</v>
      </c>
      <c r="T179">
        <v>0.52</v>
      </c>
      <c r="U179">
        <v>3.28</v>
      </c>
      <c r="V179">
        <v>0.75</v>
      </c>
      <c r="W179">
        <v>2.4700000000000002</v>
      </c>
      <c r="X179">
        <v>1.05</v>
      </c>
    </row>
    <row r="180" spans="2:24" hidden="1" x14ac:dyDescent="0.35">
      <c r="B180">
        <v>2016</v>
      </c>
      <c r="C180" s="1">
        <v>42730</v>
      </c>
      <c r="D180">
        <v>2411</v>
      </c>
      <c r="E180" t="s">
        <v>23</v>
      </c>
      <c r="F180" t="s">
        <v>24</v>
      </c>
      <c r="G180" t="s">
        <v>36</v>
      </c>
      <c r="H180">
        <v>43.77</v>
      </c>
      <c r="I180">
        <v>85.43</v>
      </c>
      <c r="J180">
        <v>5.28E-2</v>
      </c>
      <c r="K180">
        <v>0.81759999999999999</v>
      </c>
      <c r="L180">
        <v>0.12959999999999999</v>
      </c>
      <c r="M180">
        <v>0.79</v>
      </c>
      <c r="N180">
        <v>2.4700000000000002</v>
      </c>
      <c r="O180">
        <v>41</v>
      </c>
      <c r="P180">
        <v>54.8</v>
      </c>
      <c r="Q180">
        <v>0</v>
      </c>
      <c r="R180">
        <v>3</v>
      </c>
      <c r="S180">
        <v>0.51</v>
      </c>
      <c r="T180">
        <v>2.19</v>
      </c>
      <c r="U180">
        <v>0.56999999999999995</v>
      </c>
      <c r="V180">
        <v>1.63</v>
      </c>
      <c r="W180">
        <v>0</v>
      </c>
      <c r="X180">
        <v>2.44</v>
      </c>
    </row>
    <row r="181" spans="2:24" hidden="1" x14ac:dyDescent="0.35">
      <c r="B181">
        <v>2016</v>
      </c>
      <c r="C181" s="1">
        <v>42731</v>
      </c>
      <c r="D181">
        <v>2411</v>
      </c>
      <c r="E181" t="s">
        <v>23</v>
      </c>
      <c r="F181" t="s">
        <v>41</v>
      </c>
      <c r="G181" t="s">
        <v>27</v>
      </c>
      <c r="H181">
        <v>83.73</v>
      </c>
      <c r="I181">
        <v>61.42</v>
      </c>
      <c r="J181">
        <v>0.73540000000000005</v>
      </c>
      <c r="K181">
        <v>8.9700000000000002E-2</v>
      </c>
      <c r="L181">
        <v>0.1749</v>
      </c>
      <c r="M181">
        <v>2.36</v>
      </c>
      <c r="N181">
        <v>0.63</v>
      </c>
      <c r="O181">
        <v>55.8</v>
      </c>
      <c r="P181">
        <v>10.6</v>
      </c>
      <c r="Q181">
        <v>4</v>
      </c>
      <c r="R181">
        <v>1</v>
      </c>
      <c r="S181">
        <v>1.44</v>
      </c>
      <c r="T181">
        <v>0.34</v>
      </c>
      <c r="U181">
        <v>2.0099999999999998</v>
      </c>
      <c r="V181">
        <v>0.55000000000000004</v>
      </c>
      <c r="W181">
        <v>4.2</v>
      </c>
      <c r="X181">
        <v>1.05</v>
      </c>
    </row>
    <row r="182" spans="2:24" hidden="1" x14ac:dyDescent="0.35">
      <c r="B182">
        <v>2016</v>
      </c>
      <c r="C182" s="1">
        <v>42732</v>
      </c>
      <c r="D182">
        <v>2411</v>
      </c>
      <c r="E182" t="s">
        <v>23</v>
      </c>
      <c r="F182" t="s">
        <v>34</v>
      </c>
      <c r="G182" t="s">
        <v>29</v>
      </c>
      <c r="H182">
        <v>70.489999999999995</v>
      </c>
      <c r="I182">
        <v>77.23</v>
      </c>
      <c r="J182">
        <v>0.36880000000000002</v>
      </c>
      <c r="K182">
        <v>0.33260000000000001</v>
      </c>
      <c r="L182">
        <v>0.29859999999999998</v>
      </c>
      <c r="M182">
        <v>1.19</v>
      </c>
      <c r="N182">
        <v>1.1399999999999999</v>
      </c>
      <c r="O182">
        <v>6.9</v>
      </c>
      <c r="P182">
        <v>63.7</v>
      </c>
      <c r="Q182">
        <v>1</v>
      </c>
      <c r="R182">
        <v>4</v>
      </c>
      <c r="S182">
        <v>0.36</v>
      </c>
      <c r="T182">
        <v>1.73</v>
      </c>
      <c r="U182">
        <v>0.57999999999999996</v>
      </c>
      <c r="V182">
        <v>1.62</v>
      </c>
      <c r="W182">
        <v>1.05</v>
      </c>
      <c r="X182">
        <v>3.4</v>
      </c>
    </row>
    <row r="183" spans="2:24" hidden="1" x14ac:dyDescent="0.35">
      <c r="B183">
        <v>2016</v>
      </c>
      <c r="C183" s="1">
        <v>42734</v>
      </c>
      <c r="D183">
        <v>2411</v>
      </c>
      <c r="E183" t="s">
        <v>23</v>
      </c>
      <c r="F183" t="s">
        <v>24</v>
      </c>
      <c r="G183" t="s">
        <v>28</v>
      </c>
      <c r="H183">
        <v>42.97</v>
      </c>
      <c r="I183">
        <v>67.22</v>
      </c>
      <c r="J183">
        <v>0.2472</v>
      </c>
      <c r="K183">
        <v>0.47470000000000001</v>
      </c>
      <c r="L183">
        <v>0.27810000000000001</v>
      </c>
      <c r="M183">
        <v>0.96</v>
      </c>
      <c r="N183">
        <v>1.52</v>
      </c>
      <c r="O183">
        <v>33.700000000000003</v>
      </c>
      <c r="P183">
        <v>2</v>
      </c>
      <c r="Q183">
        <v>2</v>
      </c>
      <c r="R183">
        <v>2</v>
      </c>
      <c r="S183">
        <v>0.9</v>
      </c>
      <c r="T183">
        <v>1.3</v>
      </c>
      <c r="U183">
        <v>1.04</v>
      </c>
      <c r="V183">
        <v>2.2799999999999998</v>
      </c>
      <c r="W183">
        <v>2.1</v>
      </c>
      <c r="X183">
        <v>2.1</v>
      </c>
    </row>
    <row r="184" spans="2:24" hidden="1" x14ac:dyDescent="0.35">
      <c r="B184">
        <v>2016</v>
      </c>
      <c r="C184" s="1">
        <v>42735</v>
      </c>
      <c r="D184">
        <v>2411</v>
      </c>
      <c r="E184" t="s">
        <v>23</v>
      </c>
      <c r="F184" t="s">
        <v>34</v>
      </c>
      <c r="G184" t="s">
        <v>31</v>
      </c>
      <c r="H184">
        <v>68.47</v>
      </c>
      <c r="I184">
        <v>61.09</v>
      </c>
      <c r="J184">
        <v>0.52449999999999997</v>
      </c>
      <c r="K184">
        <v>0.19520000000000001</v>
      </c>
      <c r="L184">
        <v>0.28029999999999999</v>
      </c>
      <c r="M184">
        <v>1.46</v>
      </c>
      <c r="N184">
        <v>0.79</v>
      </c>
      <c r="O184">
        <v>2.1</v>
      </c>
      <c r="P184">
        <v>6.4</v>
      </c>
      <c r="Q184">
        <v>1</v>
      </c>
      <c r="R184">
        <v>2</v>
      </c>
      <c r="S184">
        <v>0.44</v>
      </c>
      <c r="T184">
        <v>0.55000000000000004</v>
      </c>
      <c r="U184">
        <v>0.8</v>
      </c>
      <c r="V184">
        <v>0.71</v>
      </c>
      <c r="W184">
        <v>1.05</v>
      </c>
      <c r="X184">
        <v>2.1</v>
      </c>
    </row>
    <row r="185" spans="2:24" hidden="1" x14ac:dyDescent="0.35">
      <c r="B185">
        <v>2016</v>
      </c>
      <c r="C185" s="1">
        <v>42735</v>
      </c>
      <c r="D185">
        <v>2411</v>
      </c>
      <c r="E185" t="s">
        <v>23</v>
      </c>
      <c r="F185" t="s">
        <v>32</v>
      </c>
      <c r="G185" t="s">
        <v>37</v>
      </c>
      <c r="H185">
        <v>55.3</v>
      </c>
      <c r="I185">
        <v>50.51</v>
      </c>
      <c r="J185">
        <v>0.47770000000000001</v>
      </c>
      <c r="K185">
        <v>0.2429</v>
      </c>
      <c r="L185">
        <v>0.27950000000000003</v>
      </c>
      <c r="M185">
        <v>1.45</v>
      </c>
      <c r="N185">
        <v>1</v>
      </c>
      <c r="O185">
        <v>39.299999999999997</v>
      </c>
      <c r="P185">
        <v>54.4</v>
      </c>
      <c r="Q185">
        <v>4</v>
      </c>
      <c r="R185">
        <v>1</v>
      </c>
      <c r="S185">
        <v>2.62</v>
      </c>
      <c r="T185">
        <v>0.65</v>
      </c>
      <c r="U185">
        <v>1.37</v>
      </c>
      <c r="V185">
        <v>0.61</v>
      </c>
      <c r="W185">
        <v>4.2</v>
      </c>
      <c r="X185">
        <v>1.05</v>
      </c>
    </row>
    <row r="186" spans="2:24" hidden="1" x14ac:dyDescent="0.35">
      <c r="B186">
        <v>2016</v>
      </c>
      <c r="C186" s="1">
        <v>42735</v>
      </c>
      <c r="D186">
        <v>2411</v>
      </c>
      <c r="E186" t="s">
        <v>23</v>
      </c>
      <c r="F186" t="s">
        <v>33</v>
      </c>
      <c r="G186" t="s">
        <v>38</v>
      </c>
      <c r="H186">
        <v>54.05</v>
      </c>
      <c r="I186">
        <v>60.31</v>
      </c>
      <c r="J186">
        <v>0.40489999999999998</v>
      </c>
      <c r="K186">
        <v>0.34129999999999999</v>
      </c>
      <c r="L186">
        <v>0.25380000000000003</v>
      </c>
      <c r="M186">
        <v>1.68</v>
      </c>
      <c r="N186">
        <v>1.63</v>
      </c>
      <c r="O186">
        <v>47.3</v>
      </c>
      <c r="P186">
        <v>16.3</v>
      </c>
      <c r="Q186">
        <v>0</v>
      </c>
      <c r="R186">
        <v>3</v>
      </c>
      <c r="S186">
        <v>0.69</v>
      </c>
      <c r="T186">
        <v>2.0099999999999998</v>
      </c>
      <c r="U186">
        <v>1.45</v>
      </c>
      <c r="V186">
        <v>1.5</v>
      </c>
      <c r="W186">
        <v>0</v>
      </c>
      <c r="X186">
        <v>2.69</v>
      </c>
    </row>
    <row r="187" spans="2:24" hidden="1" x14ac:dyDescent="0.35">
      <c r="B187">
        <v>2016</v>
      </c>
      <c r="C187" s="1">
        <v>42735</v>
      </c>
      <c r="D187">
        <v>2411</v>
      </c>
      <c r="E187" t="s">
        <v>23</v>
      </c>
      <c r="F187" t="s">
        <v>39</v>
      </c>
      <c r="G187" t="s">
        <v>26</v>
      </c>
      <c r="H187">
        <v>80.39</v>
      </c>
      <c r="I187">
        <v>54.45</v>
      </c>
      <c r="J187">
        <v>0.69989999999999997</v>
      </c>
      <c r="K187">
        <v>8.2100000000000006E-2</v>
      </c>
      <c r="L187">
        <v>0.218</v>
      </c>
      <c r="M187">
        <v>1.78</v>
      </c>
      <c r="N187">
        <v>0.44</v>
      </c>
      <c r="O187">
        <v>64</v>
      </c>
      <c r="P187">
        <v>33.700000000000003</v>
      </c>
      <c r="Q187">
        <v>2</v>
      </c>
      <c r="R187">
        <v>1</v>
      </c>
      <c r="S187">
        <v>2.85</v>
      </c>
      <c r="T187">
        <v>0.7</v>
      </c>
      <c r="U187">
        <v>4.33</v>
      </c>
      <c r="V187">
        <v>0.73</v>
      </c>
      <c r="W187">
        <v>2.1</v>
      </c>
      <c r="X187">
        <v>1.05</v>
      </c>
    </row>
    <row r="188" spans="2:24" hidden="1" x14ac:dyDescent="0.35">
      <c r="B188">
        <v>2016</v>
      </c>
      <c r="C188" s="1">
        <v>42735</v>
      </c>
      <c r="D188">
        <v>2411</v>
      </c>
      <c r="E188" t="s">
        <v>23</v>
      </c>
      <c r="F188" t="s">
        <v>42</v>
      </c>
      <c r="G188" t="s">
        <v>27</v>
      </c>
      <c r="H188">
        <v>86.47</v>
      </c>
      <c r="I188">
        <v>60.92</v>
      </c>
      <c r="J188">
        <v>0.77339999999999998</v>
      </c>
      <c r="K188">
        <v>5.9299999999999999E-2</v>
      </c>
      <c r="L188">
        <v>0.16739999999999999</v>
      </c>
      <c r="M188">
        <v>2.25</v>
      </c>
      <c r="N188">
        <v>0.39</v>
      </c>
      <c r="O188">
        <v>100</v>
      </c>
      <c r="P188">
        <v>10.9</v>
      </c>
      <c r="Q188">
        <v>4</v>
      </c>
      <c r="R188">
        <v>2</v>
      </c>
      <c r="S188">
        <v>1.86</v>
      </c>
      <c r="T188">
        <v>0.94</v>
      </c>
      <c r="U188">
        <v>3.22</v>
      </c>
      <c r="V188">
        <v>1.1599999999999999</v>
      </c>
      <c r="W188">
        <v>3.83</v>
      </c>
      <c r="X188">
        <v>2.1</v>
      </c>
    </row>
    <row r="189" spans="2:24" hidden="1" x14ac:dyDescent="0.35">
      <c r="B189">
        <v>2016</v>
      </c>
      <c r="C189" s="1">
        <v>42735</v>
      </c>
      <c r="D189">
        <v>2411</v>
      </c>
      <c r="E189" t="s">
        <v>23</v>
      </c>
      <c r="F189" t="s">
        <v>25</v>
      </c>
      <c r="G189" t="s">
        <v>43</v>
      </c>
      <c r="H189">
        <v>62.1</v>
      </c>
      <c r="I189">
        <v>62.48</v>
      </c>
      <c r="J189">
        <v>0.45629999999999998</v>
      </c>
      <c r="K189">
        <v>0.28460000000000002</v>
      </c>
      <c r="L189">
        <v>0.2591</v>
      </c>
      <c r="M189">
        <v>1.66</v>
      </c>
      <c r="N189">
        <v>1.32</v>
      </c>
      <c r="O189">
        <v>28.6</v>
      </c>
      <c r="P189">
        <v>12</v>
      </c>
      <c r="Q189">
        <v>1</v>
      </c>
      <c r="R189">
        <v>0</v>
      </c>
      <c r="S189">
        <v>1.1499999999999999</v>
      </c>
      <c r="T189">
        <v>2.2200000000000002</v>
      </c>
      <c r="U189">
        <v>1.1100000000000001</v>
      </c>
      <c r="V189">
        <v>1.62</v>
      </c>
      <c r="W189">
        <v>1.05</v>
      </c>
      <c r="X189">
        <v>0</v>
      </c>
    </row>
    <row r="190" spans="2:24" hidden="1" x14ac:dyDescent="0.35">
      <c r="B190">
        <v>2016</v>
      </c>
      <c r="C190" s="1">
        <v>42735</v>
      </c>
      <c r="D190">
        <v>2411</v>
      </c>
      <c r="E190" t="s">
        <v>23</v>
      </c>
      <c r="F190" t="s">
        <v>41</v>
      </c>
      <c r="G190" t="s">
        <v>36</v>
      </c>
      <c r="H190">
        <v>84.12</v>
      </c>
      <c r="I190">
        <v>85.88</v>
      </c>
      <c r="J190">
        <v>0.41760000000000003</v>
      </c>
      <c r="K190">
        <v>0.33660000000000001</v>
      </c>
      <c r="L190">
        <v>0.24579999999999999</v>
      </c>
      <c r="M190">
        <v>1.73</v>
      </c>
      <c r="N190">
        <v>1.54</v>
      </c>
      <c r="O190">
        <v>60.6</v>
      </c>
      <c r="P190">
        <v>60.2</v>
      </c>
      <c r="Q190">
        <v>1</v>
      </c>
      <c r="R190">
        <v>0</v>
      </c>
      <c r="S190">
        <v>0.27</v>
      </c>
      <c r="T190">
        <v>0.43</v>
      </c>
      <c r="U190">
        <v>0.56999999999999995</v>
      </c>
      <c r="V190">
        <v>0.59</v>
      </c>
      <c r="W190">
        <v>1.05</v>
      </c>
      <c r="X190">
        <v>0</v>
      </c>
    </row>
    <row r="191" spans="2:24" hidden="1" x14ac:dyDescent="0.35">
      <c r="B191">
        <v>2016</v>
      </c>
      <c r="C191" s="1">
        <v>42736</v>
      </c>
      <c r="D191">
        <v>2411</v>
      </c>
      <c r="E191" t="s">
        <v>23</v>
      </c>
      <c r="F191" t="s">
        <v>35</v>
      </c>
      <c r="G191" t="s">
        <v>29</v>
      </c>
      <c r="H191">
        <v>58.89</v>
      </c>
      <c r="I191">
        <v>79.12</v>
      </c>
      <c r="J191">
        <v>0.2167</v>
      </c>
      <c r="K191">
        <v>0.53120000000000001</v>
      </c>
      <c r="L191">
        <v>0.25209999999999999</v>
      </c>
      <c r="M191">
        <v>1.07</v>
      </c>
      <c r="N191">
        <v>1.72</v>
      </c>
      <c r="O191">
        <v>16</v>
      </c>
      <c r="P191">
        <v>67.2</v>
      </c>
      <c r="Q191">
        <v>1</v>
      </c>
      <c r="R191">
        <v>4</v>
      </c>
      <c r="S191">
        <v>1.29</v>
      </c>
      <c r="T191">
        <v>2.88</v>
      </c>
      <c r="U191">
        <v>0.73</v>
      </c>
      <c r="V191">
        <v>1.77</v>
      </c>
      <c r="W191">
        <v>1.05</v>
      </c>
      <c r="X191">
        <v>4.2</v>
      </c>
    </row>
    <row r="192" spans="2:24" hidden="1" x14ac:dyDescent="0.35">
      <c r="B192">
        <v>2016</v>
      </c>
      <c r="C192" s="1">
        <v>42736</v>
      </c>
      <c r="D192">
        <v>2411</v>
      </c>
      <c r="E192" t="s">
        <v>23</v>
      </c>
      <c r="F192" t="s">
        <v>40</v>
      </c>
      <c r="G192" t="s">
        <v>30</v>
      </c>
      <c r="H192">
        <v>84.22</v>
      </c>
      <c r="I192">
        <v>59.4</v>
      </c>
      <c r="J192">
        <v>0.77690000000000003</v>
      </c>
      <c r="K192">
        <v>7.7499999999999999E-2</v>
      </c>
      <c r="L192">
        <v>0.14560000000000001</v>
      </c>
      <c r="M192">
        <v>2.77</v>
      </c>
      <c r="N192">
        <v>0.75</v>
      </c>
      <c r="O192">
        <v>71.2</v>
      </c>
      <c r="P192">
        <v>29.7</v>
      </c>
      <c r="Q192">
        <v>2</v>
      </c>
      <c r="R192">
        <v>0</v>
      </c>
      <c r="S192">
        <v>1.8</v>
      </c>
      <c r="T192">
        <v>0.57999999999999996</v>
      </c>
      <c r="U192">
        <v>2.58</v>
      </c>
      <c r="V192">
        <v>0.73</v>
      </c>
      <c r="W192">
        <v>2.1</v>
      </c>
      <c r="X192">
        <v>0</v>
      </c>
    </row>
    <row r="193" spans="2:24" hidden="1" x14ac:dyDescent="0.35">
      <c r="B193">
        <v>2016</v>
      </c>
      <c r="C193" s="1">
        <v>42737</v>
      </c>
      <c r="D193">
        <v>2411</v>
      </c>
      <c r="E193" t="s">
        <v>23</v>
      </c>
      <c r="F193" t="s">
        <v>26</v>
      </c>
      <c r="G193" t="s">
        <v>25</v>
      </c>
      <c r="H193">
        <v>54.25</v>
      </c>
      <c r="I193">
        <v>61.85</v>
      </c>
      <c r="J193">
        <v>0.40649999999999997</v>
      </c>
      <c r="K193">
        <v>0.29909999999999998</v>
      </c>
      <c r="L193">
        <v>0.2944</v>
      </c>
      <c r="M193">
        <v>1.24</v>
      </c>
      <c r="N193">
        <v>1.0900000000000001</v>
      </c>
      <c r="Q193">
        <v>0</v>
      </c>
      <c r="R193">
        <v>0</v>
      </c>
      <c r="S193">
        <v>0.91</v>
      </c>
      <c r="T193">
        <v>0.56000000000000005</v>
      </c>
      <c r="U193">
        <v>1</v>
      </c>
      <c r="V193">
        <v>1.45</v>
      </c>
      <c r="W193">
        <v>0</v>
      </c>
      <c r="X193">
        <v>0</v>
      </c>
    </row>
    <row r="194" spans="2:24" hidden="1" x14ac:dyDescent="0.35">
      <c r="B194">
        <v>2016</v>
      </c>
      <c r="C194" s="1">
        <v>42737</v>
      </c>
      <c r="D194">
        <v>2411</v>
      </c>
      <c r="E194" t="s">
        <v>23</v>
      </c>
      <c r="F194" t="s">
        <v>28</v>
      </c>
      <c r="G194" t="s">
        <v>34</v>
      </c>
      <c r="H194">
        <v>66.81</v>
      </c>
      <c r="I194">
        <v>67.11</v>
      </c>
      <c r="J194">
        <v>0.4521</v>
      </c>
      <c r="K194">
        <v>0.26050000000000001</v>
      </c>
      <c r="L194">
        <v>0.28739999999999999</v>
      </c>
      <c r="M194">
        <v>1.36</v>
      </c>
      <c r="N194">
        <v>1.03</v>
      </c>
      <c r="Q194">
        <v>3</v>
      </c>
      <c r="R194">
        <v>0</v>
      </c>
      <c r="S194">
        <v>2.2799999999999998</v>
      </c>
      <c r="T194">
        <v>0.74</v>
      </c>
      <c r="U194">
        <v>2.0299999999999998</v>
      </c>
      <c r="V194">
        <v>1.51</v>
      </c>
      <c r="W194">
        <v>2.39</v>
      </c>
      <c r="X194">
        <v>0</v>
      </c>
    </row>
    <row r="195" spans="2:24" hidden="1" x14ac:dyDescent="0.35">
      <c r="B195">
        <v>2016</v>
      </c>
      <c r="C195" s="1">
        <v>42737</v>
      </c>
      <c r="D195">
        <v>2411</v>
      </c>
      <c r="E195" t="s">
        <v>23</v>
      </c>
      <c r="F195" t="s">
        <v>36</v>
      </c>
      <c r="G195" t="s">
        <v>32</v>
      </c>
      <c r="H195">
        <v>85.57</v>
      </c>
      <c r="I195">
        <v>57.33</v>
      </c>
      <c r="J195">
        <v>0.79310000000000003</v>
      </c>
      <c r="K195">
        <v>5.8799999999999998E-2</v>
      </c>
      <c r="L195">
        <v>0.14810000000000001</v>
      </c>
      <c r="M195">
        <v>2.52</v>
      </c>
      <c r="N195">
        <v>0.47</v>
      </c>
      <c r="Q195">
        <v>2</v>
      </c>
      <c r="R195">
        <v>1</v>
      </c>
      <c r="S195">
        <v>0.74</v>
      </c>
      <c r="T195">
        <v>0.92</v>
      </c>
      <c r="U195">
        <v>1.55</v>
      </c>
      <c r="V195">
        <v>1.43</v>
      </c>
      <c r="W195">
        <v>2.1</v>
      </c>
      <c r="X195">
        <v>1.05</v>
      </c>
    </row>
    <row r="196" spans="2:24" hidden="1" x14ac:dyDescent="0.35">
      <c r="B196">
        <v>2016</v>
      </c>
      <c r="C196" s="1">
        <v>42737</v>
      </c>
      <c r="D196">
        <v>2411</v>
      </c>
      <c r="E196" t="s">
        <v>23</v>
      </c>
      <c r="F196" t="s">
        <v>31</v>
      </c>
      <c r="G196" t="s">
        <v>24</v>
      </c>
      <c r="H196">
        <v>62.52</v>
      </c>
      <c r="I196">
        <v>43.41</v>
      </c>
      <c r="J196">
        <v>0.60109999999999997</v>
      </c>
      <c r="K196">
        <v>0.14660000000000001</v>
      </c>
      <c r="L196">
        <v>0.25240000000000001</v>
      </c>
      <c r="M196">
        <v>1.7</v>
      </c>
      <c r="N196">
        <v>0.67</v>
      </c>
      <c r="Q196">
        <v>3</v>
      </c>
      <c r="R196">
        <v>1</v>
      </c>
      <c r="S196">
        <v>0.84</v>
      </c>
      <c r="T196">
        <v>1.2</v>
      </c>
      <c r="U196">
        <v>1.32</v>
      </c>
      <c r="V196">
        <v>1.65</v>
      </c>
      <c r="W196">
        <v>3.09</v>
      </c>
      <c r="X196">
        <v>1.05</v>
      </c>
    </row>
    <row r="197" spans="2:24" hidden="1" x14ac:dyDescent="0.35">
      <c r="B197">
        <v>2016</v>
      </c>
      <c r="C197" s="1">
        <v>42737</v>
      </c>
      <c r="D197">
        <v>2411</v>
      </c>
      <c r="E197" t="s">
        <v>23</v>
      </c>
      <c r="F197" t="s">
        <v>37</v>
      </c>
      <c r="G197" t="s">
        <v>41</v>
      </c>
      <c r="H197">
        <v>48.44</v>
      </c>
      <c r="I197">
        <v>84.07</v>
      </c>
      <c r="J197">
        <v>8.2900000000000001E-2</v>
      </c>
      <c r="K197">
        <v>0.75880000000000003</v>
      </c>
      <c r="L197">
        <v>0.15840000000000001</v>
      </c>
      <c r="M197">
        <v>0.93</v>
      </c>
      <c r="N197">
        <v>2.34</v>
      </c>
      <c r="Q197">
        <v>2</v>
      </c>
      <c r="R197">
        <v>2</v>
      </c>
      <c r="S197">
        <v>1.96</v>
      </c>
      <c r="T197">
        <v>2.4500000000000002</v>
      </c>
      <c r="U197">
        <v>0.43</v>
      </c>
      <c r="V197">
        <v>2.25</v>
      </c>
      <c r="W197">
        <v>2.1</v>
      </c>
      <c r="X197">
        <v>2.1</v>
      </c>
    </row>
    <row r="198" spans="2:24" hidden="1" x14ac:dyDescent="0.35">
      <c r="B198">
        <v>2016</v>
      </c>
      <c r="C198" s="1">
        <v>42737</v>
      </c>
      <c r="D198">
        <v>2411</v>
      </c>
      <c r="E198" t="s">
        <v>23</v>
      </c>
      <c r="F198" t="s">
        <v>43</v>
      </c>
      <c r="G198" t="s">
        <v>39</v>
      </c>
      <c r="H198">
        <v>62.69</v>
      </c>
      <c r="I198">
        <v>80.7</v>
      </c>
      <c r="J198">
        <v>0.21870000000000001</v>
      </c>
      <c r="K198">
        <v>0.53200000000000003</v>
      </c>
      <c r="L198">
        <v>0.24929999999999999</v>
      </c>
      <c r="M198">
        <v>1.1299999999999999</v>
      </c>
      <c r="N198">
        <v>1.73</v>
      </c>
      <c r="Q198">
        <v>0</v>
      </c>
      <c r="R198">
        <v>2</v>
      </c>
      <c r="S198">
        <v>0.83</v>
      </c>
      <c r="T198">
        <v>1.93</v>
      </c>
      <c r="U198">
        <v>0.79</v>
      </c>
      <c r="V198">
        <v>2.09</v>
      </c>
      <c r="W198">
        <v>0</v>
      </c>
      <c r="X198">
        <v>1.91</v>
      </c>
    </row>
    <row r="199" spans="2:24" hidden="1" x14ac:dyDescent="0.35">
      <c r="B199">
        <v>2016</v>
      </c>
      <c r="C199" s="1">
        <v>42738</v>
      </c>
      <c r="D199">
        <v>2411</v>
      </c>
      <c r="E199" t="s">
        <v>23</v>
      </c>
      <c r="F199" t="s">
        <v>38</v>
      </c>
      <c r="G199" t="s">
        <v>40</v>
      </c>
      <c r="H199">
        <v>62.1</v>
      </c>
      <c r="I199">
        <v>84.35</v>
      </c>
      <c r="J199">
        <v>0.15079999999999999</v>
      </c>
      <c r="K199">
        <v>0.6522</v>
      </c>
      <c r="L199">
        <v>0.19700000000000001</v>
      </c>
      <c r="M199">
        <v>1.21</v>
      </c>
      <c r="N199">
        <v>2.16</v>
      </c>
      <c r="Q199">
        <v>3</v>
      </c>
      <c r="R199">
        <v>3</v>
      </c>
      <c r="S199">
        <v>1.55</v>
      </c>
      <c r="T199">
        <v>1.35</v>
      </c>
      <c r="U199">
        <v>0.98</v>
      </c>
      <c r="V199">
        <v>3.06</v>
      </c>
      <c r="W199">
        <v>3.15</v>
      </c>
      <c r="X199">
        <v>3.15</v>
      </c>
    </row>
    <row r="200" spans="2:24" hidden="1" x14ac:dyDescent="0.35">
      <c r="B200">
        <v>2016</v>
      </c>
      <c r="C200" s="1">
        <v>42738</v>
      </c>
      <c r="D200">
        <v>2411</v>
      </c>
      <c r="E200" t="s">
        <v>23</v>
      </c>
      <c r="F200" t="s">
        <v>27</v>
      </c>
      <c r="G200" t="s">
        <v>35</v>
      </c>
      <c r="H200">
        <v>61.86</v>
      </c>
      <c r="I200">
        <v>57.53</v>
      </c>
      <c r="J200">
        <v>0.50719999999999998</v>
      </c>
      <c r="K200">
        <v>0.23019999999999999</v>
      </c>
      <c r="L200">
        <v>0.2626</v>
      </c>
      <c r="M200">
        <v>1.63</v>
      </c>
      <c r="N200">
        <v>1.08</v>
      </c>
      <c r="Q200">
        <v>2</v>
      </c>
      <c r="R200">
        <v>0</v>
      </c>
      <c r="S200">
        <v>2.2200000000000002</v>
      </c>
      <c r="T200">
        <v>0.52</v>
      </c>
      <c r="U200">
        <v>1.6</v>
      </c>
      <c r="V200">
        <v>1.96</v>
      </c>
      <c r="W200">
        <v>2.1</v>
      </c>
      <c r="X200">
        <v>0</v>
      </c>
    </row>
    <row r="201" spans="2:24" hidden="1" x14ac:dyDescent="0.35">
      <c r="B201">
        <v>2016</v>
      </c>
      <c r="C201" s="1">
        <v>42738</v>
      </c>
      <c r="D201">
        <v>2411</v>
      </c>
      <c r="E201" t="s">
        <v>23</v>
      </c>
      <c r="F201" t="s">
        <v>30</v>
      </c>
      <c r="G201" t="s">
        <v>33</v>
      </c>
      <c r="H201">
        <v>59.05</v>
      </c>
      <c r="I201">
        <v>52.18</v>
      </c>
      <c r="J201">
        <v>0.51919999999999999</v>
      </c>
      <c r="K201">
        <v>0.23749999999999999</v>
      </c>
      <c r="L201">
        <v>0.24329999999999999</v>
      </c>
      <c r="M201">
        <v>1.96</v>
      </c>
      <c r="N201">
        <v>1.27</v>
      </c>
      <c r="Q201">
        <v>1</v>
      </c>
      <c r="R201">
        <v>2</v>
      </c>
      <c r="S201">
        <v>0.46</v>
      </c>
      <c r="T201">
        <v>1.33</v>
      </c>
      <c r="U201">
        <v>0.63</v>
      </c>
      <c r="V201">
        <v>1.36</v>
      </c>
      <c r="W201">
        <v>1.05</v>
      </c>
      <c r="X201">
        <v>2.1</v>
      </c>
    </row>
    <row r="202" spans="2:24" hidden="1" x14ac:dyDescent="0.35">
      <c r="B202">
        <v>2016</v>
      </c>
      <c r="C202" s="1">
        <v>42739</v>
      </c>
      <c r="D202">
        <v>2411</v>
      </c>
      <c r="E202" t="s">
        <v>23</v>
      </c>
      <c r="F202" t="s">
        <v>29</v>
      </c>
      <c r="G202" t="s">
        <v>42</v>
      </c>
      <c r="H202">
        <v>80.23</v>
      </c>
      <c r="I202">
        <v>86.13</v>
      </c>
      <c r="J202">
        <v>0.34200000000000003</v>
      </c>
      <c r="K202">
        <v>0.38300000000000001</v>
      </c>
      <c r="L202">
        <v>0.27500000000000002</v>
      </c>
      <c r="M202">
        <v>1.34</v>
      </c>
      <c r="N202">
        <v>1.37</v>
      </c>
      <c r="Q202">
        <v>2</v>
      </c>
      <c r="R202">
        <v>0</v>
      </c>
      <c r="S202">
        <v>1</v>
      </c>
      <c r="T202">
        <v>1.22</v>
      </c>
      <c r="U202">
        <v>0.6</v>
      </c>
      <c r="V202">
        <v>1.22</v>
      </c>
      <c r="W202">
        <v>2.1</v>
      </c>
      <c r="X202">
        <v>0</v>
      </c>
    </row>
    <row r="203" spans="2:24" hidden="1" x14ac:dyDescent="0.35">
      <c r="B203">
        <v>2016</v>
      </c>
      <c r="C203" s="1">
        <v>42749</v>
      </c>
      <c r="D203">
        <v>2411</v>
      </c>
      <c r="E203" t="s">
        <v>23</v>
      </c>
      <c r="F203" t="s">
        <v>29</v>
      </c>
      <c r="G203" t="s">
        <v>31</v>
      </c>
      <c r="H203">
        <v>80.84</v>
      </c>
      <c r="I203">
        <v>62.11</v>
      </c>
      <c r="J203">
        <v>0.68489999999999995</v>
      </c>
      <c r="K203">
        <v>0.1047</v>
      </c>
      <c r="L203">
        <v>0.21029999999999999</v>
      </c>
      <c r="M203">
        <v>1.93</v>
      </c>
      <c r="N203">
        <v>0.67</v>
      </c>
      <c r="O203">
        <v>74.599999999999994</v>
      </c>
      <c r="P203">
        <v>0.8</v>
      </c>
      <c r="Q203">
        <v>4</v>
      </c>
      <c r="R203">
        <v>0</v>
      </c>
      <c r="S203">
        <v>2.96</v>
      </c>
      <c r="T203">
        <v>0.14000000000000001</v>
      </c>
      <c r="U203">
        <v>2.1</v>
      </c>
      <c r="V203">
        <v>0.34</v>
      </c>
      <c r="W203">
        <v>3.74</v>
      </c>
      <c r="X203">
        <v>0</v>
      </c>
    </row>
    <row r="204" spans="2:24" hidden="1" x14ac:dyDescent="0.35">
      <c r="B204">
        <v>2016</v>
      </c>
      <c r="C204" s="1">
        <v>42749</v>
      </c>
      <c r="D204">
        <v>2411</v>
      </c>
      <c r="E204" t="s">
        <v>23</v>
      </c>
      <c r="F204" t="s">
        <v>33</v>
      </c>
      <c r="G204" t="s">
        <v>40</v>
      </c>
      <c r="H204">
        <v>53.79</v>
      </c>
      <c r="I204">
        <v>83.85</v>
      </c>
      <c r="J204">
        <v>9.4E-2</v>
      </c>
      <c r="K204">
        <v>0.75270000000000004</v>
      </c>
      <c r="L204">
        <v>0.15329999999999999</v>
      </c>
      <c r="M204">
        <v>1.1599999999999999</v>
      </c>
      <c r="N204">
        <v>2.57</v>
      </c>
      <c r="O204">
        <v>49.3</v>
      </c>
      <c r="P204">
        <v>69.900000000000006</v>
      </c>
      <c r="Q204">
        <v>0</v>
      </c>
      <c r="R204">
        <v>4</v>
      </c>
      <c r="S204">
        <v>0.52</v>
      </c>
      <c r="T204">
        <v>2.2400000000000002</v>
      </c>
      <c r="U204">
        <v>1.0900000000000001</v>
      </c>
      <c r="V204">
        <v>2.29</v>
      </c>
      <c r="W204">
        <v>0</v>
      </c>
      <c r="X204">
        <v>4.13</v>
      </c>
    </row>
    <row r="205" spans="2:24" hidden="1" x14ac:dyDescent="0.35">
      <c r="B205">
        <v>2016</v>
      </c>
      <c r="C205" s="1">
        <v>42749</v>
      </c>
      <c r="D205">
        <v>2411</v>
      </c>
      <c r="E205" t="s">
        <v>23</v>
      </c>
      <c r="F205" t="s">
        <v>35</v>
      </c>
      <c r="G205" t="s">
        <v>26</v>
      </c>
      <c r="H205">
        <v>56.6</v>
      </c>
      <c r="I205">
        <v>53.91</v>
      </c>
      <c r="J205">
        <v>0.45090000000000002</v>
      </c>
      <c r="K205">
        <v>0.25519999999999998</v>
      </c>
      <c r="L205">
        <v>0.29389999999999999</v>
      </c>
      <c r="M205">
        <v>1.31</v>
      </c>
      <c r="N205">
        <v>0.94</v>
      </c>
      <c r="O205">
        <v>31.5</v>
      </c>
      <c r="P205">
        <v>39.5</v>
      </c>
      <c r="Q205">
        <v>0</v>
      </c>
      <c r="R205">
        <v>0</v>
      </c>
      <c r="S205">
        <v>0.88</v>
      </c>
      <c r="T205">
        <v>0.43</v>
      </c>
      <c r="U205">
        <v>1.27</v>
      </c>
      <c r="V205">
        <v>0.77</v>
      </c>
      <c r="W205">
        <v>0</v>
      </c>
      <c r="X205">
        <v>0</v>
      </c>
    </row>
    <row r="206" spans="2:24" hidden="1" x14ac:dyDescent="0.35">
      <c r="B206">
        <v>2016</v>
      </c>
      <c r="C206" s="1">
        <v>42749</v>
      </c>
      <c r="D206">
        <v>2411</v>
      </c>
      <c r="E206" t="s">
        <v>23</v>
      </c>
      <c r="F206" t="s">
        <v>37</v>
      </c>
      <c r="G206" t="s">
        <v>27</v>
      </c>
      <c r="H206">
        <v>49.66</v>
      </c>
      <c r="I206">
        <v>62.75</v>
      </c>
      <c r="J206">
        <v>0.35049999999999998</v>
      </c>
      <c r="K206">
        <v>0.3695</v>
      </c>
      <c r="L206">
        <v>0.28010000000000002</v>
      </c>
      <c r="M206">
        <v>1.28</v>
      </c>
      <c r="N206">
        <v>1.39</v>
      </c>
      <c r="O206">
        <v>49.6</v>
      </c>
      <c r="P206">
        <v>9.6</v>
      </c>
      <c r="Q206">
        <v>1</v>
      </c>
      <c r="R206">
        <v>3</v>
      </c>
      <c r="S206">
        <v>1.34</v>
      </c>
      <c r="T206">
        <v>1.1299999999999999</v>
      </c>
      <c r="U206">
        <v>1.17</v>
      </c>
      <c r="V206">
        <v>2.25</v>
      </c>
      <c r="W206">
        <v>1.05</v>
      </c>
      <c r="X206">
        <v>3.15</v>
      </c>
    </row>
    <row r="207" spans="2:24" hidden="1" x14ac:dyDescent="0.35">
      <c r="B207">
        <v>2016</v>
      </c>
      <c r="C207" s="1">
        <v>42749</v>
      </c>
      <c r="D207">
        <v>2411</v>
      </c>
      <c r="E207" t="s">
        <v>23</v>
      </c>
      <c r="F207" t="s">
        <v>43</v>
      </c>
      <c r="G207" t="s">
        <v>30</v>
      </c>
      <c r="H207">
        <v>61.43</v>
      </c>
      <c r="I207">
        <v>57.49</v>
      </c>
      <c r="J207">
        <v>0.50139999999999996</v>
      </c>
      <c r="K207">
        <v>0.24379999999999999</v>
      </c>
      <c r="L207">
        <v>0.25469999999999998</v>
      </c>
      <c r="M207">
        <v>1.74</v>
      </c>
      <c r="N207">
        <v>1.2</v>
      </c>
      <c r="O207">
        <v>19.7</v>
      </c>
      <c r="P207">
        <v>50.5</v>
      </c>
      <c r="Q207">
        <v>3</v>
      </c>
      <c r="R207">
        <v>0</v>
      </c>
      <c r="S207">
        <v>1.72</v>
      </c>
      <c r="T207">
        <v>1.05</v>
      </c>
      <c r="U207">
        <v>1.07</v>
      </c>
      <c r="V207">
        <v>0.87</v>
      </c>
      <c r="W207">
        <v>2.52</v>
      </c>
      <c r="X207">
        <v>0</v>
      </c>
    </row>
    <row r="208" spans="2:24" hidden="1" x14ac:dyDescent="0.35">
      <c r="B208">
        <v>2016</v>
      </c>
      <c r="C208" s="1">
        <v>42749</v>
      </c>
      <c r="D208">
        <v>2411</v>
      </c>
      <c r="E208" t="s">
        <v>23</v>
      </c>
      <c r="F208" t="s">
        <v>32</v>
      </c>
      <c r="G208" t="s">
        <v>34</v>
      </c>
      <c r="H208">
        <v>58.81</v>
      </c>
      <c r="I208">
        <v>65.41</v>
      </c>
      <c r="J208">
        <v>0.38269999999999998</v>
      </c>
      <c r="K208">
        <v>0.32529999999999998</v>
      </c>
      <c r="L208">
        <v>0.29199999999999998</v>
      </c>
      <c r="M208">
        <v>1.24</v>
      </c>
      <c r="N208">
        <v>1.17</v>
      </c>
      <c r="O208">
        <v>17.8</v>
      </c>
      <c r="P208">
        <v>5.8</v>
      </c>
      <c r="Q208">
        <v>1</v>
      </c>
      <c r="R208">
        <v>0</v>
      </c>
      <c r="S208">
        <v>0.44</v>
      </c>
      <c r="T208">
        <v>1.1100000000000001</v>
      </c>
      <c r="U208">
        <v>0.77</v>
      </c>
      <c r="V208">
        <v>1.51</v>
      </c>
      <c r="W208">
        <v>1.05</v>
      </c>
      <c r="X208">
        <v>0</v>
      </c>
    </row>
    <row r="209" spans="2:24" hidden="1" x14ac:dyDescent="0.35">
      <c r="B209">
        <v>2016</v>
      </c>
      <c r="C209" s="1">
        <v>42749</v>
      </c>
      <c r="D209">
        <v>2411</v>
      </c>
      <c r="E209" t="s">
        <v>23</v>
      </c>
      <c r="F209" t="s">
        <v>24</v>
      </c>
      <c r="G209" t="s">
        <v>38</v>
      </c>
      <c r="H209">
        <v>43.82</v>
      </c>
      <c r="I209">
        <v>63.06</v>
      </c>
      <c r="J209">
        <v>0.29070000000000001</v>
      </c>
      <c r="K209">
        <v>0.44479999999999997</v>
      </c>
      <c r="L209">
        <v>0.2646</v>
      </c>
      <c r="M209">
        <v>1.24</v>
      </c>
      <c r="N209">
        <v>1.65</v>
      </c>
      <c r="O209">
        <v>30.7</v>
      </c>
      <c r="P209">
        <v>5.0999999999999996</v>
      </c>
      <c r="Q209">
        <v>3</v>
      </c>
      <c r="R209">
        <v>1</v>
      </c>
      <c r="S209">
        <v>1.1499999999999999</v>
      </c>
      <c r="T209">
        <v>1.83</v>
      </c>
      <c r="U209">
        <v>0.98</v>
      </c>
      <c r="V209">
        <v>0.69</v>
      </c>
      <c r="W209">
        <v>3.15</v>
      </c>
      <c r="X209">
        <v>1.05</v>
      </c>
    </row>
    <row r="210" spans="2:24" hidden="1" x14ac:dyDescent="0.35">
      <c r="B210">
        <v>2016</v>
      </c>
      <c r="C210" s="1">
        <v>42749</v>
      </c>
      <c r="D210">
        <v>2411</v>
      </c>
      <c r="E210" t="s">
        <v>23</v>
      </c>
      <c r="F210" t="s">
        <v>25</v>
      </c>
      <c r="G210" t="s">
        <v>42</v>
      </c>
      <c r="H210">
        <v>62.13</v>
      </c>
      <c r="I210">
        <v>85.52</v>
      </c>
      <c r="J210">
        <v>0.14460000000000001</v>
      </c>
      <c r="K210">
        <v>0.63649999999999995</v>
      </c>
      <c r="L210">
        <v>0.21890000000000001</v>
      </c>
      <c r="M210">
        <v>0.97</v>
      </c>
      <c r="N210">
        <v>1.87</v>
      </c>
      <c r="O210">
        <v>16.3</v>
      </c>
      <c r="P210">
        <v>89.9</v>
      </c>
      <c r="Q210">
        <v>0</v>
      </c>
      <c r="R210">
        <v>3</v>
      </c>
      <c r="S210">
        <v>0.25</v>
      </c>
      <c r="T210">
        <v>0.77</v>
      </c>
      <c r="U210">
        <v>0.48</v>
      </c>
      <c r="V210">
        <v>1.23</v>
      </c>
      <c r="W210">
        <v>0</v>
      </c>
      <c r="X210">
        <v>3.14</v>
      </c>
    </row>
    <row r="211" spans="2:24" hidden="1" x14ac:dyDescent="0.35">
      <c r="B211">
        <v>2016</v>
      </c>
      <c r="C211" s="1">
        <v>42750</v>
      </c>
      <c r="D211">
        <v>2411</v>
      </c>
      <c r="E211" t="s">
        <v>23</v>
      </c>
      <c r="F211" t="s">
        <v>28</v>
      </c>
      <c r="G211" t="s">
        <v>36</v>
      </c>
      <c r="H211">
        <v>68.569999999999993</v>
      </c>
      <c r="I211">
        <v>84.63</v>
      </c>
      <c r="J211">
        <v>0.21790000000000001</v>
      </c>
      <c r="K211">
        <v>0.53580000000000005</v>
      </c>
      <c r="L211">
        <v>0.24629999999999999</v>
      </c>
      <c r="M211">
        <v>1.1599999999999999</v>
      </c>
      <c r="N211">
        <v>1.71</v>
      </c>
      <c r="O211">
        <v>3.4</v>
      </c>
      <c r="P211">
        <v>63.4</v>
      </c>
      <c r="Q211">
        <v>4</v>
      </c>
      <c r="R211">
        <v>0</v>
      </c>
      <c r="S211">
        <v>0.45</v>
      </c>
      <c r="T211">
        <v>0.71</v>
      </c>
      <c r="U211">
        <v>0.74</v>
      </c>
      <c r="V211">
        <v>2.67</v>
      </c>
      <c r="W211">
        <v>3.46</v>
      </c>
      <c r="X211">
        <v>0</v>
      </c>
    </row>
    <row r="212" spans="2:24" hidden="1" x14ac:dyDescent="0.35">
      <c r="B212">
        <v>2016</v>
      </c>
      <c r="C212" s="1">
        <v>42750</v>
      </c>
      <c r="D212">
        <v>2411</v>
      </c>
      <c r="E212" t="s">
        <v>23</v>
      </c>
      <c r="F212" t="s">
        <v>39</v>
      </c>
      <c r="G212" t="s">
        <v>41</v>
      </c>
      <c r="H212">
        <v>81.540000000000006</v>
      </c>
      <c r="I212">
        <v>83.32</v>
      </c>
      <c r="J212">
        <v>0.43659999999999999</v>
      </c>
      <c r="K212">
        <v>0.2999</v>
      </c>
      <c r="L212">
        <v>0.26350000000000001</v>
      </c>
      <c r="M212">
        <v>1.58</v>
      </c>
      <c r="N212">
        <v>1.29</v>
      </c>
      <c r="O212">
        <v>83.7</v>
      </c>
      <c r="P212">
        <v>67.7</v>
      </c>
      <c r="Q212">
        <v>1</v>
      </c>
      <c r="R212">
        <v>1</v>
      </c>
      <c r="S212">
        <v>1.1000000000000001</v>
      </c>
      <c r="T212">
        <v>1.4</v>
      </c>
      <c r="U212">
        <v>1.42</v>
      </c>
      <c r="V212">
        <v>1.1299999999999999</v>
      </c>
      <c r="W212">
        <v>1.05</v>
      </c>
      <c r="X212">
        <v>1.05</v>
      </c>
    </row>
    <row r="213" spans="2:24" hidden="1" x14ac:dyDescent="0.35">
      <c r="B213">
        <v>2016</v>
      </c>
      <c r="C213" s="1">
        <v>42756</v>
      </c>
      <c r="D213">
        <v>2411</v>
      </c>
      <c r="E213" t="s">
        <v>23</v>
      </c>
      <c r="F213" t="s">
        <v>41</v>
      </c>
      <c r="G213" t="s">
        <v>33</v>
      </c>
      <c r="H213">
        <v>83.48</v>
      </c>
      <c r="I213">
        <v>52.3</v>
      </c>
      <c r="J213">
        <v>0.80410000000000004</v>
      </c>
      <c r="K213">
        <v>6.3E-2</v>
      </c>
      <c r="L213">
        <v>0.1328</v>
      </c>
      <c r="M213">
        <v>2.97</v>
      </c>
      <c r="N213">
        <v>0.63</v>
      </c>
      <c r="O213">
        <v>73.3</v>
      </c>
      <c r="P213">
        <v>54.9</v>
      </c>
      <c r="Q213">
        <v>2</v>
      </c>
      <c r="R213">
        <v>3</v>
      </c>
      <c r="S213">
        <v>1.42</v>
      </c>
      <c r="T213">
        <v>1.64</v>
      </c>
      <c r="U213">
        <v>2.5</v>
      </c>
      <c r="V213">
        <v>1.69</v>
      </c>
      <c r="W213">
        <v>2.1</v>
      </c>
      <c r="X213">
        <v>3.15</v>
      </c>
    </row>
    <row r="214" spans="2:24" hidden="1" x14ac:dyDescent="0.35">
      <c r="B214">
        <v>2016</v>
      </c>
      <c r="C214" s="1">
        <v>42756</v>
      </c>
      <c r="D214">
        <v>2411</v>
      </c>
      <c r="E214" t="s">
        <v>23</v>
      </c>
      <c r="F214" t="s">
        <v>27</v>
      </c>
      <c r="G214" t="s">
        <v>39</v>
      </c>
      <c r="H214">
        <v>63.89</v>
      </c>
      <c r="I214">
        <v>81.260000000000005</v>
      </c>
      <c r="J214">
        <v>0.2306</v>
      </c>
      <c r="K214">
        <v>0.50439999999999996</v>
      </c>
      <c r="L214">
        <v>0.26500000000000001</v>
      </c>
      <c r="M214">
        <v>1.05</v>
      </c>
      <c r="N214">
        <v>1.57</v>
      </c>
      <c r="O214">
        <v>2.2000000000000002</v>
      </c>
      <c r="P214">
        <v>66.3</v>
      </c>
      <c r="Q214">
        <v>1</v>
      </c>
      <c r="R214">
        <v>1</v>
      </c>
      <c r="S214">
        <v>0.33</v>
      </c>
      <c r="T214">
        <v>2.14</v>
      </c>
      <c r="U214">
        <v>0.22</v>
      </c>
      <c r="V214">
        <v>3.42</v>
      </c>
      <c r="W214">
        <v>1.05</v>
      </c>
      <c r="X214">
        <v>1.05</v>
      </c>
    </row>
    <row r="215" spans="2:24" hidden="1" x14ac:dyDescent="0.35">
      <c r="B215">
        <v>2016</v>
      </c>
      <c r="C215" s="1">
        <v>42756</v>
      </c>
      <c r="D215">
        <v>2411</v>
      </c>
      <c r="E215" t="s">
        <v>23</v>
      </c>
      <c r="F215" t="s">
        <v>38</v>
      </c>
      <c r="G215" t="s">
        <v>35</v>
      </c>
      <c r="H215">
        <v>61.52</v>
      </c>
      <c r="I215">
        <v>56.46</v>
      </c>
      <c r="J215">
        <v>0.51800000000000002</v>
      </c>
      <c r="K215">
        <v>0.23150000000000001</v>
      </c>
      <c r="L215">
        <v>0.25059999999999999</v>
      </c>
      <c r="M215">
        <v>1.77</v>
      </c>
      <c r="N215">
        <v>1.18</v>
      </c>
      <c r="O215">
        <v>10.8</v>
      </c>
      <c r="P215">
        <v>24</v>
      </c>
      <c r="Q215">
        <v>2</v>
      </c>
      <c r="R215">
        <v>2</v>
      </c>
      <c r="S215">
        <v>1.18</v>
      </c>
      <c r="T215">
        <v>0.99</v>
      </c>
      <c r="U215">
        <v>1.64</v>
      </c>
      <c r="V215">
        <v>0.98</v>
      </c>
      <c r="W215">
        <v>2.1</v>
      </c>
      <c r="X215">
        <v>2.1</v>
      </c>
    </row>
    <row r="216" spans="2:24" hidden="1" x14ac:dyDescent="0.35">
      <c r="B216">
        <v>2016</v>
      </c>
      <c r="C216" s="1">
        <v>42756</v>
      </c>
      <c r="D216">
        <v>2411</v>
      </c>
      <c r="E216" t="s">
        <v>23</v>
      </c>
      <c r="F216" t="s">
        <v>31</v>
      </c>
      <c r="G216" t="s">
        <v>37</v>
      </c>
      <c r="H216">
        <v>60.16</v>
      </c>
      <c r="I216">
        <v>48.48</v>
      </c>
      <c r="J216">
        <v>0.54379999999999995</v>
      </c>
      <c r="K216">
        <v>0.19589999999999999</v>
      </c>
      <c r="L216">
        <v>0.26029999999999998</v>
      </c>
      <c r="M216">
        <v>1.67</v>
      </c>
      <c r="N216">
        <v>0.92</v>
      </c>
      <c r="O216">
        <v>2.4</v>
      </c>
      <c r="P216">
        <v>52</v>
      </c>
      <c r="Q216">
        <v>2</v>
      </c>
      <c r="R216">
        <v>0</v>
      </c>
      <c r="S216">
        <v>1.76</v>
      </c>
      <c r="T216">
        <v>0.56000000000000005</v>
      </c>
      <c r="U216">
        <v>1.3</v>
      </c>
      <c r="V216">
        <v>1.67</v>
      </c>
      <c r="W216">
        <v>2.1</v>
      </c>
      <c r="X216">
        <v>0</v>
      </c>
    </row>
    <row r="217" spans="2:24" hidden="1" x14ac:dyDescent="0.35">
      <c r="B217">
        <v>2016</v>
      </c>
      <c r="C217" s="1">
        <v>42756</v>
      </c>
      <c r="D217">
        <v>2411</v>
      </c>
      <c r="E217" t="s">
        <v>23</v>
      </c>
      <c r="F217" t="s">
        <v>30</v>
      </c>
      <c r="G217" t="s">
        <v>28</v>
      </c>
      <c r="H217">
        <v>56.32</v>
      </c>
      <c r="I217">
        <v>70.55</v>
      </c>
      <c r="J217">
        <v>0.30259999999999998</v>
      </c>
      <c r="K217">
        <v>0.43049999999999999</v>
      </c>
      <c r="L217">
        <v>0.26690000000000003</v>
      </c>
      <c r="M217">
        <v>1.27</v>
      </c>
      <c r="N217">
        <v>1.59</v>
      </c>
      <c r="O217">
        <v>49.2</v>
      </c>
      <c r="P217">
        <v>2.2999999999999998</v>
      </c>
      <c r="Q217">
        <v>0</v>
      </c>
      <c r="R217">
        <v>1</v>
      </c>
      <c r="S217">
        <v>0.47</v>
      </c>
      <c r="T217">
        <v>1.17</v>
      </c>
      <c r="U217">
        <v>1.73</v>
      </c>
      <c r="V217">
        <v>1.88</v>
      </c>
      <c r="W217">
        <v>0</v>
      </c>
      <c r="X217">
        <v>1.05</v>
      </c>
    </row>
    <row r="218" spans="2:24" hidden="1" x14ac:dyDescent="0.35">
      <c r="B218">
        <v>2016</v>
      </c>
      <c r="C218" s="1">
        <v>42756</v>
      </c>
      <c r="D218">
        <v>2411</v>
      </c>
      <c r="E218" t="s">
        <v>23</v>
      </c>
      <c r="F218" t="s">
        <v>26</v>
      </c>
      <c r="G218" t="s">
        <v>43</v>
      </c>
      <c r="H218">
        <v>54.02</v>
      </c>
      <c r="I218">
        <v>62.55</v>
      </c>
      <c r="J218">
        <v>0.40060000000000001</v>
      </c>
      <c r="K218">
        <v>0.2974</v>
      </c>
      <c r="L218">
        <v>0.30199999999999999</v>
      </c>
      <c r="M218">
        <v>1.1599999999999999</v>
      </c>
      <c r="N218">
        <v>1.04</v>
      </c>
      <c r="O218">
        <v>36.4</v>
      </c>
      <c r="P218">
        <v>7.1</v>
      </c>
      <c r="Q218">
        <v>1</v>
      </c>
      <c r="R218">
        <v>3</v>
      </c>
      <c r="S218">
        <v>1.44</v>
      </c>
      <c r="T218">
        <v>2.78</v>
      </c>
      <c r="U218">
        <v>2.11</v>
      </c>
      <c r="V218">
        <v>1.69</v>
      </c>
      <c r="W218">
        <v>1.05</v>
      </c>
      <c r="X218">
        <v>2.63</v>
      </c>
    </row>
    <row r="219" spans="2:24" hidden="1" x14ac:dyDescent="0.35">
      <c r="B219">
        <v>2016</v>
      </c>
      <c r="C219" s="1">
        <v>42756</v>
      </c>
      <c r="D219">
        <v>2411</v>
      </c>
      <c r="E219" t="s">
        <v>23</v>
      </c>
      <c r="F219" t="s">
        <v>36</v>
      </c>
      <c r="G219" t="s">
        <v>29</v>
      </c>
      <c r="H219">
        <v>83.25</v>
      </c>
      <c r="I219">
        <v>82.3</v>
      </c>
      <c r="J219">
        <v>0.47060000000000002</v>
      </c>
      <c r="K219">
        <v>0.26690000000000003</v>
      </c>
      <c r="L219">
        <v>0.26250000000000001</v>
      </c>
      <c r="M219">
        <v>1.6</v>
      </c>
      <c r="N219">
        <v>1.2</v>
      </c>
      <c r="O219">
        <v>88.9</v>
      </c>
      <c r="P219">
        <v>77.3</v>
      </c>
      <c r="Q219">
        <v>2</v>
      </c>
      <c r="R219">
        <v>2</v>
      </c>
      <c r="S219">
        <v>3.02</v>
      </c>
      <c r="T219">
        <v>1.1599999999999999</v>
      </c>
      <c r="U219">
        <v>2.42</v>
      </c>
      <c r="V219">
        <v>0.59</v>
      </c>
      <c r="W219">
        <v>2.1</v>
      </c>
      <c r="X219">
        <v>2.1</v>
      </c>
    </row>
    <row r="220" spans="2:24" hidden="1" x14ac:dyDescent="0.35">
      <c r="B220">
        <v>2016</v>
      </c>
      <c r="C220" s="1">
        <v>42757</v>
      </c>
      <c r="D220">
        <v>2411</v>
      </c>
      <c r="E220" t="s">
        <v>23</v>
      </c>
      <c r="F220" t="s">
        <v>34</v>
      </c>
      <c r="G220" t="s">
        <v>25</v>
      </c>
      <c r="H220">
        <v>65.349999999999994</v>
      </c>
      <c r="I220">
        <v>60.74</v>
      </c>
      <c r="J220">
        <v>0.50639999999999996</v>
      </c>
      <c r="K220">
        <v>0.215</v>
      </c>
      <c r="L220">
        <v>0.2787</v>
      </c>
      <c r="M220">
        <v>1.46</v>
      </c>
      <c r="N220">
        <v>0.9</v>
      </c>
      <c r="O220">
        <v>6.1</v>
      </c>
      <c r="P220">
        <v>19.3</v>
      </c>
      <c r="Q220">
        <v>3</v>
      </c>
      <c r="R220">
        <v>0</v>
      </c>
      <c r="S220">
        <v>2.4900000000000002</v>
      </c>
      <c r="T220">
        <v>0.92</v>
      </c>
      <c r="U220">
        <v>1.3</v>
      </c>
      <c r="V220">
        <v>0.56000000000000005</v>
      </c>
      <c r="W220">
        <v>2.75</v>
      </c>
      <c r="X220">
        <v>0</v>
      </c>
    </row>
    <row r="221" spans="2:24" hidden="1" x14ac:dyDescent="0.35">
      <c r="B221">
        <v>2016</v>
      </c>
      <c r="C221" s="1">
        <v>42757</v>
      </c>
      <c r="D221">
        <v>2411</v>
      </c>
      <c r="E221" t="s">
        <v>23</v>
      </c>
      <c r="F221" t="s">
        <v>40</v>
      </c>
      <c r="G221" t="s">
        <v>32</v>
      </c>
      <c r="H221">
        <v>84.75</v>
      </c>
      <c r="I221">
        <v>58.83</v>
      </c>
      <c r="J221">
        <v>0.77790000000000004</v>
      </c>
      <c r="K221">
        <v>7.0199999999999999E-2</v>
      </c>
      <c r="L221">
        <v>0.15190000000000001</v>
      </c>
      <c r="M221">
        <v>2.54</v>
      </c>
      <c r="N221">
        <v>0.59</v>
      </c>
      <c r="O221">
        <v>79.900000000000006</v>
      </c>
      <c r="P221">
        <v>4.8</v>
      </c>
      <c r="Q221">
        <v>2</v>
      </c>
      <c r="R221">
        <v>1</v>
      </c>
      <c r="S221">
        <v>2.15</v>
      </c>
      <c r="T221">
        <v>1.55</v>
      </c>
      <c r="U221">
        <v>4.12</v>
      </c>
      <c r="V221">
        <v>1.54</v>
      </c>
      <c r="W221">
        <v>2.1</v>
      </c>
      <c r="X221">
        <v>1.05</v>
      </c>
    </row>
    <row r="222" spans="2:24" hidden="1" x14ac:dyDescent="0.35">
      <c r="B222">
        <v>2016</v>
      </c>
      <c r="C222" s="1">
        <v>42757</v>
      </c>
      <c r="D222">
        <v>2411</v>
      </c>
      <c r="E222" t="s">
        <v>23</v>
      </c>
      <c r="F222" t="s">
        <v>42</v>
      </c>
      <c r="G222" t="s">
        <v>24</v>
      </c>
      <c r="H222">
        <v>86.28</v>
      </c>
      <c r="I222">
        <v>45.35</v>
      </c>
      <c r="J222">
        <v>0.84360000000000002</v>
      </c>
      <c r="K222">
        <v>3.5000000000000003E-2</v>
      </c>
      <c r="L222">
        <v>0.12139999999999999</v>
      </c>
      <c r="M222">
        <v>2.74</v>
      </c>
      <c r="N222">
        <v>0.25</v>
      </c>
      <c r="O222">
        <v>89</v>
      </c>
      <c r="P222">
        <v>59.2</v>
      </c>
      <c r="Q222">
        <v>2</v>
      </c>
      <c r="R222">
        <v>0</v>
      </c>
      <c r="S222">
        <v>1.41</v>
      </c>
      <c r="T222">
        <v>0.35</v>
      </c>
      <c r="U222">
        <v>1.85</v>
      </c>
      <c r="V222">
        <v>1.07</v>
      </c>
      <c r="W222">
        <v>1.84</v>
      </c>
      <c r="X222">
        <v>0</v>
      </c>
    </row>
    <row r="223" spans="2:24" hidden="1" x14ac:dyDescent="0.35">
      <c r="B223">
        <v>2016</v>
      </c>
      <c r="C223" s="1">
        <v>42766</v>
      </c>
      <c r="D223">
        <v>2411</v>
      </c>
      <c r="E223" t="s">
        <v>23</v>
      </c>
      <c r="F223" t="s">
        <v>37</v>
      </c>
      <c r="G223" t="s">
        <v>29</v>
      </c>
      <c r="H223">
        <v>47.87</v>
      </c>
      <c r="I223">
        <v>82</v>
      </c>
      <c r="J223">
        <v>0.1089</v>
      </c>
      <c r="K223">
        <v>0.70199999999999996</v>
      </c>
      <c r="L223">
        <v>0.18920000000000001</v>
      </c>
      <c r="M223">
        <v>0.91</v>
      </c>
      <c r="N223">
        <v>2.16</v>
      </c>
      <c r="O223">
        <v>49.9</v>
      </c>
      <c r="P223">
        <v>69.7</v>
      </c>
      <c r="Q223">
        <v>0</v>
      </c>
      <c r="R223">
        <v>0</v>
      </c>
      <c r="S223">
        <v>0.33</v>
      </c>
      <c r="T223">
        <v>0.67</v>
      </c>
      <c r="U223">
        <v>0.56000000000000005</v>
      </c>
      <c r="V223">
        <v>1.6</v>
      </c>
      <c r="W223">
        <v>0</v>
      </c>
      <c r="X223">
        <v>0</v>
      </c>
    </row>
    <row r="224" spans="2:24" hidden="1" x14ac:dyDescent="0.35">
      <c r="B224">
        <v>2016</v>
      </c>
      <c r="C224" s="1">
        <v>42766</v>
      </c>
      <c r="D224">
        <v>2411</v>
      </c>
      <c r="E224" t="s">
        <v>23</v>
      </c>
      <c r="F224" t="s">
        <v>33</v>
      </c>
      <c r="G224" t="s">
        <v>34</v>
      </c>
      <c r="H224">
        <v>55.29</v>
      </c>
      <c r="I224">
        <v>67</v>
      </c>
      <c r="J224">
        <v>0.3367</v>
      </c>
      <c r="K224">
        <v>0.38840000000000002</v>
      </c>
      <c r="L224">
        <v>0.27489999999999998</v>
      </c>
      <c r="M224">
        <v>1.31</v>
      </c>
      <c r="N224">
        <v>1.5</v>
      </c>
      <c r="O224">
        <v>55.1</v>
      </c>
      <c r="P224">
        <v>2.1</v>
      </c>
      <c r="Q224">
        <v>2</v>
      </c>
      <c r="R224">
        <v>1</v>
      </c>
      <c r="S224">
        <v>0.88</v>
      </c>
      <c r="T224">
        <v>1</v>
      </c>
      <c r="U224">
        <v>0.7</v>
      </c>
      <c r="V224">
        <v>1.29</v>
      </c>
      <c r="W224">
        <v>2.1</v>
      </c>
      <c r="X224">
        <v>1.05</v>
      </c>
    </row>
    <row r="225" spans="2:24" hidden="1" x14ac:dyDescent="0.35">
      <c r="B225">
        <v>2016</v>
      </c>
      <c r="C225" s="1">
        <v>42766</v>
      </c>
      <c r="D225">
        <v>2411</v>
      </c>
      <c r="E225" t="s">
        <v>23</v>
      </c>
      <c r="F225" t="s">
        <v>40</v>
      </c>
      <c r="G225" t="s">
        <v>35</v>
      </c>
      <c r="H225">
        <v>84.32</v>
      </c>
      <c r="I225">
        <v>56.87</v>
      </c>
      <c r="J225">
        <v>0.79020000000000001</v>
      </c>
      <c r="K225">
        <v>6.7500000000000004E-2</v>
      </c>
      <c r="L225">
        <v>0.1424</v>
      </c>
      <c r="M225">
        <v>2.7</v>
      </c>
      <c r="N225">
        <v>0.62</v>
      </c>
      <c r="O225">
        <v>72.400000000000006</v>
      </c>
      <c r="P225">
        <v>18.100000000000001</v>
      </c>
      <c r="Q225">
        <v>1</v>
      </c>
      <c r="R225">
        <v>2</v>
      </c>
      <c r="S225">
        <v>1.29</v>
      </c>
      <c r="T225">
        <v>0.88</v>
      </c>
      <c r="U225">
        <v>3</v>
      </c>
      <c r="V225">
        <v>1.1599999999999999</v>
      </c>
      <c r="W225">
        <v>1.05</v>
      </c>
      <c r="X225">
        <v>2.1</v>
      </c>
    </row>
    <row r="226" spans="2:24" hidden="1" x14ac:dyDescent="0.35">
      <c r="B226">
        <v>2016</v>
      </c>
      <c r="C226" s="1">
        <v>42766</v>
      </c>
      <c r="D226">
        <v>2411</v>
      </c>
      <c r="E226" t="s">
        <v>23</v>
      </c>
      <c r="F226" t="s">
        <v>32</v>
      </c>
      <c r="G226" t="s">
        <v>25</v>
      </c>
      <c r="H226">
        <v>59.59</v>
      </c>
      <c r="I226">
        <v>58.99</v>
      </c>
      <c r="J226">
        <v>0.46310000000000001</v>
      </c>
      <c r="K226">
        <v>0.26019999999999999</v>
      </c>
      <c r="L226">
        <v>0.2767</v>
      </c>
      <c r="M226">
        <v>1.47</v>
      </c>
      <c r="N226">
        <v>1.0900000000000001</v>
      </c>
      <c r="O226">
        <v>10</v>
      </c>
      <c r="P226">
        <v>26.5</v>
      </c>
      <c r="Q226">
        <v>1</v>
      </c>
      <c r="R226">
        <v>0</v>
      </c>
      <c r="S226">
        <v>1.89</v>
      </c>
      <c r="T226">
        <v>0.84</v>
      </c>
      <c r="U226">
        <v>2.93</v>
      </c>
      <c r="V226">
        <v>0.84</v>
      </c>
      <c r="W226">
        <v>1.05</v>
      </c>
      <c r="X226">
        <v>0</v>
      </c>
    </row>
    <row r="227" spans="2:24" hidden="1" x14ac:dyDescent="0.35">
      <c r="B227">
        <v>2016</v>
      </c>
      <c r="C227" s="1">
        <v>42766</v>
      </c>
      <c r="D227">
        <v>2411</v>
      </c>
      <c r="E227" t="s">
        <v>23</v>
      </c>
      <c r="F227" t="s">
        <v>26</v>
      </c>
      <c r="G227" t="s">
        <v>31</v>
      </c>
      <c r="H227">
        <v>52.68</v>
      </c>
      <c r="I227">
        <v>60.74</v>
      </c>
      <c r="J227">
        <v>0.40139999999999998</v>
      </c>
      <c r="K227">
        <v>0.28789999999999999</v>
      </c>
      <c r="L227">
        <v>0.31059999999999999</v>
      </c>
      <c r="M227">
        <v>1.1000000000000001</v>
      </c>
      <c r="N227">
        <v>0.95</v>
      </c>
      <c r="O227">
        <v>50.7</v>
      </c>
      <c r="P227">
        <v>0.4</v>
      </c>
      <c r="Q227">
        <v>1</v>
      </c>
      <c r="R227">
        <v>1</v>
      </c>
      <c r="S227">
        <v>1.39</v>
      </c>
      <c r="T227">
        <v>1.46</v>
      </c>
      <c r="U227">
        <v>1.1399999999999999</v>
      </c>
      <c r="V227">
        <v>1.24</v>
      </c>
      <c r="W227">
        <v>1.05</v>
      </c>
      <c r="X227">
        <v>1.05</v>
      </c>
    </row>
    <row r="228" spans="2:24" hidden="1" x14ac:dyDescent="0.35">
      <c r="B228">
        <v>2016</v>
      </c>
      <c r="C228" s="1">
        <v>42766</v>
      </c>
      <c r="D228">
        <v>2411</v>
      </c>
      <c r="E228" t="s">
        <v>23</v>
      </c>
      <c r="F228" t="s">
        <v>38</v>
      </c>
      <c r="G228" t="s">
        <v>30</v>
      </c>
      <c r="H228">
        <v>61.11</v>
      </c>
      <c r="I228">
        <v>55.67</v>
      </c>
      <c r="J228">
        <v>0.52239999999999998</v>
      </c>
      <c r="K228">
        <v>0.23150000000000001</v>
      </c>
      <c r="L228">
        <v>0.24610000000000001</v>
      </c>
      <c r="M228">
        <v>1.84</v>
      </c>
      <c r="N228">
        <v>1.23</v>
      </c>
      <c r="O228">
        <v>9.4</v>
      </c>
      <c r="P228">
        <v>54</v>
      </c>
      <c r="Q228">
        <v>0</v>
      </c>
      <c r="R228">
        <v>2</v>
      </c>
      <c r="S228">
        <v>0.33</v>
      </c>
      <c r="T228">
        <v>1.45</v>
      </c>
      <c r="U228">
        <v>0.78</v>
      </c>
      <c r="V228">
        <v>1.4</v>
      </c>
      <c r="W228">
        <v>0</v>
      </c>
      <c r="X228">
        <v>1.58</v>
      </c>
    </row>
    <row r="229" spans="2:24" hidden="1" x14ac:dyDescent="0.35">
      <c r="B229">
        <v>2016</v>
      </c>
      <c r="C229" s="1">
        <v>42766</v>
      </c>
      <c r="D229">
        <v>2411</v>
      </c>
      <c r="E229" t="s">
        <v>23</v>
      </c>
      <c r="F229" t="s">
        <v>41</v>
      </c>
      <c r="G229" t="s">
        <v>42</v>
      </c>
      <c r="H229">
        <v>81.569999999999993</v>
      </c>
      <c r="I229">
        <v>85.85</v>
      </c>
      <c r="J229">
        <v>0.36370000000000002</v>
      </c>
      <c r="K229">
        <v>0.37219999999999998</v>
      </c>
      <c r="L229">
        <v>0.26400000000000001</v>
      </c>
      <c r="M229">
        <v>1.46</v>
      </c>
      <c r="N229">
        <v>1.46</v>
      </c>
      <c r="O229">
        <v>72</v>
      </c>
      <c r="P229">
        <v>92.1</v>
      </c>
      <c r="Q229">
        <v>1</v>
      </c>
      <c r="R229">
        <v>1</v>
      </c>
      <c r="S229">
        <v>1.67</v>
      </c>
      <c r="T229">
        <v>1.01</v>
      </c>
      <c r="U229">
        <v>1.43</v>
      </c>
      <c r="V229">
        <v>0.59</v>
      </c>
      <c r="W229">
        <v>1.05</v>
      </c>
      <c r="X229">
        <v>1.05</v>
      </c>
    </row>
    <row r="230" spans="2:24" hidden="1" x14ac:dyDescent="0.35">
      <c r="B230">
        <v>2016</v>
      </c>
      <c r="C230" s="1">
        <v>42767</v>
      </c>
      <c r="D230">
        <v>2411</v>
      </c>
      <c r="E230" t="s">
        <v>23</v>
      </c>
      <c r="F230" t="s">
        <v>43</v>
      </c>
      <c r="G230" t="s">
        <v>36</v>
      </c>
      <c r="H230">
        <v>64</v>
      </c>
      <c r="I230">
        <v>83.71</v>
      </c>
      <c r="J230">
        <v>0.17860000000000001</v>
      </c>
      <c r="K230">
        <v>0.6038</v>
      </c>
      <c r="L230">
        <v>0.21759999999999999</v>
      </c>
      <c r="M230">
        <v>1.21</v>
      </c>
      <c r="N230">
        <v>1.99</v>
      </c>
      <c r="O230">
        <v>1.5</v>
      </c>
      <c r="P230">
        <v>73.3</v>
      </c>
      <c r="Q230">
        <v>0</v>
      </c>
      <c r="R230">
        <v>4</v>
      </c>
      <c r="S230">
        <v>0.48</v>
      </c>
      <c r="T230">
        <v>2.71</v>
      </c>
      <c r="U230">
        <v>0.71</v>
      </c>
      <c r="V230">
        <v>1.67</v>
      </c>
      <c r="W230">
        <v>0</v>
      </c>
      <c r="X230">
        <v>4.2</v>
      </c>
    </row>
    <row r="231" spans="2:24" hidden="1" x14ac:dyDescent="0.35">
      <c r="B231">
        <v>2016</v>
      </c>
      <c r="C231" s="1">
        <v>42767</v>
      </c>
      <c r="D231">
        <v>2411</v>
      </c>
      <c r="E231" t="s">
        <v>23</v>
      </c>
      <c r="F231" t="s">
        <v>27</v>
      </c>
      <c r="G231" t="s">
        <v>28</v>
      </c>
      <c r="H231">
        <v>63.01</v>
      </c>
      <c r="I231">
        <v>71.06</v>
      </c>
      <c r="J231">
        <v>0.36059999999999998</v>
      </c>
      <c r="K231">
        <v>0.35730000000000001</v>
      </c>
      <c r="L231">
        <v>0.28210000000000002</v>
      </c>
      <c r="M231">
        <v>1.29</v>
      </c>
      <c r="N231">
        <v>1.31</v>
      </c>
      <c r="O231">
        <v>2.6</v>
      </c>
      <c r="P231">
        <v>5.9</v>
      </c>
      <c r="Q231">
        <v>1</v>
      </c>
      <c r="R231">
        <v>1</v>
      </c>
      <c r="S231">
        <v>1.68</v>
      </c>
      <c r="T231">
        <v>0.98</v>
      </c>
      <c r="U231">
        <v>1.69</v>
      </c>
      <c r="V231">
        <v>0.86</v>
      </c>
      <c r="W231">
        <v>1.05</v>
      </c>
      <c r="X231">
        <v>1.05</v>
      </c>
    </row>
    <row r="232" spans="2:24" hidden="1" x14ac:dyDescent="0.35">
      <c r="B232">
        <v>2016</v>
      </c>
      <c r="C232" s="1">
        <v>42767</v>
      </c>
      <c r="D232">
        <v>2411</v>
      </c>
      <c r="E232" t="s">
        <v>23</v>
      </c>
      <c r="F232" t="s">
        <v>39</v>
      </c>
      <c r="G232" t="s">
        <v>24</v>
      </c>
      <c r="H232">
        <v>81.87</v>
      </c>
      <c r="I232">
        <v>45.97</v>
      </c>
      <c r="J232">
        <v>0.79169999999999996</v>
      </c>
      <c r="K232">
        <v>5.1799999999999999E-2</v>
      </c>
      <c r="L232">
        <v>0.1565</v>
      </c>
      <c r="M232">
        <v>2.4300000000000002</v>
      </c>
      <c r="N232">
        <v>0.31</v>
      </c>
      <c r="O232">
        <v>74.099999999999994</v>
      </c>
      <c r="P232">
        <v>51.4</v>
      </c>
      <c r="Q232">
        <v>0</v>
      </c>
      <c r="R232">
        <v>0</v>
      </c>
      <c r="S232">
        <v>1.64</v>
      </c>
      <c r="T232">
        <v>0.56999999999999995</v>
      </c>
      <c r="U232">
        <v>2.68</v>
      </c>
      <c r="V232">
        <v>0.85</v>
      </c>
      <c r="W232">
        <v>0</v>
      </c>
      <c r="X232">
        <v>0</v>
      </c>
    </row>
    <row r="233" spans="2:24" hidden="1" x14ac:dyDescent="0.35">
      <c r="B233">
        <v>2016</v>
      </c>
      <c r="C233" s="1">
        <v>42770</v>
      </c>
      <c r="D233">
        <v>2411</v>
      </c>
      <c r="E233" t="s">
        <v>23</v>
      </c>
      <c r="F233" t="s">
        <v>42</v>
      </c>
      <c r="G233" t="s">
        <v>40</v>
      </c>
      <c r="H233">
        <v>85.58</v>
      </c>
      <c r="I233">
        <v>83.05</v>
      </c>
      <c r="J233">
        <v>0.52590000000000003</v>
      </c>
      <c r="K233">
        <v>0.2273</v>
      </c>
      <c r="L233">
        <v>0.24679999999999999</v>
      </c>
      <c r="M233">
        <v>1.76</v>
      </c>
      <c r="N233">
        <v>1.1599999999999999</v>
      </c>
      <c r="O233">
        <v>91.9</v>
      </c>
      <c r="P233">
        <v>69.3</v>
      </c>
      <c r="Q233">
        <v>3</v>
      </c>
      <c r="R233">
        <v>1</v>
      </c>
      <c r="S233">
        <v>1.92</v>
      </c>
      <c r="T233">
        <v>1.04</v>
      </c>
      <c r="U233">
        <v>1.7</v>
      </c>
      <c r="V233">
        <v>1.85</v>
      </c>
      <c r="W233">
        <v>2.76</v>
      </c>
      <c r="X233">
        <v>1.05</v>
      </c>
    </row>
    <row r="234" spans="2:24" hidden="1" x14ac:dyDescent="0.35">
      <c r="B234">
        <v>2016</v>
      </c>
      <c r="C234" s="1">
        <v>42770</v>
      </c>
      <c r="D234">
        <v>2411</v>
      </c>
      <c r="E234" t="s">
        <v>23</v>
      </c>
      <c r="F234" t="s">
        <v>24</v>
      </c>
      <c r="G234" t="s">
        <v>41</v>
      </c>
      <c r="H234">
        <v>46.87</v>
      </c>
      <c r="I234">
        <v>81.75</v>
      </c>
      <c r="J234">
        <v>0.1021</v>
      </c>
      <c r="K234">
        <v>0.7198</v>
      </c>
      <c r="L234">
        <v>0.17810000000000001</v>
      </c>
      <c r="M234">
        <v>0.93</v>
      </c>
      <c r="N234">
        <v>2.2000000000000002</v>
      </c>
      <c r="O234">
        <v>50.9</v>
      </c>
      <c r="P234">
        <v>70.2</v>
      </c>
      <c r="Q234">
        <v>2</v>
      </c>
      <c r="R234">
        <v>0</v>
      </c>
      <c r="S234">
        <v>1.67</v>
      </c>
      <c r="T234">
        <v>1.71</v>
      </c>
      <c r="U234">
        <v>0.61</v>
      </c>
      <c r="V234">
        <v>2.1800000000000002</v>
      </c>
      <c r="W234">
        <v>1.74</v>
      </c>
      <c r="X234">
        <v>0</v>
      </c>
    </row>
    <row r="235" spans="2:24" hidden="1" x14ac:dyDescent="0.35">
      <c r="B235">
        <v>2016</v>
      </c>
      <c r="C235" s="1">
        <v>42770</v>
      </c>
      <c r="D235">
        <v>2411</v>
      </c>
      <c r="E235" t="s">
        <v>23</v>
      </c>
      <c r="F235" t="s">
        <v>30</v>
      </c>
      <c r="G235" t="s">
        <v>37</v>
      </c>
      <c r="H235">
        <v>57.63</v>
      </c>
      <c r="I235">
        <v>47.94</v>
      </c>
      <c r="J235">
        <v>0.52690000000000003</v>
      </c>
      <c r="K235">
        <v>0.21129999999999999</v>
      </c>
      <c r="L235">
        <v>0.26179999999999998</v>
      </c>
      <c r="M235">
        <v>1.65</v>
      </c>
      <c r="N235">
        <v>0.98</v>
      </c>
      <c r="O235">
        <v>63.8</v>
      </c>
      <c r="P235">
        <v>50.4</v>
      </c>
      <c r="Q235">
        <v>0</v>
      </c>
      <c r="R235">
        <v>4</v>
      </c>
      <c r="S235">
        <v>2.0699999999999998</v>
      </c>
      <c r="T235">
        <v>0.82</v>
      </c>
      <c r="U235">
        <v>2.2599999999999998</v>
      </c>
      <c r="V235">
        <v>0.42</v>
      </c>
      <c r="W235">
        <v>0</v>
      </c>
      <c r="X235">
        <v>4.2</v>
      </c>
    </row>
    <row r="236" spans="2:24" hidden="1" x14ac:dyDescent="0.35">
      <c r="B236">
        <v>2016</v>
      </c>
      <c r="C236" s="1">
        <v>42770</v>
      </c>
      <c r="D236">
        <v>2411</v>
      </c>
      <c r="E236" t="s">
        <v>23</v>
      </c>
      <c r="F236" t="s">
        <v>28</v>
      </c>
      <c r="G236" t="s">
        <v>38</v>
      </c>
      <c r="H236">
        <v>70.650000000000006</v>
      </c>
      <c r="I236">
        <v>59.13</v>
      </c>
      <c r="J236">
        <v>0.59119999999999995</v>
      </c>
      <c r="K236">
        <v>0.1739</v>
      </c>
      <c r="L236">
        <v>0.2349</v>
      </c>
      <c r="M236">
        <v>1.91</v>
      </c>
      <c r="N236">
        <v>0.99</v>
      </c>
      <c r="O236">
        <v>5.2</v>
      </c>
      <c r="P236">
        <v>14.9</v>
      </c>
      <c r="Q236">
        <v>6</v>
      </c>
      <c r="R236">
        <v>3</v>
      </c>
      <c r="S236">
        <v>2.65</v>
      </c>
      <c r="T236">
        <v>2.5499999999999998</v>
      </c>
      <c r="U236">
        <v>1.87</v>
      </c>
      <c r="V236">
        <v>1.64</v>
      </c>
      <c r="W236">
        <v>5.09</v>
      </c>
      <c r="X236">
        <v>3.15</v>
      </c>
    </row>
    <row r="237" spans="2:24" hidden="1" x14ac:dyDescent="0.35">
      <c r="B237">
        <v>2016</v>
      </c>
      <c r="C237" s="1">
        <v>42770</v>
      </c>
      <c r="D237">
        <v>2411</v>
      </c>
      <c r="E237" t="s">
        <v>23</v>
      </c>
      <c r="F237" t="s">
        <v>34</v>
      </c>
      <c r="G237" t="s">
        <v>43</v>
      </c>
      <c r="H237">
        <v>66.489999999999995</v>
      </c>
      <c r="I237">
        <v>61.89</v>
      </c>
      <c r="J237">
        <v>0.51160000000000005</v>
      </c>
      <c r="K237">
        <v>0.2203</v>
      </c>
      <c r="L237">
        <v>0.2681</v>
      </c>
      <c r="M237">
        <v>1.57</v>
      </c>
      <c r="N237">
        <v>1</v>
      </c>
      <c r="O237">
        <v>6</v>
      </c>
      <c r="P237">
        <v>4.2</v>
      </c>
      <c r="Q237">
        <v>1</v>
      </c>
      <c r="R237">
        <v>3</v>
      </c>
      <c r="S237">
        <v>1.43</v>
      </c>
      <c r="T237">
        <v>0.66</v>
      </c>
      <c r="U237">
        <v>1.59</v>
      </c>
      <c r="V237">
        <v>0.37</v>
      </c>
      <c r="W237">
        <v>1.05</v>
      </c>
      <c r="X237">
        <v>3.15</v>
      </c>
    </row>
    <row r="238" spans="2:24" hidden="1" x14ac:dyDescent="0.35">
      <c r="B238">
        <v>2016</v>
      </c>
      <c r="C238" s="1">
        <v>42770</v>
      </c>
      <c r="D238">
        <v>2411</v>
      </c>
      <c r="E238" t="s">
        <v>23</v>
      </c>
      <c r="F238" t="s">
        <v>35</v>
      </c>
      <c r="G238" t="s">
        <v>32</v>
      </c>
      <c r="H238">
        <v>58.77</v>
      </c>
      <c r="I238">
        <v>60.65</v>
      </c>
      <c r="J238">
        <v>0.43759999999999999</v>
      </c>
      <c r="K238">
        <v>0.28399999999999997</v>
      </c>
      <c r="L238">
        <v>0.27850000000000003</v>
      </c>
      <c r="M238">
        <v>1.43</v>
      </c>
      <c r="N238">
        <v>1.1599999999999999</v>
      </c>
      <c r="O238">
        <v>11.3</v>
      </c>
      <c r="P238">
        <v>4.5999999999999996</v>
      </c>
      <c r="Q238">
        <v>2</v>
      </c>
      <c r="R238">
        <v>1</v>
      </c>
      <c r="S238">
        <v>1.46</v>
      </c>
      <c r="T238">
        <v>1.37</v>
      </c>
      <c r="U238">
        <v>1.34</v>
      </c>
      <c r="V238">
        <v>0.75</v>
      </c>
      <c r="W238">
        <v>2.1</v>
      </c>
      <c r="X238">
        <v>1.05</v>
      </c>
    </row>
    <row r="239" spans="2:24" hidden="1" x14ac:dyDescent="0.35">
      <c r="B239">
        <v>2016</v>
      </c>
      <c r="C239" s="1">
        <v>42770</v>
      </c>
      <c r="D239">
        <v>2411</v>
      </c>
      <c r="E239" t="s">
        <v>23</v>
      </c>
      <c r="F239" t="s">
        <v>31</v>
      </c>
      <c r="G239" t="s">
        <v>27</v>
      </c>
      <c r="H239">
        <v>60.96</v>
      </c>
      <c r="I239">
        <v>63.43</v>
      </c>
      <c r="J239">
        <v>0.43009999999999998</v>
      </c>
      <c r="K239">
        <v>0.28470000000000001</v>
      </c>
      <c r="L239">
        <v>0.2853</v>
      </c>
      <c r="M239">
        <v>1.36</v>
      </c>
      <c r="N239">
        <v>1.1100000000000001</v>
      </c>
      <c r="O239">
        <v>0.7</v>
      </c>
      <c r="P239">
        <v>3.1</v>
      </c>
      <c r="Q239">
        <v>1</v>
      </c>
      <c r="R239">
        <v>0</v>
      </c>
      <c r="S239">
        <v>1.81</v>
      </c>
      <c r="T239">
        <v>1.27</v>
      </c>
      <c r="U239">
        <v>1.55</v>
      </c>
      <c r="V239">
        <v>1.67</v>
      </c>
      <c r="W239">
        <v>1.05</v>
      </c>
      <c r="X239">
        <v>0</v>
      </c>
    </row>
    <row r="240" spans="2:24" hidden="1" x14ac:dyDescent="0.35">
      <c r="B240">
        <v>2016</v>
      </c>
      <c r="C240" s="1">
        <v>42770</v>
      </c>
      <c r="D240">
        <v>2411</v>
      </c>
      <c r="E240" t="s">
        <v>23</v>
      </c>
      <c r="F240" t="s">
        <v>29</v>
      </c>
      <c r="G240" t="s">
        <v>26</v>
      </c>
      <c r="H240">
        <v>81.78</v>
      </c>
      <c r="I240">
        <v>52.47</v>
      </c>
      <c r="J240">
        <v>0.73660000000000003</v>
      </c>
      <c r="K240">
        <v>6.9000000000000006E-2</v>
      </c>
      <c r="L240">
        <v>0.1943</v>
      </c>
      <c r="M240">
        <v>2.04</v>
      </c>
      <c r="N240">
        <v>0.32</v>
      </c>
      <c r="O240">
        <v>73.599999999999994</v>
      </c>
      <c r="P240">
        <v>42.5</v>
      </c>
      <c r="Q240">
        <v>1</v>
      </c>
      <c r="R240">
        <v>0</v>
      </c>
      <c r="S240">
        <v>2.2400000000000002</v>
      </c>
      <c r="T240">
        <v>0.68</v>
      </c>
      <c r="U240">
        <v>2.19</v>
      </c>
      <c r="V240">
        <v>0.89</v>
      </c>
      <c r="W240">
        <v>1.05</v>
      </c>
      <c r="X240">
        <v>0</v>
      </c>
    </row>
    <row r="241" spans="2:24" hidden="1" x14ac:dyDescent="0.35">
      <c r="B241">
        <v>2016</v>
      </c>
      <c r="C241" s="1">
        <v>42771</v>
      </c>
      <c r="D241">
        <v>2411</v>
      </c>
      <c r="E241" t="s">
        <v>23</v>
      </c>
      <c r="F241" t="s">
        <v>36</v>
      </c>
      <c r="G241" t="s">
        <v>33</v>
      </c>
      <c r="H241">
        <v>85.09</v>
      </c>
      <c r="I241">
        <v>55.86</v>
      </c>
      <c r="J241">
        <v>0.80520000000000003</v>
      </c>
      <c r="K241">
        <v>6.1800000000000001E-2</v>
      </c>
      <c r="L241">
        <v>0.1331</v>
      </c>
      <c r="M241">
        <v>2.9</v>
      </c>
      <c r="N241">
        <v>0.63</v>
      </c>
      <c r="O241">
        <v>69</v>
      </c>
      <c r="P241">
        <v>39.6</v>
      </c>
      <c r="Q241">
        <v>2</v>
      </c>
      <c r="R241">
        <v>1</v>
      </c>
      <c r="S241">
        <v>3.05</v>
      </c>
      <c r="T241">
        <v>0.19</v>
      </c>
      <c r="U241">
        <v>2.84</v>
      </c>
      <c r="V241">
        <v>0.25</v>
      </c>
      <c r="W241">
        <v>2.1</v>
      </c>
      <c r="X241">
        <v>1.05</v>
      </c>
    </row>
    <row r="242" spans="2:24" hidden="1" x14ac:dyDescent="0.35">
      <c r="B242">
        <v>2016</v>
      </c>
      <c r="C242" s="1">
        <v>42771</v>
      </c>
      <c r="D242">
        <v>2411</v>
      </c>
      <c r="E242" t="s">
        <v>23</v>
      </c>
      <c r="F242" t="s">
        <v>25</v>
      </c>
      <c r="G242" t="s">
        <v>39</v>
      </c>
      <c r="H242">
        <v>57.91</v>
      </c>
      <c r="I242">
        <v>81.17</v>
      </c>
      <c r="J242">
        <v>0.17829999999999999</v>
      </c>
      <c r="K242">
        <v>0.57089999999999996</v>
      </c>
      <c r="L242">
        <v>0.25080000000000002</v>
      </c>
      <c r="M242">
        <v>0.91</v>
      </c>
      <c r="N242">
        <v>1.67</v>
      </c>
      <c r="O242">
        <v>39.1</v>
      </c>
      <c r="P242">
        <v>56.6</v>
      </c>
      <c r="Q242">
        <v>0</v>
      </c>
      <c r="R242">
        <v>3</v>
      </c>
      <c r="S242">
        <v>0.62</v>
      </c>
      <c r="T242">
        <v>2.0699999999999998</v>
      </c>
      <c r="U242">
        <v>1.05</v>
      </c>
      <c r="V242">
        <v>1.85</v>
      </c>
      <c r="W242">
        <v>0</v>
      </c>
      <c r="X242">
        <v>3.15</v>
      </c>
    </row>
    <row r="243" spans="2:24" hidden="1" x14ac:dyDescent="0.35">
      <c r="B243">
        <v>2016</v>
      </c>
      <c r="C243" s="1">
        <v>42777</v>
      </c>
      <c r="D243">
        <v>2411</v>
      </c>
      <c r="E243" t="s">
        <v>23</v>
      </c>
      <c r="F243" t="s">
        <v>40</v>
      </c>
      <c r="G243" t="s">
        <v>24</v>
      </c>
      <c r="H243">
        <v>82.75</v>
      </c>
      <c r="I243">
        <v>48.7</v>
      </c>
      <c r="J243">
        <v>0.80279999999999996</v>
      </c>
      <c r="K243">
        <v>5.9700000000000003E-2</v>
      </c>
      <c r="L243">
        <v>0.13750000000000001</v>
      </c>
      <c r="M243">
        <v>2.72</v>
      </c>
      <c r="N243">
        <v>0.52</v>
      </c>
      <c r="O243">
        <v>81</v>
      </c>
      <c r="P243">
        <v>56.9</v>
      </c>
      <c r="Q243">
        <v>2</v>
      </c>
      <c r="R243">
        <v>0</v>
      </c>
      <c r="S243">
        <v>3.81</v>
      </c>
      <c r="T243">
        <v>0.56999999999999995</v>
      </c>
      <c r="U243">
        <v>2.56</v>
      </c>
      <c r="V243">
        <v>1.52</v>
      </c>
      <c r="W243">
        <v>1.58</v>
      </c>
      <c r="X243">
        <v>0</v>
      </c>
    </row>
    <row r="244" spans="2:24" hidden="1" x14ac:dyDescent="0.35">
      <c r="B244">
        <v>2016</v>
      </c>
      <c r="C244" s="1">
        <v>42777</v>
      </c>
      <c r="D244">
        <v>2411</v>
      </c>
      <c r="E244" t="s">
        <v>23</v>
      </c>
      <c r="F244" t="s">
        <v>39</v>
      </c>
      <c r="G244" t="s">
        <v>35</v>
      </c>
      <c r="H244">
        <v>82.26</v>
      </c>
      <c r="I244">
        <v>59.26</v>
      </c>
      <c r="J244">
        <v>0.73070000000000002</v>
      </c>
      <c r="K244">
        <v>8.0399999999999999E-2</v>
      </c>
      <c r="L244">
        <v>0.189</v>
      </c>
      <c r="M244">
        <v>2.1800000000000002</v>
      </c>
      <c r="N244">
        <v>0.49</v>
      </c>
      <c r="O244">
        <v>70.2</v>
      </c>
      <c r="P244">
        <v>3.8</v>
      </c>
      <c r="Q244">
        <v>2</v>
      </c>
      <c r="R244">
        <v>0</v>
      </c>
      <c r="S244">
        <v>3.53</v>
      </c>
      <c r="T244">
        <v>0.75</v>
      </c>
      <c r="U244">
        <v>1.98</v>
      </c>
      <c r="V244">
        <v>0.78</v>
      </c>
      <c r="W244">
        <v>2.1</v>
      </c>
      <c r="X244">
        <v>0</v>
      </c>
    </row>
    <row r="245" spans="2:24" hidden="1" x14ac:dyDescent="0.35">
      <c r="B245">
        <v>2016</v>
      </c>
      <c r="C245" s="1">
        <v>42777</v>
      </c>
      <c r="D245">
        <v>2411</v>
      </c>
      <c r="E245" t="s">
        <v>23</v>
      </c>
      <c r="F245" t="s">
        <v>43</v>
      </c>
      <c r="G245" t="s">
        <v>31</v>
      </c>
      <c r="H245">
        <v>63.19</v>
      </c>
      <c r="I245">
        <v>61.38</v>
      </c>
      <c r="J245">
        <v>0.47720000000000001</v>
      </c>
      <c r="K245">
        <v>0.25359999999999999</v>
      </c>
      <c r="L245">
        <v>0.26919999999999999</v>
      </c>
      <c r="M245">
        <v>1.55</v>
      </c>
      <c r="N245">
        <v>1.1200000000000001</v>
      </c>
      <c r="O245">
        <v>1.8</v>
      </c>
      <c r="P245">
        <v>0.4</v>
      </c>
      <c r="Q245">
        <v>2</v>
      </c>
      <c r="R245">
        <v>2</v>
      </c>
      <c r="S245">
        <v>1.59</v>
      </c>
      <c r="T245">
        <v>0.67</v>
      </c>
      <c r="U245">
        <v>1.66</v>
      </c>
      <c r="V245">
        <v>0.93</v>
      </c>
      <c r="W245">
        <v>2.1</v>
      </c>
      <c r="X245">
        <v>2.1</v>
      </c>
    </row>
    <row r="246" spans="2:24" hidden="1" x14ac:dyDescent="0.35">
      <c r="B246">
        <v>2016</v>
      </c>
      <c r="C246" s="1">
        <v>42777</v>
      </c>
      <c r="D246">
        <v>2411</v>
      </c>
      <c r="E246" t="s">
        <v>23</v>
      </c>
      <c r="F246" t="s">
        <v>26</v>
      </c>
      <c r="G246" t="s">
        <v>28</v>
      </c>
      <c r="H246">
        <v>52.7</v>
      </c>
      <c r="I246">
        <v>70.75</v>
      </c>
      <c r="J246">
        <v>0.29630000000000001</v>
      </c>
      <c r="K246">
        <v>0.41210000000000002</v>
      </c>
      <c r="L246">
        <v>0.29149999999999998</v>
      </c>
      <c r="M246">
        <v>1.03</v>
      </c>
      <c r="N246">
        <v>1.31</v>
      </c>
      <c r="O246">
        <v>55.5</v>
      </c>
      <c r="P246">
        <v>6.7</v>
      </c>
      <c r="Q246">
        <v>0</v>
      </c>
      <c r="R246">
        <v>0</v>
      </c>
      <c r="S246">
        <v>0.56999999999999995</v>
      </c>
      <c r="T246">
        <v>0.85</v>
      </c>
      <c r="U246">
        <v>1.36</v>
      </c>
      <c r="V246">
        <v>0.91</v>
      </c>
      <c r="W246">
        <v>0</v>
      </c>
      <c r="X246">
        <v>0</v>
      </c>
    </row>
    <row r="247" spans="2:24" hidden="1" x14ac:dyDescent="0.35">
      <c r="B247">
        <v>2016</v>
      </c>
      <c r="C247" s="1">
        <v>42777</v>
      </c>
      <c r="D247">
        <v>2411</v>
      </c>
      <c r="E247" t="s">
        <v>23</v>
      </c>
      <c r="F247" t="s">
        <v>37</v>
      </c>
      <c r="G247" t="s">
        <v>34</v>
      </c>
      <c r="H247">
        <v>50.23</v>
      </c>
      <c r="I247">
        <v>65.3</v>
      </c>
      <c r="J247">
        <v>0.3261</v>
      </c>
      <c r="K247">
        <v>0.38340000000000002</v>
      </c>
      <c r="L247">
        <v>0.29049999999999998</v>
      </c>
      <c r="M247">
        <v>1.1399999999999999</v>
      </c>
      <c r="N247">
        <v>1.31</v>
      </c>
      <c r="O247">
        <v>54.6</v>
      </c>
      <c r="P247">
        <v>7.8</v>
      </c>
      <c r="Q247">
        <v>0</v>
      </c>
      <c r="R247">
        <v>4</v>
      </c>
      <c r="S247">
        <v>0.2</v>
      </c>
      <c r="T247">
        <v>1.75</v>
      </c>
      <c r="U247">
        <v>1.02</v>
      </c>
      <c r="V247">
        <v>2.1</v>
      </c>
      <c r="W247">
        <v>0</v>
      </c>
      <c r="X247">
        <v>3.2</v>
      </c>
    </row>
    <row r="248" spans="2:24" hidden="1" x14ac:dyDescent="0.35">
      <c r="B248">
        <v>2016</v>
      </c>
      <c r="C248" s="1">
        <v>42777</v>
      </c>
      <c r="D248">
        <v>2411</v>
      </c>
      <c r="E248" t="s">
        <v>23</v>
      </c>
      <c r="F248" t="s">
        <v>27</v>
      </c>
      <c r="G248" t="s">
        <v>30</v>
      </c>
      <c r="H248">
        <v>63</v>
      </c>
      <c r="I248">
        <v>55.33</v>
      </c>
      <c r="J248">
        <v>0.53620000000000001</v>
      </c>
      <c r="K248">
        <v>0.20630000000000001</v>
      </c>
      <c r="L248">
        <v>0.25750000000000001</v>
      </c>
      <c r="M248">
        <v>1.69</v>
      </c>
      <c r="N248">
        <v>0.99</v>
      </c>
      <c r="O248">
        <v>5.7</v>
      </c>
      <c r="P248">
        <v>56.3</v>
      </c>
      <c r="Q248">
        <v>1</v>
      </c>
      <c r="R248">
        <v>0</v>
      </c>
      <c r="S248">
        <v>0.76</v>
      </c>
      <c r="T248">
        <v>0.23</v>
      </c>
      <c r="U248">
        <v>1.23</v>
      </c>
      <c r="V248">
        <v>0.51</v>
      </c>
      <c r="W248">
        <v>1.05</v>
      </c>
      <c r="X248">
        <v>0</v>
      </c>
    </row>
    <row r="249" spans="2:24" hidden="1" x14ac:dyDescent="0.35">
      <c r="B249">
        <v>2016</v>
      </c>
      <c r="C249" s="1">
        <v>42777</v>
      </c>
      <c r="D249">
        <v>2411</v>
      </c>
      <c r="E249" t="s">
        <v>23</v>
      </c>
      <c r="F249" t="s">
        <v>41</v>
      </c>
      <c r="G249" t="s">
        <v>29</v>
      </c>
      <c r="H249">
        <v>80.38</v>
      </c>
      <c r="I249">
        <v>81.58</v>
      </c>
      <c r="J249">
        <v>0.43059999999999998</v>
      </c>
      <c r="K249">
        <v>0.30680000000000002</v>
      </c>
      <c r="L249">
        <v>0.2626</v>
      </c>
      <c r="M249">
        <v>1.57</v>
      </c>
      <c r="N249">
        <v>1.34</v>
      </c>
      <c r="O249">
        <v>96.6</v>
      </c>
      <c r="P249">
        <v>67.7</v>
      </c>
      <c r="Q249">
        <v>2</v>
      </c>
      <c r="R249">
        <v>0</v>
      </c>
      <c r="S249">
        <v>2.78</v>
      </c>
      <c r="T249">
        <v>0.77</v>
      </c>
      <c r="U249">
        <v>1.6</v>
      </c>
      <c r="V249">
        <v>0.62</v>
      </c>
      <c r="W249">
        <v>2.1</v>
      </c>
      <c r="X249">
        <v>0</v>
      </c>
    </row>
    <row r="250" spans="2:24" hidden="1" x14ac:dyDescent="0.35">
      <c r="B250">
        <v>2016</v>
      </c>
      <c r="C250" s="1">
        <v>42778</v>
      </c>
      <c r="D250">
        <v>2411</v>
      </c>
      <c r="E250" t="s">
        <v>23</v>
      </c>
      <c r="F250" t="s">
        <v>32</v>
      </c>
      <c r="G250" t="s">
        <v>42</v>
      </c>
      <c r="H250">
        <v>60.17</v>
      </c>
      <c r="I250">
        <v>85.94</v>
      </c>
      <c r="J250">
        <v>0.12859999999999999</v>
      </c>
      <c r="K250">
        <v>0.65459999999999996</v>
      </c>
      <c r="L250">
        <v>0.2167</v>
      </c>
      <c r="M250">
        <v>0.87</v>
      </c>
      <c r="N250">
        <v>1.84</v>
      </c>
      <c r="O250">
        <v>4.3</v>
      </c>
      <c r="P250">
        <v>57.5</v>
      </c>
      <c r="Q250">
        <v>1</v>
      </c>
      <c r="R250">
        <v>1</v>
      </c>
      <c r="S250">
        <v>0.9</v>
      </c>
      <c r="T250">
        <v>0.89</v>
      </c>
      <c r="U250">
        <v>1.04</v>
      </c>
      <c r="V250">
        <v>2.04</v>
      </c>
      <c r="W250">
        <v>1.05</v>
      </c>
      <c r="X250">
        <v>1.05</v>
      </c>
    </row>
    <row r="251" spans="2:24" hidden="1" x14ac:dyDescent="0.35">
      <c r="B251">
        <v>2016</v>
      </c>
      <c r="C251" s="1">
        <v>42778</v>
      </c>
      <c r="D251">
        <v>2411</v>
      </c>
      <c r="E251" t="s">
        <v>23</v>
      </c>
      <c r="F251" t="s">
        <v>33</v>
      </c>
      <c r="G251" t="s">
        <v>25</v>
      </c>
      <c r="H251">
        <v>55.91</v>
      </c>
      <c r="I251">
        <v>56.34</v>
      </c>
      <c r="J251">
        <v>0.46439999999999998</v>
      </c>
      <c r="K251">
        <v>0.27339999999999998</v>
      </c>
      <c r="L251">
        <v>0.26219999999999999</v>
      </c>
      <c r="M251">
        <v>1.63</v>
      </c>
      <c r="N251">
        <v>1.29</v>
      </c>
      <c r="O251">
        <v>60.2</v>
      </c>
      <c r="P251">
        <v>59</v>
      </c>
      <c r="Q251">
        <v>2</v>
      </c>
      <c r="R251">
        <v>0</v>
      </c>
      <c r="S251">
        <v>0.76</v>
      </c>
      <c r="T251">
        <v>0.81</v>
      </c>
      <c r="U251">
        <v>0.85</v>
      </c>
      <c r="V251">
        <v>1.1499999999999999</v>
      </c>
      <c r="W251">
        <v>2.1</v>
      </c>
      <c r="X251">
        <v>0</v>
      </c>
    </row>
    <row r="252" spans="2:24" hidden="1" x14ac:dyDescent="0.35">
      <c r="B252">
        <v>2016</v>
      </c>
      <c r="C252" s="1">
        <v>42779</v>
      </c>
      <c r="D252">
        <v>2411</v>
      </c>
      <c r="E252" t="s">
        <v>23</v>
      </c>
      <c r="F252" t="s">
        <v>38</v>
      </c>
      <c r="G252" t="s">
        <v>36</v>
      </c>
      <c r="H252">
        <v>59.26</v>
      </c>
      <c r="I252">
        <v>85.03</v>
      </c>
      <c r="J252">
        <v>0.11650000000000001</v>
      </c>
      <c r="K252">
        <v>0.70879999999999999</v>
      </c>
      <c r="L252">
        <v>0.17469999999999999</v>
      </c>
      <c r="M252">
        <v>1.17</v>
      </c>
      <c r="N252">
        <v>2.38</v>
      </c>
      <c r="O252">
        <v>17.899999999999999</v>
      </c>
      <c r="P252">
        <v>65.8</v>
      </c>
      <c r="Q252">
        <v>0</v>
      </c>
      <c r="R252">
        <v>2</v>
      </c>
      <c r="S252">
        <v>0.21</v>
      </c>
      <c r="T252">
        <v>2.8</v>
      </c>
      <c r="U252">
        <v>1.06</v>
      </c>
      <c r="V252">
        <v>1.64</v>
      </c>
      <c r="W252">
        <v>0</v>
      </c>
      <c r="X252">
        <v>2.1</v>
      </c>
    </row>
    <row r="253" spans="2:24" hidden="1" x14ac:dyDescent="0.35">
      <c r="B253">
        <v>2016</v>
      </c>
      <c r="C253" s="1">
        <v>42791</v>
      </c>
      <c r="D253">
        <v>2411</v>
      </c>
      <c r="E253" t="s">
        <v>23</v>
      </c>
      <c r="F253" t="s">
        <v>30</v>
      </c>
      <c r="G253" t="s">
        <v>26</v>
      </c>
      <c r="H253">
        <v>55.03</v>
      </c>
      <c r="I253">
        <v>52.75</v>
      </c>
      <c r="J253">
        <v>0.44369999999999998</v>
      </c>
      <c r="K253">
        <v>0.25430000000000003</v>
      </c>
      <c r="L253">
        <v>0.30199999999999999</v>
      </c>
      <c r="M253">
        <v>1.23</v>
      </c>
      <c r="N253">
        <v>0.89</v>
      </c>
      <c r="O253">
        <v>64.2</v>
      </c>
      <c r="P253">
        <v>63.8</v>
      </c>
      <c r="Q253">
        <v>1</v>
      </c>
      <c r="R253">
        <v>0</v>
      </c>
      <c r="S253">
        <v>0.92</v>
      </c>
      <c r="T253">
        <v>1.02</v>
      </c>
      <c r="U253">
        <v>2.31</v>
      </c>
      <c r="V253">
        <v>1.58</v>
      </c>
      <c r="W253">
        <v>1.05</v>
      </c>
      <c r="X253">
        <v>0</v>
      </c>
    </row>
    <row r="254" spans="2:24" hidden="1" x14ac:dyDescent="0.35">
      <c r="B254">
        <v>2016</v>
      </c>
      <c r="C254" s="1">
        <v>42791</v>
      </c>
      <c r="D254">
        <v>2411</v>
      </c>
      <c r="E254" t="s">
        <v>23</v>
      </c>
      <c r="F254" t="s">
        <v>31</v>
      </c>
      <c r="G254" t="s">
        <v>38</v>
      </c>
      <c r="H254">
        <v>61.41</v>
      </c>
      <c r="I254">
        <v>58.2</v>
      </c>
      <c r="J254">
        <v>0.48849999999999999</v>
      </c>
      <c r="K254">
        <v>0.2515</v>
      </c>
      <c r="L254">
        <v>0.2601</v>
      </c>
      <c r="M254">
        <v>1.69</v>
      </c>
      <c r="N254">
        <v>1.18</v>
      </c>
      <c r="O254">
        <v>0.1</v>
      </c>
      <c r="P254">
        <v>23.3</v>
      </c>
      <c r="Q254">
        <v>2</v>
      </c>
      <c r="R254">
        <v>1</v>
      </c>
      <c r="S254">
        <v>1.26</v>
      </c>
      <c r="T254">
        <v>1.2</v>
      </c>
      <c r="U254">
        <v>0.91</v>
      </c>
      <c r="V254">
        <v>2.0299999999999998</v>
      </c>
      <c r="W254">
        <v>2.1</v>
      </c>
      <c r="X254">
        <v>1.05</v>
      </c>
    </row>
    <row r="255" spans="2:24" hidden="1" x14ac:dyDescent="0.35">
      <c r="B255">
        <v>2016</v>
      </c>
      <c r="C255" s="1">
        <v>42791</v>
      </c>
      <c r="D255">
        <v>2411</v>
      </c>
      <c r="E255" t="s">
        <v>23</v>
      </c>
      <c r="F255" t="s">
        <v>28</v>
      </c>
      <c r="G255" t="s">
        <v>37</v>
      </c>
      <c r="H255">
        <v>70.58</v>
      </c>
      <c r="I255">
        <v>47.53</v>
      </c>
      <c r="J255">
        <v>0.66569999999999996</v>
      </c>
      <c r="K255">
        <v>0.1208</v>
      </c>
      <c r="L255">
        <v>0.2135</v>
      </c>
      <c r="M255">
        <v>2.04</v>
      </c>
      <c r="N255">
        <v>0.75</v>
      </c>
      <c r="O255">
        <v>3</v>
      </c>
      <c r="P255">
        <v>45.3</v>
      </c>
      <c r="Q255">
        <v>2</v>
      </c>
      <c r="R255">
        <v>0</v>
      </c>
      <c r="S255">
        <v>1.94</v>
      </c>
      <c r="T255">
        <v>0.63</v>
      </c>
      <c r="U255">
        <v>1.67</v>
      </c>
      <c r="V255">
        <v>0.98</v>
      </c>
      <c r="W255">
        <v>1.86</v>
      </c>
      <c r="X255">
        <v>0</v>
      </c>
    </row>
    <row r="256" spans="2:24" hidden="1" x14ac:dyDescent="0.35">
      <c r="B256">
        <v>2016</v>
      </c>
      <c r="C256" s="1">
        <v>42791</v>
      </c>
      <c r="D256">
        <v>2411</v>
      </c>
      <c r="E256" t="s">
        <v>23</v>
      </c>
      <c r="F256" t="s">
        <v>42</v>
      </c>
      <c r="G256" t="s">
        <v>33</v>
      </c>
      <c r="H256">
        <v>85.46</v>
      </c>
      <c r="I256">
        <v>56.59</v>
      </c>
      <c r="J256">
        <v>0.79749999999999999</v>
      </c>
      <c r="K256">
        <v>5.7500000000000002E-2</v>
      </c>
      <c r="L256">
        <v>0.14499999999999999</v>
      </c>
      <c r="M256">
        <v>2.64</v>
      </c>
      <c r="N256">
        <v>0.48</v>
      </c>
      <c r="O256">
        <v>96</v>
      </c>
      <c r="P256">
        <v>34.4</v>
      </c>
      <c r="Q256">
        <v>3</v>
      </c>
      <c r="R256">
        <v>1</v>
      </c>
      <c r="S256">
        <v>1.26</v>
      </c>
      <c r="T256">
        <v>0.28000000000000003</v>
      </c>
      <c r="U256">
        <v>3.65</v>
      </c>
      <c r="V256">
        <v>0.52</v>
      </c>
      <c r="W256">
        <v>2.8</v>
      </c>
      <c r="X256">
        <v>1.05</v>
      </c>
    </row>
    <row r="257" spans="2:24" hidden="1" x14ac:dyDescent="0.35">
      <c r="B257">
        <v>2016</v>
      </c>
      <c r="C257" s="1">
        <v>42791</v>
      </c>
      <c r="D257">
        <v>2411</v>
      </c>
      <c r="E257" t="s">
        <v>23</v>
      </c>
      <c r="F257" t="s">
        <v>24</v>
      </c>
      <c r="G257" t="s">
        <v>32</v>
      </c>
      <c r="H257">
        <v>48.63</v>
      </c>
      <c r="I257">
        <v>60.89</v>
      </c>
      <c r="J257">
        <v>0.36</v>
      </c>
      <c r="K257">
        <v>0.3483</v>
      </c>
      <c r="L257">
        <v>0.29170000000000001</v>
      </c>
      <c r="M257">
        <v>1.19</v>
      </c>
      <c r="N257">
        <v>1.23</v>
      </c>
      <c r="O257">
        <v>55.3</v>
      </c>
      <c r="P257">
        <v>4.3</v>
      </c>
      <c r="Q257">
        <v>1</v>
      </c>
      <c r="R257">
        <v>1</v>
      </c>
      <c r="S257">
        <v>1.48</v>
      </c>
      <c r="T257">
        <v>0.78</v>
      </c>
      <c r="U257">
        <v>1.34</v>
      </c>
      <c r="V257">
        <v>0.92</v>
      </c>
      <c r="W257">
        <v>1.05</v>
      </c>
      <c r="X257">
        <v>1.05</v>
      </c>
    </row>
    <row r="258" spans="2:24" hidden="1" x14ac:dyDescent="0.35">
      <c r="B258">
        <v>2016</v>
      </c>
      <c r="C258" s="1">
        <v>42791</v>
      </c>
      <c r="D258">
        <v>2411</v>
      </c>
      <c r="E258" t="s">
        <v>23</v>
      </c>
      <c r="F258" t="s">
        <v>35</v>
      </c>
      <c r="G258" t="s">
        <v>43</v>
      </c>
      <c r="H258">
        <v>58.64</v>
      </c>
      <c r="I258">
        <v>63.18</v>
      </c>
      <c r="J258">
        <v>0.40920000000000001</v>
      </c>
      <c r="K258">
        <v>0.32419999999999999</v>
      </c>
      <c r="L258">
        <v>0.26669999999999999</v>
      </c>
      <c r="M258">
        <v>1.53</v>
      </c>
      <c r="N258">
        <v>1.38</v>
      </c>
      <c r="O258">
        <v>4.5</v>
      </c>
      <c r="P258">
        <v>0.8</v>
      </c>
      <c r="Q258">
        <v>1</v>
      </c>
      <c r="R258">
        <v>1</v>
      </c>
      <c r="S258">
        <v>0.95</v>
      </c>
      <c r="T258">
        <v>1.76</v>
      </c>
      <c r="U258">
        <v>0.66</v>
      </c>
      <c r="V258">
        <v>1.01</v>
      </c>
      <c r="W258">
        <v>1.05</v>
      </c>
      <c r="X258">
        <v>1.05</v>
      </c>
    </row>
    <row r="259" spans="2:24" hidden="1" x14ac:dyDescent="0.35">
      <c r="B259">
        <v>2016</v>
      </c>
      <c r="C259" s="1">
        <v>42792</v>
      </c>
      <c r="D259">
        <v>2411</v>
      </c>
      <c r="E259" t="s">
        <v>23</v>
      </c>
      <c r="F259" t="s">
        <v>29</v>
      </c>
      <c r="G259" t="s">
        <v>27</v>
      </c>
      <c r="H259">
        <v>80.36</v>
      </c>
      <c r="I259">
        <v>63.26</v>
      </c>
      <c r="J259">
        <v>0.66679999999999995</v>
      </c>
      <c r="K259">
        <v>0.11219999999999999</v>
      </c>
      <c r="L259">
        <v>0.221</v>
      </c>
      <c r="M259">
        <v>1.85</v>
      </c>
      <c r="N259">
        <v>0.68</v>
      </c>
      <c r="O259">
        <v>80.5</v>
      </c>
      <c r="P259">
        <v>0.8</v>
      </c>
      <c r="Q259">
        <v>4</v>
      </c>
      <c r="R259">
        <v>0</v>
      </c>
      <c r="S259">
        <v>1.63</v>
      </c>
      <c r="T259">
        <v>0.82</v>
      </c>
      <c r="U259">
        <v>2.0299999999999998</v>
      </c>
      <c r="V259">
        <v>0.47</v>
      </c>
      <c r="W259">
        <v>4.2</v>
      </c>
      <c r="X259">
        <v>0</v>
      </c>
    </row>
    <row r="260" spans="2:24" hidden="1" x14ac:dyDescent="0.35">
      <c r="B260">
        <v>2016</v>
      </c>
      <c r="C260" s="1">
        <v>42793</v>
      </c>
      <c r="D260">
        <v>2411</v>
      </c>
      <c r="E260" t="s">
        <v>23</v>
      </c>
      <c r="F260" t="s">
        <v>25</v>
      </c>
      <c r="G260" t="s">
        <v>41</v>
      </c>
      <c r="H260">
        <v>55.89</v>
      </c>
      <c r="I260">
        <v>81.56</v>
      </c>
      <c r="J260">
        <v>0.14810000000000001</v>
      </c>
      <c r="K260">
        <v>0.64270000000000005</v>
      </c>
      <c r="L260">
        <v>0.2092</v>
      </c>
      <c r="M260">
        <v>1.05</v>
      </c>
      <c r="N260">
        <v>2</v>
      </c>
      <c r="O260">
        <v>54.6</v>
      </c>
      <c r="P260">
        <v>75.900000000000006</v>
      </c>
      <c r="Q260">
        <v>3</v>
      </c>
      <c r="R260">
        <v>1</v>
      </c>
      <c r="S260">
        <v>1.42</v>
      </c>
      <c r="T260">
        <v>0.99</v>
      </c>
      <c r="U260">
        <v>1.2</v>
      </c>
      <c r="V260">
        <v>3.06</v>
      </c>
      <c r="W260">
        <v>3.15</v>
      </c>
      <c r="X260">
        <v>1.05</v>
      </c>
    </row>
    <row r="261" spans="2:24" hidden="1" x14ac:dyDescent="0.35">
      <c r="B261">
        <v>2016</v>
      </c>
      <c r="C261" s="1">
        <v>42798</v>
      </c>
      <c r="D261">
        <v>2411</v>
      </c>
      <c r="E261" t="s">
        <v>23</v>
      </c>
      <c r="F261" t="s">
        <v>39</v>
      </c>
      <c r="G261" t="s">
        <v>38</v>
      </c>
      <c r="H261">
        <v>82.68</v>
      </c>
      <c r="I261">
        <v>58.48</v>
      </c>
      <c r="J261">
        <v>0.74939999999999996</v>
      </c>
      <c r="K261">
        <v>7.9000000000000001E-2</v>
      </c>
      <c r="L261">
        <v>0.1716</v>
      </c>
      <c r="M261">
        <v>2.4500000000000002</v>
      </c>
      <c r="N261">
        <v>0.57999999999999996</v>
      </c>
      <c r="O261">
        <v>73</v>
      </c>
      <c r="P261">
        <v>24</v>
      </c>
      <c r="Q261">
        <v>1</v>
      </c>
      <c r="R261">
        <v>1</v>
      </c>
      <c r="S261">
        <v>2.58</v>
      </c>
      <c r="T261">
        <v>0.86</v>
      </c>
      <c r="U261">
        <v>2.72</v>
      </c>
      <c r="V261">
        <v>0.42</v>
      </c>
      <c r="W261">
        <v>1.05</v>
      </c>
      <c r="X261">
        <v>1.05</v>
      </c>
    </row>
    <row r="262" spans="2:24" hidden="1" x14ac:dyDescent="0.35">
      <c r="B262">
        <v>2016</v>
      </c>
      <c r="C262" s="1">
        <v>42798</v>
      </c>
      <c r="D262">
        <v>2411</v>
      </c>
      <c r="E262" t="s">
        <v>23</v>
      </c>
      <c r="F262" t="s">
        <v>33</v>
      </c>
      <c r="G262" t="s">
        <v>32</v>
      </c>
      <c r="H262">
        <v>56.69</v>
      </c>
      <c r="I262">
        <v>60.51</v>
      </c>
      <c r="J262">
        <v>0.42480000000000001</v>
      </c>
      <c r="K262">
        <v>0.30580000000000002</v>
      </c>
      <c r="L262">
        <v>0.26939999999999997</v>
      </c>
      <c r="M262">
        <v>1.51</v>
      </c>
      <c r="N262">
        <v>1.33</v>
      </c>
      <c r="O262">
        <v>43.1</v>
      </c>
      <c r="P262">
        <v>3.3</v>
      </c>
      <c r="Q262">
        <v>3</v>
      </c>
      <c r="R262">
        <v>2</v>
      </c>
      <c r="S262">
        <v>1.31</v>
      </c>
      <c r="T262">
        <v>1.01</v>
      </c>
      <c r="U262">
        <v>2.0099999999999998</v>
      </c>
      <c r="V262">
        <v>0.44</v>
      </c>
      <c r="W262">
        <v>3.15</v>
      </c>
      <c r="X262">
        <v>2.1</v>
      </c>
    </row>
    <row r="263" spans="2:24" hidden="1" x14ac:dyDescent="0.35">
      <c r="B263">
        <v>2016</v>
      </c>
      <c r="C263" s="1">
        <v>42798</v>
      </c>
      <c r="D263">
        <v>2411</v>
      </c>
      <c r="E263" t="s">
        <v>23</v>
      </c>
      <c r="F263" t="s">
        <v>27</v>
      </c>
      <c r="G263" t="s">
        <v>26</v>
      </c>
      <c r="H263">
        <v>61.73</v>
      </c>
      <c r="I263">
        <v>52.33</v>
      </c>
      <c r="J263">
        <v>0.50770000000000004</v>
      </c>
      <c r="K263">
        <v>0.19739999999999999</v>
      </c>
      <c r="L263">
        <v>0.2949</v>
      </c>
      <c r="M263">
        <v>1.32</v>
      </c>
      <c r="N263">
        <v>0.71</v>
      </c>
      <c r="O263">
        <v>2.6</v>
      </c>
      <c r="P263">
        <v>60.3</v>
      </c>
      <c r="Q263">
        <v>2</v>
      </c>
      <c r="R263">
        <v>0</v>
      </c>
      <c r="S263">
        <v>2.2200000000000002</v>
      </c>
      <c r="T263">
        <v>0.42</v>
      </c>
      <c r="U263">
        <v>2.39</v>
      </c>
      <c r="V263">
        <v>0.74</v>
      </c>
      <c r="W263">
        <v>2.1</v>
      </c>
      <c r="X263">
        <v>0</v>
      </c>
    </row>
    <row r="264" spans="2:24" hidden="1" x14ac:dyDescent="0.35">
      <c r="B264">
        <v>2016</v>
      </c>
      <c r="C264" s="1">
        <v>42798</v>
      </c>
      <c r="D264">
        <v>2411</v>
      </c>
      <c r="E264" t="s">
        <v>23</v>
      </c>
      <c r="F264" t="s">
        <v>35</v>
      </c>
      <c r="G264" t="s">
        <v>34</v>
      </c>
      <c r="H264">
        <v>58.12</v>
      </c>
      <c r="I264">
        <v>67.77</v>
      </c>
      <c r="J264">
        <v>0.34839999999999999</v>
      </c>
      <c r="K264">
        <v>0.36059999999999998</v>
      </c>
      <c r="L264">
        <v>0.29110000000000003</v>
      </c>
      <c r="M264">
        <v>1.19</v>
      </c>
      <c r="N264">
        <v>1.26</v>
      </c>
      <c r="O264">
        <v>6.3</v>
      </c>
      <c r="P264">
        <v>1.5</v>
      </c>
      <c r="Q264">
        <v>3</v>
      </c>
      <c r="R264">
        <v>4</v>
      </c>
      <c r="S264">
        <v>1.38</v>
      </c>
      <c r="T264">
        <v>1.91</v>
      </c>
      <c r="U264">
        <v>2.08</v>
      </c>
      <c r="V264">
        <v>1.2</v>
      </c>
      <c r="W264">
        <v>3.15</v>
      </c>
      <c r="X264">
        <v>3.79</v>
      </c>
    </row>
    <row r="265" spans="2:24" hidden="1" x14ac:dyDescent="0.35">
      <c r="B265">
        <v>2016</v>
      </c>
      <c r="C265" s="1">
        <v>42798</v>
      </c>
      <c r="D265">
        <v>2411</v>
      </c>
      <c r="E265" t="s">
        <v>23</v>
      </c>
      <c r="F265" t="s">
        <v>31</v>
      </c>
      <c r="G265" t="s">
        <v>30</v>
      </c>
      <c r="H265">
        <v>61.14</v>
      </c>
      <c r="I265">
        <v>55.47</v>
      </c>
      <c r="J265">
        <v>0.51319999999999999</v>
      </c>
      <c r="K265">
        <v>0.2167</v>
      </c>
      <c r="L265">
        <v>0.27010000000000001</v>
      </c>
      <c r="M265">
        <v>1.55</v>
      </c>
      <c r="N265">
        <v>0.95</v>
      </c>
      <c r="O265">
        <v>0.2</v>
      </c>
      <c r="P265">
        <v>62.8</v>
      </c>
      <c r="Q265">
        <v>0</v>
      </c>
      <c r="R265">
        <v>2</v>
      </c>
      <c r="S265">
        <v>0.42</v>
      </c>
      <c r="T265">
        <v>1.18</v>
      </c>
      <c r="U265">
        <v>0.37</v>
      </c>
      <c r="V265">
        <v>1.46</v>
      </c>
      <c r="W265">
        <v>0</v>
      </c>
      <c r="X265">
        <v>1.75</v>
      </c>
    </row>
    <row r="266" spans="2:24" hidden="1" x14ac:dyDescent="0.35">
      <c r="B266">
        <v>2016</v>
      </c>
      <c r="C266" s="1">
        <v>42798</v>
      </c>
      <c r="D266">
        <v>2411</v>
      </c>
      <c r="E266" t="s">
        <v>23</v>
      </c>
      <c r="F266" t="s">
        <v>25</v>
      </c>
      <c r="G266" t="s">
        <v>24</v>
      </c>
      <c r="H266">
        <v>57.95</v>
      </c>
      <c r="I266">
        <v>49.01</v>
      </c>
      <c r="J266">
        <v>0.51700000000000002</v>
      </c>
      <c r="K266">
        <v>0.21079999999999999</v>
      </c>
      <c r="L266">
        <v>0.2722</v>
      </c>
      <c r="M266">
        <v>1.53</v>
      </c>
      <c r="N266">
        <v>0.9</v>
      </c>
      <c r="O266">
        <v>53.8</v>
      </c>
      <c r="P266">
        <v>66</v>
      </c>
      <c r="Q266">
        <v>3</v>
      </c>
      <c r="R266">
        <v>1</v>
      </c>
      <c r="S266">
        <v>1.76</v>
      </c>
      <c r="T266">
        <v>1.1299999999999999</v>
      </c>
      <c r="U266">
        <v>2</v>
      </c>
      <c r="V266">
        <v>0.93</v>
      </c>
      <c r="W266">
        <v>2.63</v>
      </c>
      <c r="X266">
        <v>1.05</v>
      </c>
    </row>
    <row r="267" spans="2:24" hidden="1" x14ac:dyDescent="0.35">
      <c r="B267">
        <v>2016</v>
      </c>
      <c r="C267" s="1">
        <v>42798</v>
      </c>
      <c r="D267">
        <v>2411</v>
      </c>
      <c r="E267" t="s">
        <v>23</v>
      </c>
      <c r="F267" t="s">
        <v>41</v>
      </c>
      <c r="G267" t="s">
        <v>40</v>
      </c>
      <c r="H267">
        <v>80.11</v>
      </c>
      <c r="I267">
        <v>82.04</v>
      </c>
      <c r="J267">
        <v>0.42980000000000002</v>
      </c>
      <c r="K267">
        <v>0.33479999999999999</v>
      </c>
      <c r="L267">
        <v>0.2354</v>
      </c>
      <c r="M267">
        <v>1.89</v>
      </c>
      <c r="N267">
        <v>1.66</v>
      </c>
      <c r="O267">
        <v>100</v>
      </c>
      <c r="P267">
        <v>99.4</v>
      </c>
      <c r="Q267">
        <v>3</v>
      </c>
      <c r="R267">
        <v>1</v>
      </c>
      <c r="S267">
        <v>2.78</v>
      </c>
      <c r="T267">
        <v>0.83</v>
      </c>
      <c r="U267">
        <v>2.65</v>
      </c>
      <c r="V267">
        <v>1.1100000000000001</v>
      </c>
      <c r="W267">
        <v>2.63</v>
      </c>
      <c r="X267">
        <v>1.05</v>
      </c>
    </row>
    <row r="268" spans="2:24" hidden="1" x14ac:dyDescent="0.35">
      <c r="B268">
        <v>2016</v>
      </c>
      <c r="C268" s="1">
        <v>42799</v>
      </c>
      <c r="D268">
        <v>2411</v>
      </c>
      <c r="E268" t="s">
        <v>23</v>
      </c>
      <c r="F268" t="s">
        <v>29</v>
      </c>
      <c r="G268" t="s">
        <v>28</v>
      </c>
      <c r="H268">
        <v>81.56</v>
      </c>
      <c r="I268">
        <v>70.86</v>
      </c>
      <c r="J268">
        <v>0.61229999999999996</v>
      </c>
      <c r="K268">
        <v>0.15049999999999999</v>
      </c>
      <c r="L268">
        <v>0.23719999999999999</v>
      </c>
      <c r="M268">
        <v>1.78</v>
      </c>
      <c r="N268">
        <v>0.85</v>
      </c>
      <c r="O268">
        <v>69</v>
      </c>
      <c r="P268">
        <v>12.7</v>
      </c>
      <c r="Q268">
        <v>3</v>
      </c>
      <c r="R268">
        <v>2</v>
      </c>
      <c r="S268">
        <v>1.55</v>
      </c>
      <c r="T268">
        <v>0.97</v>
      </c>
      <c r="U268">
        <v>1.27</v>
      </c>
      <c r="V268">
        <v>0.67</v>
      </c>
      <c r="W268">
        <v>2.63</v>
      </c>
      <c r="X268">
        <v>2.1</v>
      </c>
    </row>
    <row r="269" spans="2:24" hidden="1" x14ac:dyDescent="0.35">
      <c r="B269">
        <v>2016</v>
      </c>
      <c r="C269" s="1">
        <v>42799</v>
      </c>
      <c r="D269">
        <v>2411</v>
      </c>
      <c r="E269" t="s">
        <v>23</v>
      </c>
      <c r="F269" t="s">
        <v>37</v>
      </c>
      <c r="G269" t="s">
        <v>36</v>
      </c>
      <c r="H269">
        <v>47.18</v>
      </c>
      <c r="I269">
        <v>85.75</v>
      </c>
      <c r="J269">
        <v>6.0900000000000003E-2</v>
      </c>
      <c r="K269">
        <v>0.80079999999999996</v>
      </c>
      <c r="L269">
        <v>0.13830000000000001</v>
      </c>
      <c r="M269">
        <v>0.85</v>
      </c>
      <c r="N269">
        <v>2.42</v>
      </c>
      <c r="O269">
        <v>48.1</v>
      </c>
      <c r="P269">
        <v>50.4</v>
      </c>
      <c r="Q269">
        <v>0</v>
      </c>
      <c r="R269">
        <v>2</v>
      </c>
      <c r="S269">
        <v>0.76</v>
      </c>
      <c r="T269">
        <v>1.9</v>
      </c>
      <c r="U269">
        <v>0.83</v>
      </c>
      <c r="V269">
        <v>2.6</v>
      </c>
      <c r="W269">
        <v>0</v>
      </c>
      <c r="X269">
        <v>2.1</v>
      </c>
    </row>
    <row r="270" spans="2:24" hidden="1" x14ac:dyDescent="0.35">
      <c r="B270">
        <v>2016</v>
      </c>
      <c r="C270" s="1">
        <v>42800</v>
      </c>
      <c r="D270">
        <v>2411</v>
      </c>
      <c r="E270" t="s">
        <v>23</v>
      </c>
      <c r="F270" t="s">
        <v>43</v>
      </c>
      <c r="G270" t="s">
        <v>42</v>
      </c>
      <c r="H270">
        <v>63.66</v>
      </c>
      <c r="I270">
        <v>85.42</v>
      </c>
      <c r="J270">
        <v>0.15440000000000001</v>
      </c>
      <c r="K270">
        <v>0.62419999999999998</v>
      </c>
      <c r="L270">
        <v>0.22140000000000001</v>
      </c>
      <c r="M270">
        <v>1.02</v>
      </c>
      <c r="N270">
        <v>1.89</v>
      </c>
      <c r="O270">
        <v>0.6</v>
      </c>
      <c r="P270">
        <v>57.3</v>
      </c>
      <c r="Q270">
        <v>1</v>
      </c>
      <c r="R270">
        <v>2</v>
      </c>
      <c r="S270">
        <v>0.53</v>
      </c>
      <c r="T270">
        <v>1.81</v>
      </c>
      <c r="U270">
        <v>0.89</v>
      </c>
      <c r="V270">
        <v>1.33</v>
      </c>
      <c r="W270">
        <v>1.05</v>
      </c>
      <c r="X270">
        <v>2.1</v>
      </c>
    </row>
    <row r="271" spans="2:24" hidden="1" x14ac:dyDescent="0.35">
      <c r="B271">
        <v>2016</v>
      </c>
      <c r="C271" s="1">
        <v>42802</v>
      </c>
      <c r="D271">
        <v>2411</v>
      </c>
      <c r="E271" t="s">
        <v>23</v>
      </c>
      <c r="F271" t="s">
        <v>36</v>
      </c>
      <c r="G271" t="s">
        <v>27</v>
      </c>
      <c r="H271">
        <v>86.04</v>
      </c>
      <c r="I271">
        <v>63.38</v>
      </c>
      <c r="J271">
        <v>0.75660000000000005</v>
      </c>
      <c r="K271">
        <v>7.5600000000000001E-2</v>
      </c>
      <c r="L271">
        <v>0.16769999999999999</v>
      </c>
      <c r="M271">
        <v>2.35</v>
      </c>
      <c r="N271">
        <v>0.56000000000000005</v>
      </c>
      <c r="Q271">
        <v>0</v>
      </c>
      <c r="R271">
        <v>0</v>
      </c>
      <c r="S271">
        <v>1.26</v>
      </c>
      <c r="T271">
        <v>0.35</v>
      </c>
      <c r="U271">
        <v>1.56</v>
      </c>
      <c r="V271">
        <v>0.82</v>
      </c>
      <c r="W271">
        <v>0</v>
      </c>
      <c r="X271">
        <v>0</v>
      </c>
    </row>
    <row r="272" spans="2:24" hidden="1" x14ac:dyDescent="0.35">
      <c r="B272">
        <v>2016</v>
      </c>
      <c r="C272" s="1">
        <v>42805</v>
      </c>
      <c r="D272">
        <v>2411</v>
      </c>
      <c r="E272" t="s">
        <v>23</v>
      </c>
      <c r="F272" t="s">
        <v>28</v>
      </c>
      <c r="G272" t="s">
        <v>31</v>
      </c>
      <c r="H272">
        <v>71.319999999999993</v>
      </c>
      <c r="I272">
        <v>58.87</v>
      </c>
      <c r="J272">
        <v>0.59360000000000002</v>
      </c>
      <c r="K272">
        <v>0.1608</v>
      </c>
      <c r="L272">
        <v>0.24560000000000001</v>
      </c>
      <c r="M272">
        <v>1.73</v>
      </c>
      <c r="N272">
        <v>0.83</v>
      </c>
      <c r="O272">
        <v>3.8</v>
      </c>
      <c r="P272">
        <v>0.2</v>
      </c>
      <c r="Q272">
        <v>3</v>
      </c>
      <c r="R272">
        <v>0</v>
      </c>
      <c r="S272">
        <v>2.2599999999999998</v>
      </c>
      <c r="T272">
        <v>0.19</v>
      </c>
      <c r="U272">
        <v>1.65</v>
      </c>
      <c r="V272">
        <v>0.69</v>
      </c>
      <c r="W272">
        <v>2.84</v>
      </c>
      <c r="X272">
        <v>0</v>
      </c>
    </row>
    <row r="273" spans="2:24" hidden="1" x14ac:dyDescent="0.35">
      <c r="B273">
        <v>2016</v>
      </c>
      <c r="C273" s="1">
        <v>42805</v>
      </c>
      <c r="D273">
        <v>2411</v>
      </c>
      <c r="E273" t="s">
        <v>23</v>
      </c>
      <c r="F273" t="s">
        <v>24</v>
      </c>
      <c r="G273" t="s">
        <v>33</v>
      </c>
      <c r="H273">
        <v>48.24</v>
      </c>
      <c r="I273">
        <v>57.63</v>
      </c>
      <c r="J273">
        <v>0.38240000000000002</v>
      </c>
      <c r="K273">
        <v>0.34670000000000001</v>
      </c>
      <c r="L273">
        <v>0.27100000000000002</v>
      </c>
      <c r="M273">
        <v>1.45</v>
      </c>
      <c r="N273">
        <v>1.41</v>
      </c>
      <c r="O273">
        <v>54</v>
      </c>
      <c r="P273">
        <v>35.700000000000003</v>
      </c>
      <c r="Q273">
        <v>2</v>
      </c>
      <c r="R273">
        <v>1</v>
      </c>
      <c r="S273">
        <v>1.74</v>
      </c>
      <c r="T273">
        <v>1.68</v>
      </c>
      <c r="U273">
        <v>1</v>
      </c>
      <c r="V273">
        <v>1.1000000000000001</v>
      </c>
      <c r="W273">
        <v>1.9</v>
      </c>
      <c r="X273">
        <v>1.05</v>
      </c>
    </row>
    <row r="274" spans="2:24" hidden="1" x14ac:dyDescent="0.35">
      <c r="B274">
        <v>2016</v>
      </c>
      <c r="C274" s="1">
        <v>42805</v>
      </c>
      <c r="D274">
        <v>2411</v>
      </c>
      <c r="E274" t="s">
        <v>23</v>
      </c>
      <c r="F274" t="s">
        <v>38</v>
      </c>
      <c r="G274" t="s">
        <v>43</v>
      </c>
      <c r="H274">
        <v>59.12</v>
      </c>
      <c r="I274">
        <v>63.49</v>
      </c>
      <c r="J274">
        <v>0.41770000000000002</v>
      </c>
      <c r="K274">
        <v>0.32719999999999999</v>
      </c>
      <c r="L274">
        <v>0.25519999999999998</v>
      </c>
      <c r="M274">
        <v>1.67</v>
      </c>
      <c r="N274">
        <v>1.53</v>
      </c>
      <c r="O274">
        <v>28</v>
      </c>
      <c r="P274">
        <v>1.2</v>
      </c>
      <c r="Q274">
        <v>3</v>
      </c>
      <c r="R274">
        <v>2</v>
      </c>
      <c r="S274">
        <v>3.75</v>
      </c>
      <c r="T274">
        <v>1.27</v>
      </c>
      <c r="U274">
        <v>2.29</v>
      </c>
      <c r="V274">
        <v>1.33</v>
      </c>
      <c r="W274">
        <v>3.15</v>
      </c>
      <c r="X274">
        <v>2.1</v>
      </c>
    </row>
    <row r="275" spans="2:24" hidden="1" x14ac:dyDescent="0.35">
      <c r="B275">
        <v>2016</v>
      </c>
      <c r="C275" s="1">
        <v>42806</v>
      </c>
      <c r="D275">
        <v>2411</v>
      </c>
      <c r="E275" t="s">
        <v>23</v>
      </c>
      <c r="F275" t="s">
        <v>41</v>
      </c>
      <c r="G275" t="s">
        <v>32</v>
      </c>
      <c r="H275">
        <v>81.2</v>
      </c>
      <c r="I275">
        <v>59.63</v>
      </c>
      <c r="J275">
        <v>0.72619999999999996</v>
      </c>
      <c r="K275">
        <v>9.7100000000000006E-2</v>
      </c>
      <c r="L275">
        <v>0.17660000000000001</v>
      </c>
      <c r="M275">
        <v>2.4</v>
      </c>
      <c r="N275">
        <v>0.71</v>
      </c>
      <c r="O275">
        <v>85.2</v>
      </c>
      <c r="P275">
        <v>4.7</v>
      </c>
      <c r="Q275">
        <v>2</v>
      </c>
      <c r="R275">
        <v>1</v>
      </c>
      <c r="S275">
        <v>1.1000000000000001</v>
      </c>
      <c r="T275">
        <v>1.03</v>
      </c>
      <c r="U275">
        <v>1.18</v>
      </c>
      <c r="V275">
        <v>1.01</v>
      </c>
      <c r="W275">
        <v>2.1</v>
      </c>
      <c r="X275">
        <v>1.05</v>
      </c>
    </row>
    <row r="276" spans="2:24" hidden="1" x14ac:dyDescent="0.35">
      <c r="B276">
        <v>2016</v>
      </c>
      <c r="C276" s="1">
        <v>42812</v>
      </c>
      <c r="D276">
        <v>2411</v>
      </c>
      <c r="E276" t="s">
        <v>23</v>
      </c>
      <c r="F276" t="s">
        <v>31</v>
      </c>
      <c r="G276" t="s">
        <v>40</v>
      </c>
      <c r="H276">
        <v>57.34</v>
      </c>
      <c r="I276">
        <v>79.87</v>
      </c>
      <c r="J276">
        <v>0.1799</v>
      </c>
      <c r="K276">
        <v>0.60099999999999998</v>
      </c>
      <c r="L276">
        <v>0.21909999999999999</v>
      </c>
      <c r="M276">
        <v>1.17</v>
      </c>
      <c r="N276">
        <v>1.96</v>
      </c>
      <c r="O276">
        <v>0</v>
      </c>
      <c r="P276">
        <v>73</v>
      </c>
      <c r="Q276">
        <v>3</v>
      </c>
      <c r="R276">
        <v>1</v>
      </c>
      <c r="S276">
        <v>1.85</v>
      </c>
      <c r="T276">
        <v>1.1299999999999999</v>
      </c>
      <c r="U276">
        <v>1.31</v>
      </c>
      <c r="V276">
        <v>1.59</v>
      </c>
      <c r="W276">
        <v>3.03</v>
      </c>
      <c r="X276">
        <v>1.05</v>
      </c>
    </row>
    <row r="277" spans="2:24" hidden="1" x14ac:dyDescent="0.35">
      <c r="B277">
        <v>2016</v>
      </c>
      <c r="C277" s="1">
        <v>42812</v>
      </c>
      <c r="D277">
        <v>2411</v>
      </c>
      <c r="E277" t="s">
        <v>23</v>
      </c>
      <c r="F277" t="s">
        <v>27</v>
      </c>
      <c r="G277" t="s">
        <v>42</v>
      </c>
      <c r="H277">
        <v>64</v>
      </c>
      <c r="I277">
        <v>85.5</v>
      </c>
      <c r="J277">
        <v>0.1704</v>
      </c>
      <c r="K277">
        <v>0.5806</v>
      </c>
      <c r="L277">
        <v>0.24909999999999999</v>
      </c>
      <c r="M277">
        <v>0.89</v>
      </c>
      <c r="N277">
        <v>1.63</v>
      </c>
      <c r="O277">
        <v>0.1</v>
      </c>
      <c r="P277">
        <v>49.9</v>
      </c>
      <c r="Q277">
        <v>1</v>
      </c>
      <c r="R277">
        <v>2</v>
      </c>
      <c r="S277">
        <v>0.97</v>
      </c>
      <c r="T277">
        <v>1.7</v>
      </c>
      <c r="U277">
        <v>0.78</v>
      </c>
      <c r="V277">
        <v>2.16</v>
      </c>
      <c r="W277">
        <v>1.05</v>
      </c>
      <c r="X277">
        <v>2.1</v>
      </c>
    </row>
    <row r="278" spans="2:24" hidden="1" x14ac:dyDescent="0.35">
      <c r="B278">
        <v>2016</v>
      </c>
      <c r="C278" s="1">
        <v>42812</v>
      </c>
      <c r="D278">
        <v>2411</v>
      </c>
      <c r="E278" t="s">
        <v>23</v>
      </c>
      <c r="F278" t="s">
        <v>30</v>
      </c>
      <c r="G278" t="s">
        <v>35</v>
      </c>
      <c r="H278">
        <v>57.8</v>
      </c>
      <c r="I278">
        <v>58.21</v>
      </c>
      <c r="J278">
        <v>0.45300000000000001</v>
      </c>
      <c r="K278">
        <v>0.27629999999999999</v>
      </c>
      <c r="L278">
        <v>0.27060000000000001</v>
      </c>
      <c r="M278">
        <v>1.53</v>
      </c>
      <c r="N278">
        <v>1.19</v>
      </c>
      <c r="O278">
        <v>63.2</v>
      </c>
      <c r="P278">
        <v>12.7</v>
      </c>
      <c r="Q278">
        <v>1</v>
      </c>
      <c r="R278">
        <v>0</v>
      </c>
      <c r="S278">
        <v>0.44</v>
      </c>
      <c r="T278">
        <v>0.2</v>
      </c>
      <c r="U278">
        <v>0.94</v>
      </c>
      <c r="V278">
        <v>1.17</v>
      </c>
      <c r="W278">
        <v>1.05</v>
      </c>
      <c r="X278">
        <v>0</v>
      </c>
    </row>
    <row r="279" spans="2:24" hidden="1" x14ac:dyDescent="0.35">
      <c r="B279">
        <v>2016</v>
      </c>
      <c r="C279" s="1">
        <v>42812</v>
      </c>
      <c r="D279">
        <v>2411</v>
      </c>
      <c r="E279" t="s">
        <v>23</v>
      </c>
      <c r="F279" t="s">
        <v>28</v>
      </c>
      <c r="G279" t="s">
        <v>24</v>
      </c>
      <c r="H279">
        <v>72.680000000000007</v>
      </c>
      <c r="I279">
        <v>48.71</v>
      </c>
      <c r="J279">
        <v>0.67749999999999999</v>
      </c>
      <c r="K279">
        <v>0.1108</v>
      </c>
      <c r="L279">
        <v>0.2117</v>
      </c>
      <c r="M279">
        <v>1.99</v>
      </c>
      <c r="N279">
        <v>0.68</v>
      </c>
      <c r="O279">
        <v>4.8</v>
      </c>
      <c r="P279">
        <v>60.7</v>
      </c>
      <c r="Q279">
        <v>4</v>
      </c>
      <c r="R279">
        <v>0</v>
      </c>
      <c r="S279">
        <v>2.5499999999999998</v>
      </c>
      <c r="T279">
        <v>0.43</v>
      </c>
      <c r="U279">
        <v>2.29</v>
      </c>
      <c r="V279">
        <v>0.61</v>
      </c>
      <c r="W279">
        <v>2.94</v>
      </c>
      <c r="X279">
        <v>0</v>
      </c>
    </row>
    <row r="280" spans="2:24" hidden="1" x14ac:dyDescent="0.35">
      <c r="B280">
        <v>2016</v>
      </c>
      <c r="C280" s="1">
        <v>42812</v>
      </c>
      <c r="D280">
        <v>2411</v>
      </c>
      <c r="E280" t="s">
        <v>23</v>
      </c>
      <c r="F280" t="s">
        <v>37</v>
      </c>
      <c r="G280" t="s">
        <v>32</v>
      </c>
      <c r="H280">
        <v>46.6</v>
      </c>
      <c r="I280">
        <v>60.46</v>
      </c>
      <c r="J280">
        <v>0.34710000000000002</v>
      </c>
      <c r="K280">
        <v>0.3664</v>
      </c>
      <c r="L280">
        <v>0.28649999999999998</v>
      </c>
      <c r="M280">
        <v>1.2</v>
      </c>
      <c r="N280">
        <v>1.33</v>
      </c>
      <c r="O280">
        <v>29.9</v>
      </c>
      <c r="P280">
        <v>8.9</v>
      </c>
      <c r="Q280">
        <v>0</v>
      </c>
      <c r="R280">
        <v>0</v>
      </c>
      <c r="S280">
        <v>1.1299999999999999</v>
      </c>
      <c r="T280">
        <v>1.38</v>
      </c>
      <c r="U280">
        <v>1.1599999999999999</v>
      </c>
      <c r="V280">
        <v>1.68</v>
      </c>
      <c r="W280">
        <v>0</v>
      </c>
      <c r="X280">
        <v>0</v>
      </c>
    </row>
    <row r="281" spans="2:24" hidden="1" x14ac:dyDescent="0.35">
      <c r="B281">
        <v>2016</v>
      </c>
      <c r="C281" s="1">
        <v>42812</v>
      </c>
      <c r="D281">
        <v>2411</v>
      </c>
      <c r="E281" t="s">
        <v>23</v>
      </c>
      <c r="F281" t="s">
        <v>43</v>
      </c>
      <c r="G281" t="s">
        <v>25</v>
      </c>
      <c r="H281">
        <v>62.25</v>
      </c>
      <c r="I281">
        <v>59.7</v>
      </c>
      <c r="J281">
        <v>0.48959999999999998</v>
      </c>
      <c r="K281">
        <v>0.25190000000000001</v>
      </c>
      <c r="L281">
        <v>0.2586</v>
      </c>
      <c r="M281">
        <v>1.67</v>
      </c>
      <c r="N281">
        <v>1.2</v>
      </c>
      <c r="O281">
        <v>3.4</v>
      </c>
      <c r="P281">
        <v>27</v>
      </c>
      <c r="Q281">
        <v>2</v>
      </c>
      <c r="R281">
        <v>3</v>
      </c>
      <c r="S281">
        <v>2.29</v>
      </c>
      <c r="T281">
        <v>1.77</v>
      </c>
      <c r="U281">
        <v>2.04</v>
      </c>
      <c r="V281">
        <v>0.9</v>
      </c>
      <c r="W281">
        <v>2.1</v>
      </c>
      <c r="X281">
        <v>3.15</v>
      </c>
    </row>
    <row r="282" spans="2:24" hidden="1" x14ac:dyDescent="0.35">
      <c r="B282">
        <v>2016</v>
      </c>
      <c r="C282" s="1">
        <v>42812</v>
      </c>
      <c r="D282">
        <v>2411</v>
      </c>
      <c r="E282" t="s">
        <v>23</v>
      </c>
      <c r="F282" t="s">
        <v>38</v>
      </c>
      <c r="G282" t="s">
        <v>33</v>
      </c>
      <c r="H282">
        <v>60.47</v>
      </c>
      <c r="I282">
        <v>57.15</v>
      </c>
      <c r="J282">
        <v>0.50229999999999997</v>
      </c>
      <c r="K282">
        <v>0.26040000000000002</v>
      </c>
      <c r="L282">
        <v>0.23719999999999999</v>
      </c>
      <c r="M282">
        <v>2</v>
      </c>
      <c r="N282">
        <v>1.48</v>
      </c>
      <c r="O282">
        <v>19.2</v>
      </c>
      <c r="P282">
        <v>39.1</v>
      </c>
      <c r="Q282">
        <v>2</v>
      </c>
      <c r="R282">
        <v>0</v>
      </c>
      <c r="S282">
        <v>0.89</v>
      </c>
      <c r="T282">
        <v>0.54</v>
      </c>
      <c r="U282">
        <v>1.39</v>
      </c>
      <c r="V282">
        <v>1.3</v>
      </c>
      <c r="W282">
        <v>2.0699999999999998</v>
      </c>
      <c r="X282">
        <v>0</v>
      </c>
    </row>
    <row r="283" spans="2:24" hidden="1" x14ac:dyDescent="0.35">
      <c r="B283">
        <v>2016</v>
      </c>
      <c r="C283" s="1">
        <v>42813</v>
      </c>
      <c r="D283">
        <v>2411</v>
      </c>
      <c r="E283" t="s">
        <v>23</v>
      </c>
      <c r="F283" t="s">
        <v>26</v>
      </c>
      <c r="G283" t="s">
        <v>39</v>
      </c>
      <c r="H283">
        <v>50.7</v>
      </c>
      <c r="I283">
        <v>82.23</v>
      </c>
      <c r="J283">
        <v>0.15060000000000001</v>
      </c>
      <c r="K283">
        <v>0.58760000000000001</v>
      </c>
      <c r="L283">
        <v>0.26179999999999998</v>
      </c>
      <c r="M283">
        <v>0.67</v>
      </c>
      <c r="N283">
        <v>1.51</v>
      </c>
      <c r="O283">
        <v>60.6</v>
      </c>
      <c r="P283">
        <v>71.400000000000006</v>
      </c>
      <c r="Q283">
        <v>1</v>
      </c>
      <c r="R283">
        <v>3</v>
      </c>
      <c r="S283">
        <v>1.27</v>
      </c>
      <c r="T283">
        <v>2.2999999999999998</v>
      </c>
      <c r="U283">
        <v>2.0699999999999998</v>
      </c>
      <c r="V283">
        <v>1.31</v>
      </c>
      <c r="W283">
        <v>1.05</v>
      </c>
      <c r="X283">
        <v>2.63</v>
      </c>
    </row>
    <row r="284" spans="2:24" hidden="1" x14ac:dyDescent="0.35">
      <c r="B284">
        <v>2016</v>
      </c>
      <c r="C284" s="1">
        <v>42813</v>
      </c>
      <c r="D284">
        <v>2411</v>
      </c>
      <c r="E284" t="s">
        <v>23</v>
      </c>
      <c r="F284" t="s">
        <v>29</v>
      </c>
      <c r="G284" t="s">
        <v>34</v>
      </c>
      <c r="H284">
        <v>81.319999999999993</v>
      </c>
      <c r="I284">
        <v>67.83</v>
      </c>
      <c r="J284">
        <v>0.63900000000000001</v>
      </c>
      <c r="K284">
        <v>0.13270000000000001</v>
      </c>
      <c r="L284">
        <v>0.2283</v>
      </c>
      <c r="M284">
        <v>1.83</v>
      </c>
      <c r="N284">
        <v>0.78</v>
      </c>
      <c r="O284">
        <v>64</v>
      </c>
      <c r="P284">
        <v>0.3</v>
      </c>
      <c r="Q284">
        <v>2</v>
      </c>
      <c r="R284">
        <v>1</v>
      </c>
      <c r="S284">
        <v>1.54</v>
      </c>
      <c r="T284">
        <v>0.86</v>
      </c>
      <c r="U284">
        <v>1.51</v>
      </c>
      <c r="V284">
        <v>0.84</v>
      </c>
      <c r="W284">
        <v>2.1</v>
      </c>
      <c r="X284">
        <v>1.05</v>
      </c>
    </row>
    <row r="285" spans="2:24" hidden="1" x14ac:dyDescent="0.35">
      <c r="B285">
        <v>2016</v>
      </c>
      <c r="C285" s="1">
        <v>42813</v>
      </c>
      <c r="D285">
        <v>2411</v>
      </c>
      <c r="E285" t="s">
        <v>23</v>
      </c>
      <c r="F285" t="s">
        <v>36</v>
      </c>
      <c r="G285" t="s">
        <v>41</v>
      </c>
      <c r="H285">
        <v>84.96</v>
      </c>
      <c r="I285">
        <v>80.540000000000006</v>
      </c>
      <c r="J285">
        <v>0.55520000000000003</v>
      </c>
      <c r="K285">
        <v>0.2117</v>
      </c>
      <c r="L285">
        <v>0.2331</v>
      </c>
      <c r="M285">
        <v>1.9</v>
      </c>
      <c r="N285">
        <v>1.21</v>
      </c>
      <c r="O285">
        <v>73.099999999999994</v>
      </c>
      <c r="P285">
        <v>95.1</v>
      </c>
      <c r="Q285">
        <v>1</v>
      </c>
      <c r="R285">
        <v>1</v>
      </c>
      <c r="S285">
        <v>3.12</v>
      </c>
      <c r="T285">
        <v>2.33</v>
      </c>
      <c r="U285">
        <v>2.79</v>
      </c>
      <c r="V285">
        <v>2.16</v>
      </c>
      <c r="W285">
        <v>1.05</v>
      </c>
      <c r="X285">
        <v>1.05</v>
      </c>
    </row>
    <row r="286" spans="2:24" hidden="1" x14ac:dyDescent="0.35">
      <c r="B286">
        <v>2016</v>
      </c>
      <c r="C286" s="1">
        <v>42826</v>
      </c>
      <c r="D286">
        <v>2411</v>
      </c>
      <c r="E286" t="s">
        <v>23</v>
      </c>
      <c r="F286" t="s">
        <v>41</v>
      </c>
      <c r="G286" t="s">
        <v>28</v>
      </c>
      <c r="H286">
        <v>80.87</v>
      </c>
      <c r="I286">
        <v>73.989999999999995</v>
      </c>
      <c r="J286">
        <v>0.56859999999999999</v>
      </c>
      <c r="K286">
        <v>0.20069999999999999</v>
      </c>
      <c r="L286">
        <v>0.23069999999999999</v>
      </c>
      <c r="M286">
        <v>1.92</v>
      </c>
      <c r="N286">
        <v>1.18</v>
      </c>
      <c r="O286">
        <v>89.2</v>
      </c>
      <c r="P286">
        <v>16.100000000000001</v>
      </c>
      <c r="Q286">
        <v>3</v>
      </c>
      <c r="R286">
        <v>1</v>
      </c>
      <c r="S286">
        <v>0.55000000000000004</v>
      </c>
      <c r="T286">
        <v>1.33</v>
      </c>
      <c r="U286">
        <v>0.77</v>
      </c>
      <c r="V286">
        <v>1.85</v>
      </c>
      <c r="W286">
        <v>3.15</v>
      </c>
      <c r="X286">
        <v>1.05</v>
      </c>
    </row>
    <row r="287" spans="2:24" hidden="1" x14ac:dyDescent="0.35">
      <c r="B287">
        <v>2016</v>
      </c>
      <c r="C287" s="1">
        <v>42826</v>
      </c>
      <c r="D287">
        <v>2411</v>
      </c>
      <c r="E287" t="s">
        <v>23</v>
      </c>
      <c r="F287" t="s">
        <v>39</v>
      </c>
      <c r="G287" t="s">
        <v>31</v>
      </c>
      <c r="H287">
        <v>81.95</v>
      </c>
      <c r="I287">
        <v>59.46</v>
      </c>
      <c r="J287">
        <v>0.7198</v>
      </c>
      <c r="K287">
        <v>8.3299999999999999E-2</v>
      </c>
      <c r="L287">
        <v>0.19689999999999999</v>
      </c>
      <c r="M287">
        <v>1.99</v>
      </c>
      <c r="N287">
        <v>0.56000000000000005</v>
      </c>
      <c r="O287">
        <v>70.900000000000006</v>
      </c>
      <c r="P287">
        <v>0</v>
      </c>
      <c r="Q287">
        <v>0</v>
      </c>
      <c r="R287">
        <v>0</v>
      </c>
      <c r="S287">
        <v>0.99</v>
      </c>
      <c r="T287">
        <v>0.18</v>
      </c>
      <c r="U287">
        <v>1.83</v>
      </c>
      <c r="V287">
        <v>0.57999999999999996</v>
      </c>
      <c r="W287">
        <v>0</v>
      </c>
      <c r="X287">
        <v>0</v>
      </c>
    </row>
    <row r="288" spans="2:24" hidden="1" x14ac:dyDescent="0.35">
      <c r="B288">
        <v>2016</v>
      </c>
      <c r="C288" s="1">
        <v>42826</v>
      </c>
      <c r="D288">
        <v>2411</v>
      </c>
      <c r="E288" t="s">
        <v>23</v>
      </c>
      <c r="F288" t="s">
        <v>42</v>
      </c>
      <c r="G288" t="s">
        <v>30</v>
      </c>
      <c r="H288">
        <v>85.66</v>
      </c>
      <c r="I288">
        <v>57.99</v>
      </c>
      <c r="J288">
        <v>0.78069999999999995</v>
      </c>
      <c r="K288">
        <v>5.7000000000000002E-2</v>
      </c>
      <c r="L288">
        <v>0.1623</v>
      </c>
      <c r="M288">
        <v>2.3199999999999998</v>
      </c>
      <c r="N288">
        <v>0.37</v>
      </c>
      <c r="O288">
        <v>36.799999999999997</v>
      </c>
      <c r="P288">
        <v>38.5</v>
      </c>
      <c r="Q288">
        <v>1</v>
      </c>
      <c r="R288">
        <v>2</v>
      </c>
      <c r="S288">
        <v>2.94</v>
      </c>
      <c r="T288">
        <v>1.81</v>
      </c>
      <c r="U288">
        <v>5.17</v>
      </c>
      <c r="V288">
        <v>1.1499999999999999</v>
      </c>
      <c r="W288">
        <v>1.05</v>
      </c>
      <c r="X288">
        <v>2.1</v>
      </c>
    </row>
    <row r="289" spans="2:24" hidden="1" x14ac:dyDescent="0.35">
      <c r="B289">
        <v>2016</v>
      </c>
      <c r="C289" s="1">
        <v>42826</v>
      </c>
      <c r="D289">
        <v>2411</v>
      </c>
      <c r="E289" t="s">
        <v>23</v>
      </c>
      <c r="F289" t="s">
        <v>32</v>
      </c>
      <c r="G289" t="s">
        <v>29</v>
      </c>
      <c r="H289">
        <v>60.7</v>
      </c>
      <c r="I289">
        <v>81.150000000000006</v>
      </c>
      <c r="J289">
        <v>0.2021</v>
      </c>
      <c r="K289">
        <v>0.54279999999999995</v>
      </c>
      <c r="L289">
        <v>0.25509999999999999</v>
      </c>
      <c r="M289">
        <v>1</v>
      </c>
      <c r="N289">
        <v>1.63</v>
      </c>
      <c r="O289">
        <v>4.8</v>
      </c>
      <c r="P289">
        <v>41.2</v>
      </c>
      <c r="Q289">
        <v>0</v>
      </c>
      <c r="R289">
        <v>2</v>
      </c>
      <c r="S289">
        <v>0.45</v>
      </c>
      <c r="T289">
        <v>2.41</v>
      </c>
      <c r="U289">
        <v>1.61</v>
      </c>
      <c r="V289">
        <v>1.38</v>
      </c>
      <c r="W289">
        <v>0</v>
      </c>
      <c r="X289">
        <v>1.92</v>
      </c>
    </row>
    <row r="290" spans="2:24" hidden="1" x14ac:dyDescent="0.35">
      <c r="B290">
        <v>2016</v>
      </c>
      <c r="C290" s="1">
        <v>42826</v>
      </c>
      <c r="D290">
        <v>2411</v>
      </c>
      <c r="E290" t="s">
        <v>23</v>
      </c>
      <c r="F290" t="s">
        <v>25</v>
      </c>
      <c r="G290" t="s">
        <v>27</v>
      </c>
      <c r="H290">
        <v>60.35</v>
      </c>
      <c r="I290">
        <v>63.8</v>
      </c>
      <c r="J290">
        <v>0.41789999999999999</v>
      </c>
      <c r="K290">
        <v>0.2994</v>
      </c>
      <c r="L290">
        <v>0.2828</v>
      </c>
      <c r="M290">
        <v>1.37</v>
      </c>
      <c r="N290">
        <v>1.17</v>
      </c>
      <c r="O290">
        <v>14.2</v>
      </c>
      <c r="P290">
        <v>0.4</v>
      </c>
      <c r="Q290">
        <v>2</v>
      </c>
      <c r="R290">
        <v>0</v>
      </c>
      <c r="S290">
        <v>1.86</v>
      </c>
      <c r="T290">
        <v>1.44</v>
      </c>
      <c r="U290">
        <v>0.75</v>
      </c>
      <c r="V290">
        <v>2.15</v>
      </c>
      <c r="W290">
        <v>2.1</v>
      </c>
      <c r="X290">
        <v>0</v>
      </c>
    </row>
    <row r="291" spans="2:24" hidden="1" x14ac:dyDescent="0.35">
      <c r="B291">
        <v>2016</v>
      </c>
      <c r="C291" s="1">
        <v>42826</v>
      </c>
      <c r="D291">
        <v>2411</v>
      </c>
      <c r="E291" t="s">
        <v>23</v>
      </c>
      <c r="F291" t="s">
        <v>24</v>
      </c>
      <c r="G291" t="s">
        <v>43</v>
      </c>
      <c r="H291">
        <v>47.21</v>
      </c>
      <c r="I291">
        <v>61.64</v>
      </c>
      <c r="J291">
        <v>0.33410000000000001</v>
      </c>
      <c r="K291">
        <v>0.39600000000000002</v>
      </c>
      <c r="L291">
        <v>0.26989999999999997</v>
      </c>
      <c r="M291">
        <v>1.33</v>
      </c>
      <c r="N291">
        <v>1.52</v>
      </c>
      <c r="O291">
        <v>57.7</v>
      </c>
      <c r="P291">
        <v>6.8</v>
      </c>
      <c r="Q291">
        <v>2</v>
      </c>
      <c r="R291">
        <v>1</v>
      </c>
      <c r="S291">
        <v>0.79</v>
      </c>
      <c r="T291">
        <v>1.38</v>
      </c>
      <c r="U291">
        <v>0.48</v>
      </c>
      <c r="V291">
        <v>1.8</v>
      </c>
      <c r="W291">
        <v>2.1</v>
      </c>
      <c r="X291">
        <v>1.05</v>
      </c>
    </row>
    <row r="292" spans="2:24" hidden="1" x14ac:dyDescent="0.35">
      <c r="B292">
        <v>2016</v>
      </c>
      <c r="C292" s="1">
        <v>42826</v>
      </c>
      <c r="D292">
        <v>2411</v>
      </c>
      <c r="E292" t="s">
        <v>23</v>
      </c>
      <c r="F292" t="s">
        <v>35</v>
      </c>
      <c r="G292" t="s">
        <v>37</v>
      </c>
      <c r="H292">
        <v>58</v>
      </c>
      <c r="I292">
        <v>46.36</v>
      </c>
      <c r="J292">
        <v>0.54400000000000004</v>
      </c>
      <c r="K292">
        <v>0.1961</v>
      </c>
      <c r="L292">
        <v>0.25990000000000002</v>
      </c>
      <c r="M292">
        <v>1.66</v>
      </c>
      <c r="N292">
        <v>0.91</v>
      </c>
      <c r="O292">
        <v>22.7</v>
      </c>
      <c r="P292">
        <v>30.8</v>
      </c>
      <c r="Q292">
        <v>1</v>
      </c>
      <c r="R292">
        <v>0</v>
      </c>
      <c r="S292">
        <v>1.52</v>
      </c>
      <c r="T292">
        <v>0.47</v>
      </c>
      <c r="U292">
        <v>2.2999999999999998</v>
      </c>
      <c r="V292">
        <v>0.83</v>
      </c>
      <c r="W292">
        <v>1.05</v>
      </c>
      <c r="X292">
        <v>0</v>
      </c>
    </row>
    <row r="293" spans="2:24" hidden="1" x14ac:dyDescent="0.35">
      <c r="B293">
        <v>2016</v>
      </c>
      <c r="C293" s="1">
        <v>42826</v>
      </c>
      <c r="D293">
        <v>2411</v>
      </c>
      <c r="E293" t="s">
        <v>23</v>
      </c>
      <c r="F293" t="s">
        <v>34</v>
      </c>
      <c r="G293" t="s">
        <v>38</v>
      </c>
      <c r="H293">
        <v>68.069999999999993</v>
      </c>
      <c r="I293">
        <v>61.09</v>
      </c>
      <c r="J293">
        <v>0.54</v>
      </c>
      <c r="K293">
        <v>0.2137</v>
      </c>
      <c r="L293">
        <v>0.24629999999999999</v>
      </c>
      <c r="M293">
        <v>1.83</v>
      </c>
      <c r="N293">
        <v>1.1200000000000001</v>
      </c>
      <c r="O293">
        <v>0.6</v>
      </c>
      <c r="P293">
        <v>2.9</v>
      </c>
      <c r="Q293">
        <v>0</v>
      </c>
      <c r="R293">
        <v>0</v>
      </c>
      <c r="S293">
        <v>0.98</v>
      </c>
      <c r="T293">
        <v>2.17</v>
      </c>
      <c r="U293">
        <v>1.0900000000000001</v>
      </c>
      <c r="V293">
        <v>0.59</v>
      </c>
      <c r="W293">
        <v>0</v>
      </c>
      <c r="X293">
        <v>0</v>
      </c>
    </row>
    <row r="294" spans="2:24" hidden="1" x14ac:dyDescent="0.35">
      <c r="B294">
        <v>2016</v>
      </c>
      <c r="C294" s="1">
        <v>42827</v>
      </c>
      <c r="D294">
        <v>2411</v>
      </c>
      <c r="E294" t="s">
        <v>23</v>
      </c>
      <c r="F294" t="s">
        <v>33</v>
      </c>
      <c r="G294" t="s">
        <v>26</v>
      </c>
      <c r="H294">
        <v>56.51</v>
      </c>
      <c r="I294">
        <v>51.32</v>
      </c>
      <c r="J294">
        <v>0.48399999999999999</v>
      </c>
      <c r="K294">
        <v>0.2379</v>
      </c>
      <c r="L294">
        <v>0.27810000000000001</v>
      </c>
      <c r="M294">
        <v>1.46</v>
      </c>
      <c r="N294">
        <v>0.99</v>
      </c>
      <c r="O294">
        <v>70.2</v>
      </c>
      <c r="P294">
        <v>69.900000000000006</v>
      </c>
      <c r="Q294">
        <v>0</v>
      </c>
      <c r="R294">
        <v>0</v>
      </c>
      <c r="S294">
        <v>0.7</v>
      </c>
      <c r="T294">
        <v>1</v>
      </c>
      <c r="U294">
        <v>1.47</v>
      </c>
      <c r="V294">
        <v>1.1000000000000001</v>
      </c>
      <c r="W294">
        <v>0</v>
      </c>
      <c r="X294">
        <v>0</v>
      </c>
    </row>
    <row r="295" spans="2:24" hidden="1" x14ac:dyDescent="0.35">
      <c r="B295">
        <v>2016</v>
      </c>
      <c r="C295" s="1">
        <v>42827</v>
      </c>
      <c r="D295">
        <v>2411</v>
      </c>
      <c r="E295" t="s">
        <v>23</v>
      </c>
      <c r="F295" t="s">
        <v>40</v>
      </c>
      <c r="G295" t="s">
        <v>36</v>
      </c>
      <c r="H295">
        <v>78.22</v>
      </c>
      <c r="I295">
        <v>84.76</v>
      </c>
      <c r="J295">
        <v>0.32900000000000001</v>
      </c>
      <c r="K295">
        <v>0.42880000000000001</v>
      </c>
      <c r="L295">
        <v>0.2422</v>
      </c>
      <c r="M295">
        <v>1.6</v>
      </c>
      <c r="N295">
        <v>1.77</v>
      </c>
      <c r="O295">
        <v>76.400000000000006</v>
      </c>
      <c r="P295">
        <v>61.4</v>
      </c>
      <c r="Q295">
        <v>2</v>
      </c>
      <c r="R295">
        <v>2</v>
      </c>
      <c r="S295">
        <v>0.87</v>
      </c>
      <c r="T295">
        <v>1.32</v>
      </c>
      <c r="U295">
        <v>1.42</v>
      </c>
      <c r="V295">
        <v>1.94</v>
      </c>
      <c r="W295">
        <v>2.1</v>
      </c>
      <c r="X295">
        <v>2.1</v>
      </c>
    </row>
    <row r="296" spans="2:24" hidden="1" x14ac:dyDescent="0.35">
      <c r="B296">
        <v>2016</v>
      </c>
      <c r="C296" s="1">
        <v>42829</v>
      </c>
      <c r="D296">
        <v>2411</v>
      </c>
      <c r="E296" t="s">
        <v>23</v>
      </c>
      <c r="F296" t="s">
        <v>35</v>
      </c>
      <c r="G296" t="s">
        <v>31</v>
      </c>
      <c r="H296">
        <v>58.57</v>
      </c>
      <c r="I296">
        <v>59.97</v>
      </c>
      <c r="J296">
        <v>0.43990000000000001</v>
      </c>
      <c r="K296">
        <v>0.27400000000000002</v>
      </c>
      <c r="L296">
        <v>0.28610000000000002</v>
      </c>
      <c r="M296">
        <v>1.36</v>
      </c>
      <c r="N296">
        <v>1.07</v>
      </c>
      <c r="Q296">
        <v>2</v>
      </c>
      <c r="R296">
        <v>0</v>
      </c>
      <c r="S296">
        <v>0.75</v>
      </c>
      <c r="T296">
        <v>1.94</v>
      </c>
      <c r="U296">
        <v>0.83</v>
      </c>
      <c r="V296">
        <v>1.88</v>
      </c>
      <c r="W296">
        <v>2.1</v>
      </c>
      <c r="X296">
        <v>0</v>
      </c>
    </row>
    <row r="297" spans="2:24" hidden="1" x14ac:dyDescent="0.35">
      <c r="B297">
        <v>2016</v>
      </c>
      <c r="C297" s="1">
        <v>42829</v>
      </c>
      <c r="D297">
        <v>2411</v>
      </c>
      <c r="E297" t="s">
        <v>23</v>
      </c>
      <c r="F297" t="s">
        <v>25</v>
      </c>
      <c r="G297" t="s">
        <v>37</v>
      </c>
      <c r="H297">
        <v>61.03</v>
      </c>
      <c r="I297">
        <v>45.81</v>
      </c>
      <c r="J297">
        <v>0.57789999999999997</v>
      </c>
      <c r="K297">
        <v>0.17119999999999999</v>
      </c>
      <c r="L297">
        <v>0.25090000000000001</v>
      </c>
      <c r="M297">
        <v>1.73</v>
      </c>
      <c r="N297">
        <v>0.83</v>
      </c>
      <c r="Q297">
        <v>2</v>
      </c>
      <c r="R297">
        <v>0</v>
      </c>
      <c r="S297">
        <v>1.1000000000000001</v>
      </c>
      <c r="T297">
        <v>0.88</v>
      </c>
      <c r="U297">
        <v>1.52</v>
      </c>
      <c r="V297">
        <v>0.56000000000000005</v>
      </c>
      <c r="W297">
        <v>1.9</v>
      </c>
      <c r="X297">
        <v>0</v>
      </c>
    </row>
    <row r="298" spans="2:24" hidden="1" x14ac:dyDescent="0.35">
      <c r="B298">
        <v>2016</v>
      </c>
      <c r="C298" s="1">
        <v>42829</v>
      </c>
      <c r="D298">
        <v>2411</v>
      </c>
      <c r="E298" t="s">
        <v>23</v>
      </c>
      <c r="F298" t="s">
        <v>32</v>
      </c>
      <c r="G298" t="s">
        <v>27</v>
      </c>
      <c r="H298">
        <v>59.7</v>
      </c>
      <c r="I298">
        <v>63.15</v>
      </c>
      <c r="J298">
        <v>0.4178</v>
      </c>
      <c r="K298">
        <v>0.2888</v>
      </c>
      <c r="L298">
        <v>0.29339999999999999</v>
      </c>
      <c r="M298">
        <v>1.28</v>
      </c>
      <c r="N298">
        <v>1.06</v>
      </c>
      <c r="Q298">
        <v>1</v>
      </c>
      <c r="R298">
        <v>0</v>
      </c>
      <c r="S298">
        <v>0.34</v>
      </c>
      <c r="T298">
        <v>1.1100000000000001</v>
      </c>
      <c r="U298">
        <v>0.82</v>
      </c>
      <c r="V298">
        <v>1.47</v>
      </c>
      <c r="W298">
        <v>1.05</v>
      </c>
      <c r="X298">
        <v>0</v>
      </c>
    </row>
    <row r="299" spans="2:24" hidden="1" x14ac:dyDescent="0.35">
      <c r="B299">
        <v>2016</v>
      </c>
      <c r="C299" s="1">
        <v>42829</v>
      </c>
      <c r="D299">
        <v>2411</v>
      </c>
      <c r="E299" t="s">
        <v>23</v>
      </c>
      <c r="F299" t="s">
        <v>39</v>
      </c>
      <c r="G299" t="s">
        <v>28</v>
      </c>
      <c r="H299">
        <v>81.430000000000007</v>
      </c>
      <c r="I299">
        <v>74.150000000000006</v>
      </c>
      <c r="J299">
        <v>0.57069999999999999</v>
      </c>
      <c r="K299">
        <v>0.1744</v>
      </c>
      <c r="L299">
        <v>0.255</v>
      </c>
      <c r="M299">
        <v>1.65</v>
      </c>
      <c r="N299">
        <v>0.88</v>
      </c>
      <c r="Q299">
        <v>1</v>
      </c>
      <c r="R299">
        <v>1</v>
      </c>
      <c r="S299">
        <v>3.09</v>
      </c>
      <c r="T299">
        <v>0.64</v>
      </c>
      <c r="U299">
        <v>3.03</v>
      </c>
      <c r="V299">
        <v>0.93</v>
      </c>
      <c r="W299">
        <v>1.05</v>
      </c>
      <c r="X299">
        <v>1.05</v>
      </c>
    </row>
    <row r="300" spans="2:24" hidden="1" x14ac:dyDescent="0.35">
      <c r="B300">
        <v>2016</v>
      </c>
      <c r="C300" s="1">
        <v>42830</v>
      </c>
      <c r="D300">
        <v>2411</v>
      </c>
      <c r="E300" t="s">
        <v>23</v>
      </c>
      <c r="F300" t="s">
        <v>24</v>
      </c>
      <c r="G300" t="s">
        <v>26</v>
      </c>
      <c r="H300">
        <v>47.44</v>
      </c>
      <c r="I300">
        <v>51.78</v>
      </c>
      <c r="J300">
        <v>0.40720000000000001</v>
      </c>
      <c r="K300">
        <v>0.28089999999999998</v>
      </c>
      <c r="L300">
        <v>0.31190000000000001</v>
      </c>
      <c r="M300">
        <v>1.1100000000000001</v>
      </c>
      <c r="N300">
        <v>0.91</v>
      </c>
      <c r="Q300">
        <v>4</v>
      </c>
      <c r="R300">
        <v>2</v>
      </c>
      <c r="S300">
        <v>2.04</v>
      </c>
      <c r="T300">
        <v>1.5</v>
      </c>
      <c r="U300">
        <v>1.34</v>
      </c>
      <c r="V300">
        <v>1.49</v>
      </c>
      <c r="W300">
        <v>4.2</v>
      </c>
      <c r="X300">
        <v>2.1</v>
      </c>
    </row>
    <row r="301" spans="2:24" hidden="1" x14ac:dyDescent="0.35">
      <c r="B301">
        <v>2016</v>
      </c>
      <c r="C301" s="1">
        <v>42830</v>
      </c>
      <c r="D301">
        <v>2411</v>
      </c>
      <c r="E301" t="s">
        <v>23</v>
      </c>
      <c r="F301" t="s">
        <v>33</v>
      </c>
      <c r="G301" t="s">
        <v>29</v>
      </c>
      <c r="H301">
        <v>56.01</v>
      </c>
      <c r="I301">
        <v>81.84</v>
      </c>
      <c r="J301">
        <v>0.1469</v>
      </c>
      <c r="K301">
        <v>0.63949999999999996</v>
      </c>
      <c r="L301">
        <v>0.21360000000000001</v>
      </c>
      <c r="M301">
        <v>1.02</v>
      </c>
      <c r="N301">
        <v>2.02</v>
      </c>
      <c r="Q301">
        <v>1</v>
      </c>
      <c r="R301">
        <v>3</v>
      </c>
      <c r="S301">
        <v>0.73</v>
      </c>
      <c r="T301">
        <v>2.56</v>
      </c>
      <c r="U301">
        <v>0.87</v>
      </c>
      <c r="V301">
        <v>2.68</v>
      </c>
      <c r="W301">
        <v>1.05</v>
      </c>
      <c r="X301">
        <v>2.63</v>
      </c>
    </row>
    <row r="302" spans="2:24" hidden="1" x14ac:dyDescent="0.35">
      <c r="B302">
        <v>2016</v>
      </c>
      <c r="C302" s="1">
        <v>42830</v>
      </c>
      <c r="D302">
        <v>2411</v>
      </c>
      <c r="E302" t="s">
        <v>23</v>
      </c>
      <c r="F302" t="s">
        <v>40</v>
      </c>
      <c r="G302" t="s">
        <v>43</v>
      </c>
      <c r="H302">
        <v>78.17</v>
      </c>
      <c r="I302">
        <v>61.41</v>
      </c>
      <c r="J302">
        <v>0.68469999999999998</v>
      </c>
      <c r="K302">
        <v>0.1346</v>
      </c>
      <c r="L302">
        <v>0.1807</v>
      </c>
      <c r="M302">
        <v>2.4900000000000002</v>
      </c>
      <c r="N302">
        <v>1.17</v>
      </c>
      <c r="Q302">
        <v>3</v>
      </c>
      <c r="R302">
        <v>0</v>
      </c>
      <c r="S302">
        <v>2.2200000000000002</v>
      </c>
      <c r="T302">
        <v>0.34</v>
      </c>
      <c r="U302">
        <v>2.84</v>
      </c>
      <c r="V302">
        <v>0.49</v>
      </c>
      <c r="W302">
        <v>2.81</v>
      </c>
      <c r="X302">
        <v>0</v>
      </c>
    </row>
    <row r="303" spans="2:24" hidden="1" x14ac:dyDescent="0.35">
      <c r="B303">
        <v>2016</v>
      </c>
      <c r="C303" s="1">
        <v>42830</v>
      </c>
      <c r="D303">
        <v>2411</v>
      </c>
      <c r="E303" t="s">
        <v>23</v>
      </c>
      <c r="F303" t="s">
        <v>34</v>
      </c>
      <c r="G303" t="s">
        <v>30</v>
      </c>
      <c r="H303">
        <v>67.27</v>
      </c>
      <c r="I303">
        <v>59.95</v>
      </c>
      <c r="J303">
        <v>0.53749999999999998</v>
      </c>
      <c r="K303">
        <v>0.1976</v>
      </c>
      <c r="L303">
        <v>0.26490000000000002</v>
      </c>
      <c r="M303">
        <v>1.59</v>
      </c>
      <c r="N303">
        <v>0.91</v>
      </c>
      <c r="Q303">
        <v>3</v>
      </c>
      <c r="R303">
        <v>1</v>
      </c>
      <c r="S303">
        <v>3.53</v>
      </c>
      <c r="T303">
        <v>1.8</v>
      </c>
      <c r="U303">
        <v>2.73</v>
      </c>
      <c r="V303">
        <v>1.56</v>
      </c>
      <c r="W303">
        <v>2.76</v>
      </c>
      <c r="X303">
        <v>1.05</v>
      </c>
    </row>
    <row r="304" spans="2:24" hidden="1" x14ac:dyDescent="0.35">
      <c r="B304">
        <v>2016</v>
      </c>
      <c r="C304" s="1">
        <v>42830</v>
      </c>
      <c r="D304">
        <v>2411</v>
      </c>
      <c r="E304" t="s">
        <v>23</v>
      </c>
      <c r="F304" t="s">
        <v>41</v>
      </c>
      <c r="G304" t="s">
        <v>38</v>
      </c>
      <c r="H304">
        <v>80.73</v>
      </c>
      <c r="I304">
        <v>61.84</v>
      </c>
      <c r="J304">
        <v>0.71120000000000005</v>
      </c>
      <c r="K304">
        <v>0.1138</v>
      </c>
      <c r="L304">
        <v>0.1749</v>
      </c>
      <c r="M304">
        <v>2.46</v>
      </c>
      <c r="N304">
        <v>1.01</v>
      </c>
      <c r="Q304">
        <v>2</v>
      </c>
      <c r="R304">
        <v>2</v>
      </c>
      <c r="S304">
        <v>2.16</v>
      </c>
      <c r="T304">
        <v>1</v>
      </c>
      <c r="U304">
        <v>2.1</v>
      </c>
      <c r="V304">
        <v>0.52</v>
      </c>
      <c r="W304">
        <v>2.1</v>
      </c>
      <c r="X304">
        <v>2.1</v>
      </c>
    </row>
    <row r="305" spans="2:24" hidden="1" x14ac:dyDescent="0.35">
      <c r="B305">
        <v>2016</v>
      </c>
      <c r="C305" s="1">
        <v>42830</v>
      </c>
      <c r="D305">
        <v>2411</v>
      </c>
      <c r="E305" t="s">
        <v>23</v>
      </c>
      <c r="F305" t="s">
        <v>42</v>
      </c>
      <c r="G305" t="s">
        <v>36</v>
      </c>
      <c r="H305">
        <v>84.62</v>
      </c>
      <c r="I305">
        <v>84.8</v>
      </c>
      <c r="J305">
        <v>0.45850000000000002</v>
      </c>
      <c r="K305">
        <v>0.27500000000000002</v>
      </c>
      <c r="L305">
        <v>0.26650000000000001</v>
      </c>
      <c r="M305">
        <v>1.55</v>
      </c>
      <c r="N305">
        <v>1.2</v>
      </c>
      <c r="Q305">
        <v>2</v>
      </c>
      <c r="R305">
        <v>1</v>
      </c>
      <c r="S305">
        <v>1.93</v>
      </c>
      <c r="T305">
        <v>2.17</v>
      </c>
      <c r="U305">
        <v>1.3</v>
      </c>
      <c r="V305">
        <v>1.85</v>
      </c>
      <c r="W305">
        <v>2.1</v>
      </c>
      <c r="X305">
        <v>1.05</v>
      </c>
    </row>
    <row r="306" spans="2:24" hidden="1" x14ac:dyDescent="0.35">
      <c r="B306">
        <v>2016</v>
      </c>
      <c r="C306" s="1">
        <v>42833</v>
      </c>
      <c r="D306">
        <v>2411</v>
      </c>
      <c r="E306" t="s">
        <v>23</v>
      </c>
      <c r="F306" t="s">
        <v>29</v>
      </c>
      <c r="G306" t="s">
        <v>35</v>
      </c>
      <c r="H306">
        <v>82.35</v>
      </c>
      <c r="I306">
        <v>58.78</v>
      </c>
      <c r="J306">
        <v>0.7389</v>
      </c>
      <c r="K306">
        <v>8.0799999999999997E-2</v>
      </c>
      <c r="L306">
        <v>0.18029999999999999</v>
      </c>
      <c r="M306">
        <v>2.2799999999999998</v>
      </c>
      <c r="N306">
        <v>0.53</v>
      </c>
      <c r="O306">
        <v>29.4</v>
      </c>
      <c r="P306">
        <v>0.9</v>
      </c>
      <c r="Q306">
        <v>4</v>
      </c>
      <c r="R306">
        <v>0</v>
      </c>
      <c r="S306">
        <v>1.41</v>
      </c>
      <c r="T306">
        <v>0.36</v>
      </c>
      <c r="U306">
        <v>1.84</v>
      </c>
      <c r="V306">
        <v>0.67</v>
      </c>
      <c r="W306">
        <v>4.2</v>
      </c>
      <c r="X306">
        <v>0</v>
      </c>
    </row>
    <row r="307" spans="2:24" hidden="1" x14ac:dyDescent="0.35">
      <c r="B307">
        <v>2016</v>
      </c>
      <c r="C307" s="1">
        <v>42833</v>
      </c>
      <c r="D307">
        <v>2411</v>
      </c>
      <c r="E307" t="s">
        <v>23</v>
      </c>
      <c r="F307" t="s">
        <v>43</v>
      </c>
      <c r="G307" t="s">
        <v>33</v>
      </c>
      <c r="H307">
        <v>60.11</v>
      </c>
      <c r="I307">
        <v>55.29</v>
      </c>
      <c r="J307">
        <v>0.51190000000000002</v>
      </c>
      <c r="K307">
        <v>0.2417</v>
      </c>
      <c r="L307">
        <v>0.24629999999999999</v>
      </c>
      <c r="M307">
        <v>1.86</v>
      </c>
      <c r="N307">
        <v>1.27</v>
      </c>
      <c r="O307">
        <v>21</v>
      </c>
      <c r="P307">
        <v>75.400000000000006</v>
      </c>
      <c r="Q307">
        <v>1</v>
      </c>
      <c r="R307">
        <v>0</v>
      </c>
      <c r="S307">
        <v>1.37</v>
      </c>
      <c r="T307">
        <v>0.26</v>
      </c>
      <c r="U307">
        <v>1.1499999999999999</v>
      </c>
      <c r="V307">
        <v>1.1599999999999999</v>
      </c>
      <c r="W307">
        <v>1.05</v>
      </c>
      <c r="X307">
        <v>0</v>
      </c>
    </row>
    <row r="308" spans="2:24" hidden="1" x14ac:dyDescent="0.35">
      <c r="B308">
        <v>2016</v>
      </c>
      <c r="C308" s="1">
        <v>42833</v>
      </c>
      <c r="D308">
        <v>2411</v>
      </c>
      <c r="E308" t="s">
        <v>23</v>
      </c>
      <c r="F308" t="s">
        <v>27</v>
      </c>
      <c r="G308" t="s">
        <v>41</v>
      </c>
      <c r="H308">
        <v>63.22</v>
      </c>
      <c r="I308">
        <v>80.180000000000007</v>
      </c>
      <c r="J308">
        <v>0.23810000000000001</v>
      </c>
      <c r="K308">
        <v>0.51290000000000002</v>
      </c>
      <c r="L308">
        <v>0.24909999999999999</v>
      </c>
      <c r="M308">
        <v>1.21</v>
      </c>
      <c r="N308">
        <v>1.7</v>
      </c>
      <c r="O308">
        <v>1.4</v>
      </c>
      <c r="P308">
        <v>80.7</v>
      </c>
      <c r="Q308">
        <v>1</v>
      </c>
      <c r="R308">
        <v>2</v>
      </c>
      <c r="S308">
        <v>1.68</v>
      </c>
      <c r="T308">
        <v>1.07</v>
      </c>
      <c r="U308">
        <v>1.41</v>
      </c>
      <c r="V308">
        <v>1.4</v>
      </c>
      <c r="W308">
        <v>1.05</v>
      </c>
      <c r="X308">
        <v>2.1</v>
      </c>
    </row>
    <row r="309" spans="2:24" hidden="1" x14ac:dyDescent="0.35">
      <c r="B309">
        <v>2016</v>
      </c>
      <c r="C309" s="1">
        <v>42833</v>
      </c>
      <c r="D309">
        <v>2411</v>
      </c>
      <c r="E309" t="s">
        <v>23</v>
      </c>
      <c r="F309" t="s">
        <v>31</v>
      </c>
      <c r="G309" t="s">
        <v>34</v>
      </c>
      <c r="H309">
        <v>59.76</v>
      </c>
      <c r="I309">
        <v>68.239999999999995</v>
      </c>
      <c r="J309">
        <v>0.36320000000000002</v>
      </c>
      <c r="K309">
        <v>0.34250000000000003</v>
      </c>
      <c r="L309">
        <v>0.29430000000000001</v>
      </c>
      <c r="M309">
        <v>1.19</v>
      </c>
      <c r="N309">
        <v>1.19</v>
      </c>
      <c r="O309">
        <v>0</v>
      </c>
      <c r="P309">
        <v>0.1</v>
      </c>
      <c r="Q309">
        <v>0</v>
      </c>
      <c r="R309">
        <v>1</v>
      </c>
      <c r="S309">
        <v>2.1</v>
      </c>
      <c r="T309">
        <v>0.81</v>
      </c>
      <c r="U309">
        <v>1.79</v>
      </c>
      <c r="V309">
        <v>1.28</v>
      </c>
      <c r="W309">
        <v>0</v>
      </c>
      <c r="X309">
        <v>1.05</v>
      </c>
    </row>
    <row r="310" spans="2:24" hidden="1" x14ac:dyDescent="0.35">
      <c r="B310">
        <v>2016</v>
      </c>
      <c r="C310" s="1">
        <v>42833</v>
      </c>
      <c r="D310">
        <v>2411</v>
      </c>
      <c r="E310" t="s">
        <v>23</v>
      </c>
      <c r="F310" t="s">
        <v>36</v>
      </c>
      <c r="G310" t="s">
        <v>24</v>
      </c>
      <c r="H310">
        <v>84.87</v>
      </c>
      <c r="I310">
        <v>48.81</v>
      </c>
      <c r="J310">
        <v>0.82079999999999997</v>
      </c>
      <c r="K310">
        <v>4.8800000000000003E-2</v>
      </c>
      <c r="L310">
        <v>0.13039999999999999</v>
      </c>
      <c r="M310">
        <v>2.75</v>
      </c>
      <c r="N310">
        <v>0.42</v>
      </c>
      <c r="O310">
        <v>96.1</v>
      </c>
      <c r="P310">
        <v>65.400000000000006</v>
      </c>
      <c r="Q310">
        <v>3</v>
      </c>
      <c r="R310">
        <v>1</v>
      </c>
      <c r="S310">
        <v>2.44</v>
      </c>
      <c r="T310">
        <v>0.28999999999999998</v>
      </c>
      <c r="U310">
        <v>2.68</v>
      </c>
      <c r="V310">
        <v>0.51</v>
      </c>
      <c r="W310">
        <v>3.15</v>
      </c>
      <c r="X310">
        <v>1.05</v>
      </c>
    </row>
    <row r="311" spans="2:24" hidden="1" x14ac:dyDescent="0.35">
      <c r="B311">
        <v>2016</v>
      </c>
      <c r="C311" s="1">
        <v>42833</v>
      </c>
      <c r="D311">
        <v>2411</v>
      </c>
      <c r="E311" t="s">
        <v>23</v>
      </c>
      <c r="F311" t="s">
        <v>26</v>
      </c>
      <c r="G311" t="s">
        <v>32</v>
      </c>
      <c r="H311">
        <v>50.44</v>
      </c>
      <c r="I311">
        <v>59.59</v>
      </c>
      <c r="J311">
        <v>0.38979999999999998</v>
      </c>
      <c r="K311">
        <v>0.30149999999999999</v>
      </c>
      <c r="L311">
        <v>0.30859999999999999</v>
      </c>
      <c r="M311">
        <v>1.1000000000000001</v>
      </c>
      <c r="N311">
        <v>1</v>
      </c>
      <c r="O311">
        <v>27.8</v>
      </c>
      <c r="P311">
        <v>3.4</v>
      </c>
      <c r="Q311">
        <v>0</v>
      </c>
      <c r="R311">
        <v>0</v>
      </c>
      <c r="S311">
        <v>0.64</v>
      </c>
      <c r="T311">
        <v>0.97</v>
      </c>
      <c r="U311">
        <v>1.38</v>
      </c>
      <c r="V311">
        <v>1.47</v>
      </c>
      <c r="W311">
        <v>0</v>
      </c>
      <c r="X311">
        <v>0</v>
      </c>
    </row>
    <row r="312" spans="2:24" hidden="1" x14ac:dyDescent="0.35">
      <c r="B312">
        <v>2016</v>
      </c>
      <c r="C312" s="1">
        <v>42833</v>
      </c>
      <c r="D312">
        <v>2411</v>
      </c>
      <c r="E312" t="s">
        <v>23</v>
      </c>
      <c r="F312" t="s">
        <v>38</v>
      </c>
      <c r="G312" t="s">
        <v>42</v>
      </c>
      <c r="H312">
        <v>62.59</v>
      </c>
      <c r="I312">
        <v>84.64</v>
      </c>
      <c r="J312">
        <v>0.15240000000000001</v>
      </c>
      <c r="K312">
        <v>0.63890000000000002</v>
      </c>
      <c r="L312">
        <v>0.2087</v>
      </c>
      <c r="M312">
        <v>1.1200000000000001</v>
      </c>
      <c r="N312">
        <v>2.04</v>
      </c>
      <c r="O312">
        <v>1.3</v>
      </c>
      <c r="P312">
        <v>53.4</v>
      </c>
      <c r="Q312">
        <v>1</v>
      </c>
      <c r="R312">
        <v>3</v>
      </c>
      <c r="S312">
        <v>0.53</v>
      </c>
      <c r="T312">
        <v>1.9</v>
      </c>
      <c r="U312">
        <v>0.64</v>
      </c>
      <c r="V312">
        <v>2.21</v>
      </c>
      <c r="W312">
        <v>1.05</v>
      </c>
      <c r="X312">
        <v>3.15</v>
      </c>
    </row>
    <row r="313" spans="2:24" hidden="1" x14ac:dyDescent="0.35">
      <c r="B313">
        <v>2016</v>
      </c>
      <c r="C313" s="1">
        <v>42834</v>
      </c>
      <c r="D313">
        <v>2411</v>
      </c>
      <c r="E313" t="s">
        <v>23</v>
      </c>
      <c r="F313" t="s">
        <v>37</v>
      </c>
      <c r="G313" t="s">
        <v>39</v>
      </c>
      <c r="H313">
        <v>45.28</v>
      </c>
      <c r="I313">
        <v>81.73</v>
      </c>
      <c r="J313">
        <v>0.1091</v>
      </c>
      <c r="K313">
        <v>0.67849999999999999</v>
      </c>
      <c r="L313">
        <v>0.21249999999999999</v>
      </c>
      <c r="M313">
        <v>0.71</v>
      </c>
      <c r="N313">
        <v>1.88</v>
      </c>
      <c r="O313">
        <v>9.1999999999999993</v>
      </c>
      <c r="P313">
        <v>51.1</v>
      </c>
      <c r="Q313">
        <v>0</v>
      </c>
      <c r="R313">
        <v>3</v>
      </c>
      <c r="S313">
        <v>1.1299999999999999</v>
      </c>
      <c r="T313">
        <v>1.33</v>
      </c>
      <c r="U313">
        <v>1.46</v>
      </c>
      <c r="V313">
        <v>2.06</v>
      </c>
      <c r="W313">
        <v>0</v>
      </c>
      <c r="X313">
        <v>2.65</v>
      </c>
    </row>
    <row r="314" spans="2:24" hidden="1" x14ac:dyDescent="0.35">
      <c r="B314">
        <v>2016</v>
      </c>
      <c r="C314" s="1">
        <v>42834</v>
      </c>
      <c r="D314">
        <v>2411</v>
      </c>
      <c r="E314" t="s">
        <v>23</v>
      </c>
      <c r="F314" t="s">
        <v>28</v>
      </c>
      <c r="G314" t="s">
        <v>25</v>
      </c>
      <c r="H314">
        <v>73.84</v>
      </c>
      <c r="I314">
        <v>61.57</v>
      </c>
      <c r="J314">
        <v>0.60570000000000002</v>
      </c>
      <c r="K314">
        <v>0.16089999999999999</v>
      </c>
      <c r="L314">
        <v>0.2334</v>
      </c>
      <c r="M314">
        <v>1.86</v>
      </c>
      <c r="N314">
        <v>0.92</v>
      </c>
      <c r="O314">
        <v>2.4</v>
      </c>
      <c r="P314">
        <v>0.6</v>
      </c>
      <c r="Q314">
        <v>4</v>
      </c>
      <c r="R314">
        <v>2</v>
      </c>
      <c r="S314">
        <v>2.44</v>
      </c>
      <c r="T314">
        <v>0.77</v>
      </c>
      <c r="U314">
        <v>2.57</v>
      </c>
      <c r="V314">
        <v>0.52</v>
      </c>
      <c r="W314">
        <v>4.2</v>
      </c>
      <c r="X314">
        <v>2.1</v>
      </c>
    </row>
    <row r="315" spans="2:24" hidden="1" x14ac:dyDescent="0.35">
      <c r="B315">
        <v>2016</v>
      </c>
      <c r="C315" s="1">
        <v>42835</v>
      </c>
      <c r="D315">
        <v>2411</v>
      </c>
      <c r="E315" t="s">
        <v>23</v>
      </c>
      <c r="F315" t="s">
        <v>30</v>
      </c>
      <c r="G315" t="s">
        <v>40</v>
      </c>
      <c r="H315">
        <v>59.03</v>
      </c>
      <c r="I315">
        <v>79.12</v>
      </c>
      <c r="J315">
        <v>0.19819999999999999</v>
      </c>
      <c r="K315">
        <v>0.58540000000000003</v>
      </c>
      <c r="L315">
        <v>0.21640000000000001</v>
      </c>
      <c r="M315">
        <v>1.33</v>
      </c>
      <c r="N315">
        <v>2.06</v>
      </c>
      <c r="O315">
        <v>29.6</v>
      </c>
      <c r="P315">
        <v>71.400000000000006</v>
      </c>
      <c r="Q315">
        <v>3</v>
      </c>
      <c r="R315">
        <v>0</v>
      </c>
      <c r="S315">
        <v>2.1800000000000002</v>
      </c>
      <c r="T315">
        <v>0.56999999999999995</v>
      </c>
      <c r="U315">
        <v>1.69</v>
      </c>
      <c r="V315">
        <v>1.95</v>
      </c>
      <c r="W315">
        <v>3.15</v>
      </c>
      <c r="X315">
        <v>0</v>
      </c>
    </row>
    <row r="316" spans="2:24" hidden="1" x14ac:dyDescent="0.35">
      <c r="B316">
        <v>2016</v>
      </c>
      <c r="C316" s="1">
        <v>42840</v>
      </c>
      <c r="D316">
        <v>2411</v>
      </c>
      <c r="E316" t="s">
        <v>23</v>
      </c>
      <c r="F316" t="s">
        <v>29</v>
      </c>
      <c r="G316" t="s">
        <v>38</v>
      </c>
      <c r="H316">
        <v>83.15</v>
      </c>
      <c r="I316">
        <v>61.75</v>
      </c>
      <c r="J316">
        <v>0.7359</v>
      </c>
      <c r="K316">
        <v>8.9099999999999999E-2</v>
      </c>
      <c r="L316">
        <v>0.1749</v>
      </c>
      <c r="M316">
        <v>2.42</v>
      </c>
      <c r="N316">
        <v>0.66</v>
      </c>
      <c r="O316">
        <v>21.8</v>
      </c>
      <c r="P316">
        <v>1.5</v>
      </c>
      <c r="Q316">
        <v>4</v>
      </c>
      <c r="R316">
        <v>0</v>
      </c>
      <c r="S316">
        <v>2.93</v>
      </c>
      <c r="T316">
        <v>0.25</v>
      </c>
      <c r="U316">
        <v>2.57</v>
      </c>
      <c r="V316">
        <v>0.85</v>
      </c>
      <c r="W316">
        <v>3.68</v>
      </c>
      <c r="X316">
        <v>0</v>
      </c>
    </row>
    <row r="317" spans="2:24" hidden="1" x14ac:dyDescent="0.35">
      <c r="B317">
        <v>2016</v>
      </c>
      <c r="C317" s="1">
        <v>42840</v>
      </c>
      <c r="D317">
        <v>2411</v>
      </c>
      <c r="E317" t="s">
        <v>23</v>
      </c>
      <c r="F317" t="s">
        <v>30</v>
      </c>
      <c r="G317" t="s">
        <v>25</v>
      </c>
      <c r="H317">
        <v>61.58</v>
      </c>
      <c r="I317">
        <v>60.75</v>
      </c>
      <c r="J317">
        <v>0.46860000000000002</v>
      </c>
      <c r="K317">
        <v>0.26619999999999999</v>
      </c>
      <c r="L317">
        <v>0.26519999999999999</v>
      </c>
      <c r="M317">
        <v>1.59</v>
      </c>
      <c r="N317">
        <v>1.2</v>
      </c>
      <c r="O317">
        <v>8.8000000000000007</v>
      </c>
      <c r="P317">
        <v>1.2</v>
      </c>
      <c r="Q317">
        <v>2</v>
      </c>
      <c r="R317">
        <v>2</v>
      </c>
      <c r="S317">
        <v>1.98</v>
      </c>
      <c r="T317">
        <v>0.42</v>
      </c>
      <c r="U317">
        <v>2.21</v>
      </c>
      <c r="V317">
        <v>1.18</v>
      </c>
      <c r="W317">
        <v>2.1</v>
      </c>
      <c r="X317">
        <v>2.1</v>
      </c>
    </row>
    <row r="318" spans="2:24" hidden="1" x14ac:dyDescent="0.35">
      <c r="B318">
        <v>2016</v>
      </c>
      <c r="C318" s="1">
        <v>42840</v>
      </c>
      <c r="D318">
        <v>2411</v>
      </c>
      <c r="E318" t="s">
        <v>23</v>
      </c>
      <c r="F318" t="s">
        <v>28</v>
      </c>
      <c r="G318" t="s">
        <v>32</v>
      </c>
      <c r="H318">
        <v>74.650000000000006</v>
      </c>
      <c r="I318">
        <v>59.94</v>
      </c>
      <c r="J318">
        <v>0.622</v>
      </c>
      <c r="K318">
        <v>0.1431</v>
      </c>
      <c r="L318">
        <v>0.2349</v>
      </c>
      <c r="M318">
        <v>1.8</v>
      </c>
      <c r="N318">
        <v>0.78</v>
      </c>
      <c r="O318">
        <v>3</v>
      </c>
      <c r="P318">
        <v>0.8</v>
      </c>
      <c r="Q318">
        <v>3</v>
      </c>
      <c r="R318">
        <v>1</v>
      </c>
      <c r="S318">
        <v>1.96</v>
      </c>
      <c r="T318">
        <v>1.25</v>
      </c>
      <c r="U318">
        <v>2.5299999999999998</v>
      </c>
      <c r="V318">
        <v>1.33</v>
      </c>
      <c r="W318">
        <v>3.05</v>
      </c>
      <c r="X318">
        <v>1.05</v>
      </c>
    </row>
    <row r="319" spans="2:24" hidden="1" x14ac:dyDescent="0.35">
      <c r="B319">
        <v>2016</v>
      </c>
      <c r="C319" s="1">
        <v>42840</v>
      </c>
      <c r="D319">
        <v>2411</v>
      </c>
      <c r="E319" t="s">
        <v>23</v>
      </c>
      <c r="F319" t="s">
        <v>37</v>
      </c>
      <c r="G319" t="s">
        <v>43</v>
      </c>
      <c r="H319">
        <v>44.86</v>
      </c>
      <c r="I319">
        <v>60.4</v>
      </c>
      <c r="J319">
        <v>0.32900000000000001</v>
      </c>
      <c r="K319">
        <v>0.3916</v>
      </c>
      <c r="L319">
        <v>0.27939999999999998</v>
      </c>
      <c r="M319">
        <v>1.21</v>
      </c>
      <c r="N319">
        <v>1.43</v>
      </c>
      <c r="O319">
        <v>6.1</v>
      </c>
      <c r="P319">
        <v>3.2</v>
      </c>
      <c r="Q319">
        <v>2</v>
      </c>
      <c r="R319">
        <v>2</v>
      </c>
      <c r="S319">
        <v>1.55</v>
      </c>
      <c r="T319">
        <v>1.47</v>
      </c>
      <c r="U319">
        <v>1.58</v>
      </c>
      <c r="V319">
        <v>0.89</v>
      </c>
      <c r="W319">
        <v>2.1</v>
      </c>
      <c r="X319">
        <v>2.1</v>
      </c>
    </row>
    <row r="320" spans="2:24" hidden="1" x14ac:dyDescent="0.35">
      <c r="B320">
        <v>2016</v>
      </c>
      <c r="C320" s="1">
        <v>42840</v>
      </c>
      <c r="D320">
        <v>2411</v>
      </c>
      <c r="E320" t="s">
        <v>23</v>
      </c>
      <c r="F320" t="s">
        <v>27</v>
      </c>
      <c r="G320" t="s">
        <v>24</v>
      </c>
      <c r="H320">
        <v>63.38</v>
      </c>
      <c r="I320">
        <v>49</v>
      </c>
      <c r="J320">
        <v>0.57189999999999996</v>
      </c>
      <c r="K320">
        <v>0.17199999999999999</v>
      </c>
      <c r="L320">
        <v>0.25600000000000001</v>
      </c>
      <c r="M320">
        <v>1.68</v>
      </c>
      <c r="N320">
        <v>0.82</v>
      </c>
      <c r="O320">
        <v>4.5999999999999996</v>
      </c>
      <c r="P320">
        <v>66.400000000000006</v>
      </c>
      <c r="Q320">
        <v>3</v>
      </c>
      <c r="R320">
        <v>1</v>
      </c>
      <c r="S320">
        <v>1.99</v>
      </c>
      <c r="T320">
        <v>1.26</v>
      </c>
      <c r="U320">
        <v>1.77</v>
      </c>
      <c r="V320">
        <v>1.33</v>
      </c>
      <c r="W320">
        <v>2.89</v>
      </c>
      <c r="X320">
        <v>1.05</v>
      </c>
    </row>
    <row r="321" spans="2:24" hidden="1" x14ac:dyDescent="0.35">
      <c r="B321">
        <v>2016</v>
      </c>
      <c r="C321" s="1">
        <v>42840</v>
      </c>
      <c r="D321">
        <v>2411</v>
      </c>
      <c r="E321" t="s">
        <v>23</v>
      </c>
      <c r="F321" t="s">
        <v>35</v>
      </c>
      <c r="G321" t="s">
        <v>33</v>
      </c>
      <c r="H321">
        <v>57.62</v>
      </c>
      <c r="I321">
        <v>54.99</v>
      </c>
      <c r="J321">
        <v>0.48299999999999998</v>
      </c>
      <c r="K321">
        <v>0.25259999999999999</v>
      </c>
      <c r="L321">
        <v>0.26440000000000002</v>
      </c>
      <c r="M321">
        <v>1.63</v>
      </c>
      <c r="N321">
        <v>1.1599999999999999</v>
      </c>
      <c r="O321">
        <v>5.3</v>
      </c>
      <c r="P321">
        <v>73.099999999999994</v>
      </c>
      <c r="Q321">
        <v>1</v>
      </c>
      <c r="R321">
        <v>0</v>
      </c>
      <c r="S321">
        <v>1.27</v>
      </c>
      <c r="T321">
        <v>0.83</v>
      </c>
      <c r="U321">
        <v>1.02</v>
      </c>
      <c r="V321">
        <v>1.75</v>
      </c>
      <c r="W321">
        <v>1.05</v>
      </c>
      <c r="X321">
        <v>0</v>
      </c>
    </row>
    <row r="322" spans="2:24" hidden="1" x14ac:dyDescent="0.35">
      <c r="B322">
        <v>2016</v>
      </c>
      <c r="C322" s="1">
        <v>42840</v>
      </c>
      <c r="D322">
        <v>2411</v>
      </c>
      <c r="E322" t="s">
        <v>23</v>
      </c>
      <c r="F322" t="s">
        <v>34</v>
      </c>
      <c r="G322" t="s">
        <v>36</v>
      </c>
      <c r="H322">
        <v>68.319999999999993</v>
      </c>
      <c r="I322">
        <v>84.78</v>
      </c>
      <c r="J322">
        <v>0.21590000000000001</v>
      </c>
      <c r="K322">
        <v>0.53590000000000004</v>
      </c>
      <c r="L322">
        <v>0.2482</v>
      </c>
      <c r="M322">
        <v>1.1299999999999999</v>
      </c>
      <c r="N322">
        <v>1.68</v>
      </c>
      <c r="O322">
        <v>0</v>
      </c>
      <c r="P322">
        <v>50.7</v>
      </c>
      <c r="Q322">
        <v>0</v>
      </c>
      <c r="R322">
        <v>3</v>
      </c>
      <c r="S322">
        <v>0.67</v>
      </c>
      <c r="T322">
        <v>2.81</v>
      </c>
      <c r="U322">
        <v>1.1100000000000001</v>
      </c>
      <c r="V322">
        <v>1.81</v>
      </c>
      <c r="W322">
        <v>0</v>
      </c>
      <c r="X322">
        <v>2.72</v>
      </c>
    </row>
    <row r="323" spans="2:24" hidden="1" x14ac:dyDescent="0.35">
      <c r="B323">
        <v>2016</v>
      </c>
      <c r="C323" s="1">
        <v>42841</v>
      </c>
      <c r="D323">
        <v>2411</v>
      </c>
      <c r="E323" t="s">
        <v>23</v>
      </c>
      <c r="F323" t="s">
        <v>31</v>
      </c>
      <c r="G323" t="s">
        <v>41</v>
      </c>
      <c r="H323">
        <v>59.65</v>
      </c>
      <c r="I323">
        <v>80.05</v>
      </c>
      <c r="J323">
        <v>0.20530000000000001</v>
      </c>
      <c r="K323">
        <v>0.55510000000000004</v>
      </c>
      <c r="L323">
        <v>0.23960000000000001</v>
      </c>
      <c r="M323">
        <v>1.1299999999999999</v>
      </c>
      <c r="N323">
        <v>1.77</v>
      </c>
      <c r="O323">
        <v>0</v>
      </c>
      <c r="P323">
        <v>62</v>
      </c>
      <c r="Q323">
        <v>0</v>
      </c>
      <c r="R323">
        <v>1</v>
      </c>
      <c r="S323">
        <v>0.6</v>
      </c>
      <c r="T323">
        <v>1.53</v>
      </c>
      <c r="U323">
        <v>0.44</v>
      </c>
      <c r="V323">
        <v>1.46</v>
      </c>
      <c r="W323">
        <v>0</v>
      </c>
      <c r="X323">
        <v>1.05</v>
      </c>
    </row>
    <row r="324" spans="2:24" hidden="1" x14ac:dyDescent="0.35">
      <c r="B324">
        <v>2016</v>
      </c>
      <c r="C324" s="1">
        <v>42841</v>
      </c>
      <c r="D324">
        <v>2411</v>
      </c>
      <c r="E324" t="s">
        <v>23</v>
      </c>
      <c r="F324" t="s">
        <v>39</v>
      </c>
      <c r="G324" t="s">
        <v>42</v>
      </c>
      <c r="H324">
        <v>82.04</v>
      </c>
      <c r="I324">
        <v>85.17</v>
      </c>
      <c r="J324">
        <v>0.40289999999999998</v>
      </c>
      <c r="K324">
        <v>0.311</v>
      </c>
      <c r="L324">
        <v>0.28610000000000002</v>
      </c>
      <c r="M324">
        <v>1.34</v>
      </c>
      <c r="N324">
        <v>1.1599999999999999</v>
      </c>
      <c r="O324">
        <v>66.099999999999994</v>
      </c>
      <c r="P324">
        <v>28.4</v>
      </c>
      <c r="Q324">
        <v>2</v>
      </c>
      <c r="R324">
        <v>0</v>
      </c>
      <c r="S324">
        <v>0.66</v>
      </c>
      <c r="T324">
        <v>0.2</v>
      </c>
      <c r="U324">
        <v>0.81</v>
      </c>
      <c r="V324">
        <v>0.7</v>
      </c>
      <c r="W324">
        <v>2.1</v>
      </c>
      <c r="X324">
        <v>0</v>
      </c>
    </row>
    <row r="325" spans="2:24" hidden="1" x14ac:dyDescent="0.35">
      <c r="B325">
        <v>2016</v>
      </c>
      <c r="C325" s="1">
        <v>42842</v>
      </c>
      <c r="D325">
        <v>2411</v>
      </c>
      <c r="E325" t="s">
        <v>23</v>
      </c>
      <c r="F325" t="s">
        <v>26</v>
      </c>
      <c r="G325" t="s">
        <v>40</v>
      </c>
      <c r="H325">
        <v>50.08</v>
      </c>
      <c r="I325">
        <v>77.05</v>
      </c>
      <c r="J325">
        <v>0.186</v>
      </c>
      <c r="K325">
        <v>0.58089999999999997</v>
      </c>
      <c r="L325">
        <v>0.2331</v>
      </c>
      <c r="M325">
        <v>1.04</v>
      </c>
      <c r="N325">
        <v>1.82</v>
      </c>
      <c r="O325">
        <v>24.2</v>
      </c>
      <c r="P325">
        <v>25.6</v>
      </c>
      <c r="Q325">
        <v>1</v>
      </c>
      <c r="R325">
        <v>2</v>
      </c>
      <c r="S325">
        <v>2</v>
      </c>
      <c r="T325">
        <v>1.18</v>
      </c>
      <c r="U325">
        <v>1.31</v>
      </c>
      <c r="V325">
        <v>1.77</v>
      </c>
      <c r="W325">
        <v>1.05</v>
      </c>
      <c r="X325">
        <v>2.1</v>
      </c>
    </row>
    <row r="326" spans="2:24" hidden="1" x14ac:dyDescent="0.35">
      <c r="B326">
        <v>2016</v>
      </c>
      <c r="C326" s="1">
        <v>42847</v>
      </c>
      <c r="D326">
        <v>2411</v>
      </c>
      <c r="E326" t="s">
        <v>23</v>
      </c>
      <c r="F326" t="s">
        <v>24</v>
      </c>
      <c r="G326" t="s">
        <v>35</v>
      </c>
      <c r="H326">
        <v>48.69</v>
      </c>
      <c r="I326">
        <v>57.62</v>
      </c>
      <c r="J326">
        <v>0.3972</v>
      </c>
      <c r="K326">
        <v>0.32379999999999998</v>
      </c>
      <c r="L326">
        <v>0.27900000000000003</v>
      </c>
      <c r="M326">
        <v>1.38</v>
      </c>
      <c r="N326">
        <v>1.3</v>
      </c>
      <c r="O326">
        <v>68.900000000000006</v>
      </c>
      <c r="P326">
        <v>0</v>
      </c>
      <c r="Q326">
        <v>2</v>
      </c>
      <c r="R326">
        <v>0</v>
      </c>
      <c r="S326">
        <v>1.55</v>
      </c>
      <c r="T326">
        <v>1.1200000000000001</v>
      </c>
      <c r="U326">
        <v>0.35</v>
      </c>
      <c r="V326">
        <v>1.97</v>
      </c>
      <c r="W326">
        <v>2.08</v>
      </c>
      <c r="X326">
        <v>0</v>
      </c>
    </row>
    <row r="327" spans="2:24" hidden="1" x14ac:dyDescent="0.35">
      <c r="B327">
        <v>2016</v>
      </c>
      <c r="C327" s="1">
        <v>42847</v>
      </c>
      <c r="D327">
        <v>2411</v>
      </c>
      <c r="E327" t="s">
        <v>23</v>
      </c>
      <c r="F327" t="s">
        <v>33</v>
      </c>
      <c r="G327" t="s">
        <v>27</v>
      </c>
      <c r="H327">
        <v>54.99</v>
      </c>
      <c r="I327">
        <v>63.69</v>
      </c>
      <c r="J327">
        <v>0.36709999999999998</v>
      </c>
      <c r="K327">
        <v>0.34910000000000002</v>
      </c>
      <c r="L327">
        <v>0.28370000000000001</v>
      </c>
      <c r="M327">
        <v>1.28</v>
      </c>
      <c r="N327">
        <v>1.31</v>
      </c>
      <c r="O327">
        <v>66.900000000000006</v>
      </c>
      <c r="P327">
        <v>0</v>
      </c>
      <c r="Q327">
        <v>2</v>
      </c>
      <c r="R327">
        <v>0</v>
      </c>
      <c r="S327">
        <v>0.5</v>
      </c>
      <c r="T327">
        <v>1.78</v>
      </c>
      <c r="U327">
        <v>0.74</v>
      </c>
      <c r="V327">
        <v>1.61</v>
      </c>
      <c r="W327">
        <v>2.1</v>
      </c>
      <c r="X327">
        <v>0</v>
      </c>
    </row>
    <row r="328" spans="2:24" hidden="1" x14ac:dyDescent="0.35">
      <c r="B328">
        <v>2016</v>
      </c>
      <c r="C328" s="1">
        <v>42847</v>
      </c>
      <c r="D328">
        <v>2411</v>
      </c>
      <c r="E328" t="s">
        <v>23</v>
      </c>
      <c r="F328" t="s">
        <v>43</v>
      </c>
      <c r="G328" t="s">
        <v>28</v>
      </c>
      <c r="H328">
        <v>59.79</v>
      </c>
      <c r="I328">
        <v>74.989999999999995</v>
      </c>
      <c r="J328">
        <v>0.27089999999999997</v>
      </c>
      <c r="K328">
        <v>0.48130000000000001</v>
      </c>
      <c r="L328">
        <v>0.24779999999999999</v>
      </c>
      <c r="M328">
        <v>1.36</v>
      </c>
      <c r="N328">
        <v>1.79</v>
      </c>
      <c r="O328">
        <v>0.3</v>
      </c>
      <c r="P328">
        <v>0.5</v>
      </c>
      <c r="Q328">
        <v>0</v>
      </c>
      <c r="R328">
        <v>0</v>
      </c>
      <c r="S328">
        <v>0.82</v>
      </c>
      <c r="T328">
        <v>0.11</v>
      </c>
      <c r="U328">
        <v>1.18</v>
      </c>
      <c r="V328">
        <v>0.46</v>
      </c>
      <c r="W328">
        <v>0</v>
      </c>
      <c r="X328">
        <v>0</v>
      </c>
    </row>
    <row r="329" spans="2:24" hidden="1" x14ac:dyDescent="0.35">
      <c r="B329">
        <v>2016</v>
      </c>
      <c r="C329" s="1">
        <v>42847</v>
      </c>
      <c r="D329">
        <v>2411</v>
      </c>
      <c r="E329" t="s">
        <v>23</v>
      </c>
      <c r="F329" t="s">
        <v>38</v>
      </c>
      <c r="G329" t="s">
        <v>26</v>
      </c>
      <c r="H329">
        <v>60.25</v>
      </c>
      <c r="I329">
        <v>50.56</v>
      </c>
      <c r="J329">
        <v>0.52780000000000005</v>
      </c>
      <c r="K329">
        <v>0.20619999999999999</v>
      </c>
      <c r="L329">
        <v>0.26590000000000003</v>
      </c>
      <c r="M329">
        <v>1.58</v>
      </c>
      <c r="N329">
        <v>0.92</v>
      </c>
      <c r="O329">
        <v>1.8</v>
      </c>
      <c r="P329">
        <v>21</v>
      </c>
      <c r="Q329">
        <v>4</v>
      </c>
      <c r="R329">
        <v>0</v>
      </c>
      <c r="S329">
        <v>2.69</v>
      </c>
      <c r="T329">
        <v>0.26</v>
      </c>
      <c r="U329">
        <v>2.15</v>
      </c>
      <c r="V329">
        <v>0.74</v>
      </c>
      <c r="W329">
        <v>4.2</v>
      </c>
      <c r="X329">
        <v>0</v>
      </c>
    </row>
    <row r="330" spans="2:24" hidden="1" x14ac:dyDescent="0.35">
      <c r="B330">
        <v>2016</v>
      </c>
      <c r="C330" s="1">
        <v>42848</v>
      </c>
      <c r="D330">
        <v>2411</v>
      </c>
      <c r="E330" t="s">
        <v>23</v>
      </c>
      <c r="F330" t="s">
        <v>32</v>
      </c>
      <c r="G330" t="s">
        <v>39</v>
      </c>
      <c r="H330">
        <v>59.66</v>
      </c>
      <c r="I330">
        <v>82.74</v>
      </c>
      <c r="J330">
        <v>0.17710000000000001</v>
      </c>
      <c r="K330">
        <v>0.5625</v>
      </c>
      <c r="L330">
        <v>0.26040000000000002</v>
      </c>
      <c r="M330">
        <v>0.84</v>
      </c>
      <c r="N330">
        <v>1.56</v>
      </c>
      <c r="O330">
        <v>0.5</v>
      </c>
      <c r="P330">
        <v>70.099999999999994</v>
      </c>
      <c r="Q330">
        <v>0</v>
      </c>
      <c r="R330">
        <v>2</v>
      </c>
      <c r="S330">
        <v>0.4</v>
      </c>
      <c r="T330">
        <v>2.2000000000000002</v>
      </c>
      <c r="U330">
        <v>1.48</v>
      </c>
      <c r="V330">
        <v>1.47</v>
      </c>
      <c r="W330">
        <v>0</v>
      </c>
      <c r="X330">
        <v>2.1</v>
      </c>
    </row>
    <row r="331" spans="2:24" hidden="1" x14ac:dyDescent="0.35">
      <c r="B331">
        <v>2016</v>
      </c>
      <c r="C331" s="1">
        <v>42848</v>
      </c>
      <c r="D331">
        <v>2411</v>
      </c>
      <c r="E331" t="s">
        <v>23</v>
      </c>
      <c r="F331" t="s">
        <v>41</v>
      </c>
      <c r="G331" t="s">
        <v>30</v>
      </c>
      <c r="H331">
        <v>80.53</v>
      </c>
      <c r="I331">
        <v>61.87</v>
      </c>
      <c r="J331">
        <v>0.70230000000000004</v>
      </c>
      <c r="K331">
        <v>0.11310000000000001</v>
      </c>
      <c r="L331">
        <v>0.18459999999999999</v>
      </c>
      <c r="M331">
        <v>2.29</v>
      </c>
      <c r="N331">
        <v>0.92</v>
      </c>
      <c r="O331">
        <v>82.2</v>
      </c>
      <c r="P331">
        <v>3.2</v>
      </c>
      <c r="Q331">
        <v>1</v>
      </c>
      <c r="R331">
        <v>2</v>
      </c>
      <c r="S331">
        <v>1.42</v>
      </c>
      <c r="T331">
        <v>1.4</v>
      </c>
      <c r="U331">
        <v>2.06</v>
      </c>
      <c r="V331">
        <v>0.99</v>
      </c>
      <c r="W331">
        <v>1.05</v>
      </c>
      <c r="X331">
        <v>2.1</v>
      </c>
    </row>
    <row r="332" spans="2:24" hidden="1" x14ac:dyDescent="0.35">
      <c r="B332">
        <v>2016</v>
      </c>
      <c r="C332" s="1">
        <v>42850</v>
      </c>
      <c r="D332">
        <v>2411</v>
      </c>
      <c r="E332" t="s">
        <v>23</v>
      </c>
      <c r="F332" t="s">
        <v>42</v>
      </c>
      <c r="G332" t="s">
        <v>34</v>
      </c>
      <c r="H332">
        <v>84.36</v>
      </c>
      <c r="I332">
        <v>66.67</v>
      </c>
      <c r="J332">
        <v>0.69650000000000001</v>
      </c>
      <c r="K332">
        <v>9.9599999999999994E-2</v>
      </c>
      <c r="L332">
        <v>0.2039</v>
      </c>
      <c r="M332">
        <v>1.96</v>
      </c>
      <c r="N332">
        <v>0.68</v>
      </c>
      <c r="O332">
        <v>73.5</v>
      </c>
      <c r="P332">
        <v>0</v>
      </c>
      <c r="Q332">
        <v>4</v>
      </c>
      <c r="R332">
        <v>2</v>
      </c>
      <c r="S332">
        <v>1.47</v>
      </c>
      <c r="T332">
        <v>1.28</v>
      </c>
      <c r="U332">
        <v>3.78</v>
      </c>
      <c r="V332">
        <v>0.93</v>
      </c>
      <c r="W332">
        <v>3.72</v>
      </c>
      <c r="X332">
        <v>2.1</v>
      </c>
    </row>
    <row r="333" spans="2:24" hidden="1" x14ac:dyDescent="0.35">
      <c r="B333">
        <v>2016</v>
      </c>
      <c r="C333" s="1">
        <v>42851</v>
      </c>
      <c r="D333">
        <v>2411</v>
      </c>
      <c r="E333" t="s">
        <v>23</v>
      </c>
      <c r="F333" t="s">
        <v>40</v>
      </c>
      <c r="G333" t="s">
        <v>25</v>
      </c>
      <c r="H333">
        <v>76.650000000000006</v>
      </c>
      <c r="I333">
        <v>61.54</v>
      </c>
      <c r="J333">
        <v>0.65800000000000003</v>
      </c>
      <c r="K333">
        <v>0.14549999999999999</v>
      </c>
      <c r="L333">
        <v>0.19650000000000001</v>
      </c>
      <c r="M333">
        <v>2.27</v>
      </c>
      <c r="N333">
        <v>1.1100000000000001</v>
      </c>
      <c r="O333">
        <v>17.600000000000001</v>
      </c>
      <c r="P333">
        <v>0.2</v>
      </c>
      <c r="Q333">
        <v>1</v>
      </c>
      <c r="R333">
        <v>0</v>
      </c>
      <c r="S333">
        <v>0.44</v>
      </c>
      <c r="T333">
        <v>0.67</v>
      </c>
      <c r="U333">
        <v>3.18</v>
      </c>
      <c r="V333">
        <v>0.43</v>
      </c>
      <c r="W333">
        <v>1.05</v>
      </c>
      <c r="X333">
        <v>0</v>
      </c>
    </row>
    <row r="334" spans="2:24" hidden="1" x14ac:dyDescent="0.35">
      <c r="B334">
        <v>2016</v>
      </c>
      <c r="C334" s="1">
        <v>42851</v>
      </c>
      <c r="D334">
        <v>2411</v>
      </c>
      <c r="E334" t="s">
        <v>23</v>
      </c>
      <c r="F334" t="s">
        <v>26</v>
      </c>
      <c r="G334" t="s">
        <v>37</v>
      </c>
      <c r="H334">
        <v>47.95</v>
      </c>
      <c r="I334">
        <v>45.45</v>
      </c>
      <c r="J334">
        <v>0.47299999999999998</v>
      </c>
      <c r="K334">
        <v>0.23069999999999999</v>
      </c>
      <c r="L334">
        <v>0.2964</v>
      </c>
      <c r="M334">
        <v>1.28</v>
      </c>
      <c r="N334">
        <v>0.83</v>
      </c>
      <c r="O334">
        <v>11.9</v>
      </c>
      <c r="P334">
        <v>8.6</v>
      </c>
      <c r="Q334">
        <v>1</v>
      </c>
      <c r="R334">
        <v>0</v>
      </c>
      <c r="S334">
        <v>0.92</v>
      </c>
      <c r="T334">
        <v>0.61</v>
      </c>
      <c r="U334">
        <v>0.55000000000000004</v>
      </c>
      <c r="V334">
        <v>2.1</v>
      </c>
      <c r="W334">
        <v>1.05</v>
      </c>
      <c r="X334">
        <v>0</v>
      </c>
    </row>
    <row r="335" spans="2:24" hidden="1" x14ac:dyDescent="0.35">
      <c r="B335">
        <v>2016</v>
      </c>
      <c r="C335" s="1">
        <v>42851</v>
      </c>
      <c r="D335">
        <v>2411</v>
      </c>
      <c r="E335" t="s">
        <v>23</v>
      </c>
      <c r="F335" t="s">
        <v>30</v>
      </c>
      <c r="G335" t="s">
        <v>29</v>
      </c>
      <c r="H335">
        <v>63.47</v>
      </c>
      <c r="I335">
        <v>84.14</v>
      </c>
      <c r="J335">
        <v>0.17299999999999999</v>
      </c>
      <c r="K335">
        <v>0.5978</v>
      </c>
      <c r="L335">
        <v>0.22919999999999999</v>
      </c>
      <c r="M335">
        <v>1.07</v>
      </c>
      <c r="N335">
        <v>1.85</v>
      </c>
      <c r="O335">
        <v>3.5</v>
      </c>
      <c r="P335">
        <v>47.8</v>
      </c>
      <c r="Q335">
        <v>0</v>
      </c>
      <c r="R335">
        <v>1</v>
      </c>
      <c r="S335">
        <v>0.31</v>
      </c>
      <c r="T335">
        <v>1.31</v>
      </c>
      <c r="U335">
        <v>0.99</v>
      </c>
      <c r="V335">
        <v>1.91</v>
      </c>
      <c r="W335">
        <v>0</v>
      </c>
      <c r="X335">
        <v>1.05</v>
      </c>
    </row>
    <row r="336" spans="2:24" hidden="1" x14ac:dyDescent="0.35">
      <c r="B336">
        <v>2016</v>
      </c>
      <c r="C336" s="1">
        <v>42852</v>
      </c>
      <c r="D336">
        <v>2411</v>
      </c>
      <c r="E336" t="s">
        <v>23</v>
      </c>
      <c r="F336" t="s">
        <v>36</v>
      </c>
      <c r="G336" t="s">
        <v>39</v>
      </c>
      <c r="H336">
        <v>85.88</v>
      </c>
      <c r="I336">
        <v>83.39</v>
      </c>
      <c r="J336">
        <v>0.49580000000000002</v>
      </c>
      <c r="K336">
        <v>0.23350000000000001</v>
      </c>
      <c r="L336">
        <v>0.27060000000000001</v>
      </c>
      <c r="M336">
        <v>1.51</v>
      </c>
      <c r="N336">
        <v>1.04</v>
      </c>
      <c r="O336">
        <v>73.5</v>
      </c>
      <c r="P336">
        <v>100</v>
      </c>
      <c r="Q336">
        <v>0</v>
      </c>
      <c r="R336">
        <v>0</v>
      </c>
      <c r="S336">
        <v>1.76</v>
      </c>
      <c r="T336">
        <v>0.51</v>
      </c>
      <c r="U336">
        <v>2.12</v>
      </c>
      <c r="V336">
        <v>0.13</v>
      </c>
      <c r="W336">
        <v>0</v>
      </c>
      <c r="X336">
        <v>0</v>
      </c>
    </row>
    <row r="337" spans="2:24" hidden="1" x14ac:dyDescent="0.35">
      <c r="B337">
        <v>2016</v>
      </c>
      <c r="C337" s="1">
        <v>42854</v>
      </c>
      <c r="D337">
        <v>2411</v>
      </c>
      <c r="E337" t="s">
        <v>23</v>
      </c>
      <c r="F337" t="s">
        <v>31</v>
      </c>
      <c r="G337" t="s">
        <v>25</v>
      </c>
      <c r="H337">
        <v>58.86</v>
      </c>
      <c r="I337">
        <v>61.22</v>
      </c>
      <c r="J337">
        <v>0.43280000000000002</v>
      </c>
      <c r="K337">
        <v>0.27579999999999999</v>
      </c>
      <c r="L337">
        <v>0.29139999999999999</v>
      </c>
      <c r="M337">
        <v>1.3</v>
      </c>
      <c r="N337">
        <v>1.04</v>
      </c>
      <c r="O337">
        <v>0</v>
      </c>
      <c r="P337">
        <v>1</v>
      </c>
      <c r="Q337">
        <v>0</v>
      </c>
      <c r="R337">
        <v>1</v>
      </c>
      <c r="S337">
        <v>0.78</v>
      </c>
      <c r="T337">
        <v>0.43</v>
      </c>
      <c r="U337">
        <v>2.3199999999999998</v>
      </c>
      <c r="V337">
        <v>0.5</v>
      </c>
      <c r="W337">
        <v>0</v>
      </c>
      <c r="X337">
        <v>1.05</v>
      </c>
    </row>
    <row r="338" spans="2:24" hidden="1" x14ac:dyDescent="0.35">
      <c r="B338">
        <v>2016</v>
      </c>
      <c r="C338" s="1">
        <v>42854</v>
      </c>
      <c r="D338">
        <v>2411</v>
      </c>
      <c r="E338" t="s">
        <v>23</v>
      </c>
      <c r="F338" t="s">
        <v>37</v>
      </c>
      <c r="G338" t="s">
        <v>38</v>
      </c>
      <c r="H338">
        <v>45.76</v>
      </c>
      <c r="I338">
        <v>62.97</v>
      </c>
      <c r="J338">
        <v>0.30669999999999997</v>
      </c>
      <c r="K338">
        <v>0.42430000000000001</v>
      </c>
      <c r="L338">
        <v>0.26900000000000002</v>
      </c>
      <c r="M338">
        <v>1.25</v>
      </c>
      <c r="N338">
        <v>1.56</v>
      </c>
      <c r="O338">
        <v>0.3</v>
      </c>
      <c r="P338">
        <v>0.1</v>
      </c>
      <c r="Q338">
        <v>0</v>
      </c>
      <c r="R338">
        <v>1</v>
      </c>
      <c r="S338">
        <v>1.58</v>
      </c>
      <c r="T338">
        <v>1.35</v>
      </c>
      <c r="U338">
        <v>1.83</v>
      </c>
      <c r="V338">
        <v>2.2200000000000002</v>
      </c>
      <c r="W338">
        <v>0</v>
      </c>
      <c r="X338">
        <v>1.05</v>
      </c>
    </row>
    <row r="339" spans="2:24" hidden="1" x14ac:dyDescent="0.35">
      <c r="B339">
        <v>2016</v>
      </c>
      <c r="C339" s="1">
        <v>42854</v>
      </c>
      <c r="D339">
        <v>2411</v>
      </c>
      <c r="E339" t="s">
        <v>23</v>
      </c>
      <c r="F339" t="s">
        <v>27</v>
      </c>
      <c r="G339" t="s">
        <v>43</v>
      </c>
      <c r="H339">
        <v>63.14</v>
      </c>
      <c r="I339">
        <v>60.11</v>
      </c>
      <c r="J339">
        <v>0.49059999999999998</v>
      </c>
      <c r="K339">
        <v>0.23760000000000001</v>
      </c>
      <c r="L339">
        <v>0.27179999999999999</v>
      </c>
      <c r="M339">
        <v>1.53</v>
      </c>
      <c r="N339">
        <v>1.04</v>
      </c>
      <c r="O339">
        <v>0.2</v>
      </c>
      <c r="P339">
        <v>0.7</v>
      </c>
      <c r="Q339">
        <v>0</v>
      </c>
      <c r="R339">
        <v>0</v>
      </c>
      <c r="S339">
        <v>1.21</v>
      </c>
      <c r="T339">
        <v>0.87</v>
      </c>
      <c r="U339">
        <v>2.41</v>
      </c>
      <c r="V339">
        <v>0.93</v>
      </c>
      <c r="W339">
        <v>0</v>
      </c>
      <c r="X339">
        <v>0</v>
      </c>
    </row>
    <row r="340" spans="2:24" hidden="1" x14ac:dyDescent="0.35">
      <c r="B340">
        <v>2016</v>
      </c>
      <c r="C340" s="1">
        <v>42854</v>
      </c>
      <c r="D340">
        <v>2411</v>
      </c>
      <c r="E340" t="s">
        <v>23</v>
      </c>
      <c r="F340" t="s">
        <v>34</v>
      </c>
      <c r="G340" t="s">
        <v>24</v>
      </c>
      <c r="H340">
        <v>66.94</v>
      </c>
      <c r="I340">
        <v>49.42</v>
      </c>
      <c r="J340">
        <v>0.61129999999999995</v>
      </c>
      <c r="K340">
        <v>0.15540000000000001</v>
      </c>
      <c r="L340">
        <v>0.2334</v>
      </c>
      <c r="M340">
        <v>1.91</v>
      </c>
      <c r="N340">
        <v>0.87</v>
      </c>
      <c r="O340">
        <v>0</v>
      </c>
      <c r="P340">
        <v>62.5</v>
      </c>
      <c r="Q340">
        <v>0</v>
      </c>
      <c r="R340">
        <v>0</v>
      </c>
      <c r="S340">
        <v>1.38</v>
      </c>
      <c r="T340">
        <v>0.34</v>
      </c>
      <c r="U340">
        <v>0.95</v>
      </c>
      <c r="V340">
        <v>1.28</v>
      </c>
      <c r="W340">
        <v>0</v>
      </c>
      <c r="X340">
        <v>0</v>
      </c>
    </row>
    <row r="341" spans="2:24" hidden="1" x14ac:dyDescent="0.35">
      <c r="B341">
        <v>2016</v>
      </c>
      <c r="C341" s="1">
        <v>42854</v>
      </c>
      <c r="D341">
        <v>2411</v>
      </c>
      <c r="E341" t="s">
        <v>23</v>
      </c>
      <c r="F341" t="s">
        <v>30</v>
      </c>
      <c r="G341" t="s">
        <v>32</v>
      </c>
      <c r="H341">
        <v>62.78</v>
      </c>
      <c r="I341">
        <v>58.68</v>
      </c>
      <c r="J341">
        <v>0.49730000000000002</v>
      </c>
      <c r="K341">
        <v>0.2286</v>
      </c>
      <c r="L341">
        <v>0.27410000000000001</v>
      </c>
      <c r="M341">
        <v>1.5</v>
      </c>
      <c r="N341">
        <v>0.98</v>
      </c>
      <c r="O341">
        <v>1.3</v>
      </c>
      <c r="P341">
        <v>3.5</v>
      </c>
      <c r="Q341">
        <v>0</v>
      </c>
      <c r="R341">
        <v>2</v>
      </c>
      <c r="S341">
        <v>0.68</v>
      </c>
      <c r="T341">
        <v>1.32</v>
      </c>
      <c r="U341">
        <v>2.38</v>
      </c>
      <c r="V341">
        <v>1.88</v>
      </c>
      <c r="W341">
        <v>0</v>
      </c>
      <c r="X341">
        <v>1.73</v>
      </c>
    </row>
    <row r="342" spans="2:24" hidden="1" x14ac:dyDescent="0.35">
      <c r="B342">
        <v>2016</v>
      </c>
      <c r="C342" s="1">
        <v>42855</v>
      </c>
      <c r="D342">
        <v>2411</v>
      </c>
      <c r="E342" t="s">
        <v>23</v>
      </c>
      <c r="F342" t="s">
        <v>39</v>
      </c>
      <c r="G342" t="s">
        <v>33</v>
      </c>
      <c r="H342">
        <v>82.95</v>
      </c>
      <c r="I342">
        <v>55.57</v>
      </c>
      <c r="J342">
        <v>0.76229999999999998</v>
      </c>
      <c r="K342">
        <v>6.3100000000000003E-2</v>
      </c>
      <c r="L342">
        <v>0.17460000000000001</v>
      </c>
      <c r="M342">
        <v>2.27</v>
      </c>
      <c r="N342">
        <v>0.38</v>
      </c>
      <c r="O342">
        <v>80.7</v>
      </c>
      <c r="P342">
        <v>79.099999999999994</v>
      </c>
      <c r="Q342">
        <v>1</v>
      </c>
      <c r="R342">
        <v>1</v>
      </c>
      <c r="S342">
        <v>2.3199999999999998</v>
      </c>
      <c r="T342">
        <v>1.03</v>
      </c>
      <c r="U342">
        <v>1.4</v>
      </c>
      <c r="V342">
        <v>1.38</v>
      </c>
      <c r="W342">
        <v>1.05</v>
      </c>
      <c r="X342">
        <v>1.05</v>
      </c>
    </row>
    <row r="343" spans="2:24" hidden="1" x14ac:dyDescent="0.35">
      <c r="B343">
        <v>2016</v>
      </c>
      <c r="C343" s="1">
        <v>42855</v>
      </c>
      <c r="D343">
        <v>2411</v>
      </c>
      <c r="E343" t="s">
        <v>23</v>
      </c>
      <c r="F343" t="s">
        <v>28</v>
      </c>
      <c r="G343" t="s">
        <v>42</v>
      </c>
      <c r="H343">
        <v>74.52</v>
      </c>
      <c r="I343">
        <v>84.44</v>
      </c>
      <c r="J343">
        <v>0.29170000000000001</v>
      </c>
      <c r="K343">
        <v>0.44650000000000001</v>
      </c>
      <c r="L343">
        <v>0.26179999999999998</v>
      </c>
      <c r="M343">
        <v>1.31</v>
      </c>
      <c r="N343">
        <v>1.56</v>
      </c>
      <c r="O343">
        <v>1.1000000000000001</v>
      </c>
      <c r="P343">
        <v>49.1</v>
      </c>
      <c r="Q343">
        <v>0</v>
      </c>
      <c r="R343">
        <v>3</v>
      </c>
      <c r="S343">
        <v>0.8</v>
      </c>
      <c r="T343">
        <v>2.29</v>
      </c>
      <c r="U343">
        <v>0.52</v>
      </c>
      <c r="V343">
        <v>2.21</v>
      </c>
      <c r="W343">
        <v>0</v>
      </c>
      <c r="X343">
        <v>2.52</v>
      </c>
    </row>
    <row r="344" spans="2:24" hidden="1" x14ac:dyDescent="0.35">
      <c r="B344">
        <v>2016</v>
      </c>
      <c r="C344" s="1">
        <v>42855</v>
      </c>
      <c r="D344">
        <v>2411</v>
      </c>
      <c r="E344" t="s">
        <v>23</v>
      </c>
      <c r="F344" t="s">
        <v>26</v>
      </c>
      <c r="G344" t="s">
        <v>36</v>
      </c>
      <c r="H344">
        <v>47.67</v>
      </c>
      <c r="I344">
        <v>86.02</v>
      </c>
      <c r="J344">
        <v>7.5899999999999995E-2</v>
      </c>
      <c r="K344">
        <v>0.74839999999999995</v>
      </c>
      <c r="L344">
        <v>0.1757</v>
      </c>
      <c r="M344">
        <v>0.68</v>
      </c>
      <c r="N344">
        <v>2.0099999999999998</v>
      </c>
      <c r="O344">
        <v>5.0999999999999996</v>
      </c>
      <c r="P344">
        <v>70</v>
      </c>
      <c r="Q344">
        <v>2</v>
      </c>
      <c r="R344">
        <v>2</v>
      </c>
      <c r="S344">
        <v>1.17</v>
      </c>
      <c r="T344">
        <v>2.83</v>
      </c>
      <c r="U344">
        <v>0.73</v>
      </c>
      <c r="V344">
        <v>2.72</v>
      </c>
      <c r="W344">
        <v>2.1</v>
      </c>
      <c r="X344">
        <v>2.1</v>
      </c>
    </row>
    <row r="345" spans="2:24" hidden="1" x14ac:dyDescent="0.35">
      <c r="B345">
        <v>2016</v>
      </c>
      <c r="C345" s="1">
        <v>42855</v>
      </c>
      <c r="D345">
        <v>2411</v>
      </c>
      <c r="E345" t="s">
        <v>23</v>
      </c>
      <c r="F345" t="s">
        <v>29</v>
      </c>
      <c r="G345" t="s">
        <v>40</v>
      </c>
      <c r="H345">
        <v>84.44</v>
      </c>
      <c r="I345">
        <v>76.77</v>
      </c>
      <c r="J345">
        <v>0.60629999999999995</v>
      </c>
      <c r="K345">
        <v>0.17119999999999999</v>
      </c>
      <c r="L345">
        <v>0.22239999999999999</v>
      </c>
      <c r="M345">
        <v>1.98</v>
      </c>
      <c r="N345">
        <v>1.07</v>
      </c>
      <c r="O345">
        <v>45.5</v>
      </c>
      <c r="P345">
        <v>50.1</v>
      </c>
      <c r="Q345">
        <v>2</v>
      </c>
      <c r="R345">
        <v>0</v>
      </c>
      <c r="S345">
        <v>3.6</v>
      </c>
      <c r="T345">
        <v>0.68</v>
      </c>
      <c r="U345">
        <v>1.97</v>
      </c>
      <c r="V345">
        <v>1.24</v>
      </c>
      <c r="W345">
        <v>2.1</v>
      </c>
      <c r="X345">
        <v>0</v>
      </c>
    </row>
    <row r="346" spans="2:24" hidden="1" x14ac:dyDescent="0.35">
      <c r="B346">
        <v>2016</v>
      </c>
      <c r="C346" s="1">
        <v>42856</v>
      </c>
      <c r="D346">
        <v>2411</v>
      </c>
      <c r="E346" t="s">
        <v>23</v>
      </c>
      <c r="F346" t="s">
        <v>35</v>
      </c>
      <c r="G346" t="s">
        <v>41</v>
      </c>
      <c r="H346">
        <v>56.91</v>
      </c>
      <c r="I346">
        <v>79.290000000000006</v>
      </c>
      <c r="J346">
        <v>0.1865</v>
      </c>
      <c r="K346">
        <v>0.58589999999999998</v>
      </c>
      <c r="L346">
        <v>0.2276</v>
      </c>
      <c r="M346">
        <v>1.1299999999999999</v>
      </c>
      <c r="N346">
        <v>1.9</v>
      </c>
      <c r="O346">
        <v>0</v>
      </c>
      <c r="P346">
        <v>100</v>
      </c>
      <c r="Q346">
        <v>0</v>
      </c>
      <c r="R346">
        <v>1</v>
      </c>
      <c r="S346">
        <v>0.23</v>
      </c>
      <c r="T346">
        <v>0.54</v>
      </c>
      <c r="U346">
        <v>0.63</v>
      </c>
      <c r="V346">
        <v>1.01</v>
      </c>
      <c r="W346">
        <v>0</v>
      </c>
      <c r="X346">
        <v>1.05</v>
      </c>
    </row>
    <row r="347" spans="2:24" hidden="1" x14ac:dyDescent="0.35">
      <c r="B347">
        <v>2016</v>
      </c>
      <c r="C347" s="1">
        <v>42860</v>
      </c>
      <c r="D347">
        <v>2411</v>
      </c>
      <c r="E347" t="s">
        <v>23</v>
      </c>
      <c r="F347" t="s">
        <v>43</v>
      </c>
      <c r="G347" t="s">
        <v>29</v>
      </c>
      <c r="H347">
        <v>60.08</v>
      </c>
      <c r="I347">
        <v>85.12</v>
      </c>
      <c r="J347">
        <v>0.13589999999999999</v>
      </c>
      <c r="K347">
        <v>0.6472</v>
      </c>
      <c r="L347">
        <v>0.21690000000000001</v>
      </c>
      <c r="M347">
        <v>0.92</v>
      </c>
      <c r="N347">
        <v>1.88</v>
      </c>
      <c r="O347">
        <v>0.2</v>
      </c>
      <c r="P347">
        <v>22.1</v>
      </c>
      <c r="Q347">
        <v>1</v>
      </c>
      <c r="R347">
        <v>0</v>
      </c>
      <c r="S347">
        <v>1.75</v>
      </c>
      <c r="T347">
        <v>0.64</v>
      </c>
      <c r="U347">
        <v>1.1100000000000001</v>
      </c>
      <c r="V347">
        <v>0.97</v>
      </c>
      <c r="W347">
        <v>1.05</v>
      </c>
      <c r="X347">
        <v>0</v>
      </c>
    </row>
    <row r="348" spans="2:24" hidden="1" x14ac:dyDescent="0.35">
      <c r="B348">
        <v>2016</v>
      </c>
      <c r="C348" s="1">
        <v>42861</v>
      </c>
      <c r="D348">
        <v>2411</v>
      </c>
      <c r="E348" t="s">
        <v>23</v>
      </c>
      <c r="F348" t="s">
        <v>36</v>
      </c>
      <c r="G348" t="s">
        <v>30</v>
      </c>
      <c r="H348">
        <v>85.35</v>
      </c>
      <c r="I348">
        <v>61.04</v>
      </c>
      <c r="J348">
        <v>0.7702</v>
      </c>
      <c r="K348">
        <v>7.22E-2</v>
      </c>
      <c r="L348">
        <v>0.15759999999999999</v>
      </c>
      <c r="M348">
        <v>2.4900000000000002</v>
      </c>
      <c r="N348">
        <v>0.59</v>
      </c>
      <c r="O348">
        <v>76</v>
      </c>
      <c r="P348">
        <v>3.9</v>
      </c>
      <c r="Q348">
        <v>5</v>
      </c>
      <c r="R348">
        <v>0</v>
      </c>
      <c r="S348">
        <v>2.76</v>
      </c>
      <c r="T348">
        <v>0.27</v>
      </c>
      <c r="U348">
        <v>3.11</v>
      </c>
      <c r="V348">
        <v>0.86</v>
      </c>
      <c r="W348">
        <v>4.43</v>
      </c>
      <c r="X348">
        <v>0</v>
      </c>
    </row>
    <row r="349" spans="2:24" hidden="1" x14ac:dyDescent="0.35">
      <c r="B349">
        <v>2016</v>
      </c>
      <c r="C349" s="1">
        <v>42861</v>
      </c>
      <c r="D349">
        <v>2411</v>
      </c>
      <c r="E349" t="s">
        <v>23</v>
      </c>
      <c r="F349" t="s">
        <v>25</v>
      </c>
      <c r="G349" t="s">
        <v>35</v>
      </c>
      <c r="H349">
        <v>61.5</v>
      </c>
      <c r="I349">
        <v>56.43</v>
      </c>
      <c r="J349">
        <v>0.50660000000000005</v>
      </c>
      <c r="K349">
        <v>0.2198</v>
      </c>
      <c r="L349">
        <v>0.2737</v>
      </c>
      <c r="M349">
        <v>1.51</v>
      </c>
      <c r="N349">
        <v>0.94</v>
      </c>
      <c r="O349">
        <v>0</v>
      </c>
      <c r="P349">
        <v>0.1</v>
      </c>
      <c r="Q349">
        <v>3</v>
      </c>
      <c r="R349">
        <v>0</v>
      </c>
      <c r="S349">
        <v>0.73</v>
      </c>
      <c r="T349">
        <v>0.73</v>
      </c>
      <c r="U349">
        <v>1.31</v>
      </c>
      <c r="V349">
        <v>1.55</v>
      </c>
      <c r="W349">
        <v>2.63</v>
      </c>
      <c r="X349">
        <v>0</v>
      </c>
    </row>
    <row r="350" spans="2:24" hidden="1" x14ac:dyDescent="0.35">
      <c r="B350">
        <v>2016</v>
      </c>
      <c r="C350" s="1">
        <v>42861</v>
      </c>
      <c r="D350">
        <v>2411</v>
      </c>
      <c r="E350" t="s">
        <v>23</v>
      </c>
      <c r="F350" t="s">
        <v>24</v>
      </c>
      <c r="G350" t="s">
        <v>37</v>
      </c>
      <c r="H350">
        <v>50.07</v>
      </c>
      <c r="I350">
        <v>45.4</v>
      </c>
      <c r="J350">
        <v>0.49790000000000001</v>
      </c>
      <c r="K350">
        <v>0.22409999999999999</v>
      </c>
      <c r="L350">
        <v>0.27800000000000002</v>
      </c>
      <c r="M350">
        <v>1.47</v>
      </c>
      <c r="N350">
        <v>0.92</v>
      </c>
      <c r="O350">
        <v>81.5</v>
      </c>
      <c r="P350">
        <v>0</v>
      </c>
      <c r="Q350">
        <v>0</v>
      </c>
      <c r="R350">
        <v>2</v>
      </c>
      <c r="S350">
        <v>1.32</v>
      </c>
      <c r="T350">
        <v>2.11</v>
      </c>
      <c r="U350">
        <v>1.66</v>
      </c>
      <c r="V350">
        <v>1.76</v>
      </c>
      <c r="W350">
        <v>0</v>
      </c>
      <c r="X350">
        <v>1.58</v>
      </c>
    </row>
    <row r="351" spans="2:24" hidden="1" x14ac:dyDescent="0.35">
      <c r="B351">
        <v>2016</v>
      </c>
      <c r="C351" s="1">
        <v>42861</v>
      </c>
      <c r="D351">
        <v>2411</v>
      </c>
      <c r="E351" t="s">
        <v>23</v>
      </c>
      <c r="F351" t="s">
        <v>32</v>
      </c>
      <c r="G351" t="s">
        <v>31</v>
      </c>
      <c r="H351">
        <v>60.4</v>
      </c>
      <c r="I351">
        <v>58.55</v>
      </c>
      <c r="J351">
        <v>0.46660000000000001</v>
      </c>
      <c r="K351">
        <v>0.23280000000000001</v>
      </c>
      <c r="L351">
        <v>0.30059999999999998</v>
      </c>
      <c r="M351">
        <v>1.26</v>
      </c>
      <c r="N351">
        <v>0.83</v>
      </c>
      <c r="O351">
        <v>0.1</v>
      </c>
      <c r="P351">
        <v>0</v>
      </c>
      <c r="Q351">
        <v>2</v>
      </c>
      <c r="R351">
        <v>2</v>
      </c>
      <c r="S351">
        <v>1.52</v>
      </c>
      <c r="T351">
        <v>0.97</v>
      </c>
      <c r="U351">
        <v>1.78</v>
      </c>
      <c r="V351">
        <v>0.8</v>
      </c>
      <c r="W351">
        <v>2.1</v>
      </c>
      <c r="X351">
        <v>2.1</v>
      </c>
    </row>
    <row r="352" spans="2:24" hidden="1" x14ac:dyDescent="0.35">
      <c r="B352">
        <v>2016</v>
      </c>
      <c r="C352" s="1">
        <v>42861</v>
      </c>
      <c r="D352">
        <v>2411</v>
      </c>
      <c r="E352" t="s">
        <v>23</v>
      </c>
      <c r="F352" t="s">
        <v>38</v>
      </c>
      <c r="G352" t="s">
        <v>27</v>
      </c>
      <c r="H352">
        <v>63.33</v>
      </c>
      <c r="I352">
        <v>63.12</v>
      </c>
      <c r="J352">
        <v>0.45900000000000002</v>
      </c>
      <c r="K352">
        <v>0.26960000000000001</v>
      </c>
      <c r="L352">
        <v>0.27139999999999997</v>
      </c>
      <c r="M352">
        <v>1.52</v>
      </c>
      <c r="N352">
        <v>1.17</v>
      </c>
      <c r="O352">
        <v>0</v>
      </c>
      <c r="P352">
        <v>0</v>
      </c>
      <c r="Q352">
        <v>2</v>
      </c>
      <c r="R352">
        <v>2</v>
      </c>
      <c r="S352">
        <v>1.44</v>
      </c>
      <c r="T352">
        <v>2.0099999999999998</v>
      </c>
      <c r="U352">
        <v>0.9</v>
      </c>
      <c r="V352">
        <v>1.52</v>
      </c>
      <c r="W352">
        <v>2.1</v>
      </c>
      <c r="X352">
        <v>2.1</v>
      </c>
    </row>
    <row r="353" spans="2:24" hidden="1" x14ac:dyDescent="0.35">
      <c r="B353">
        <v>2016</v>
      </c>
      <c r="C353" s="1">
        <v>42861</v>
      </c>
      <c r="D353">
        <v>2411</v>
      </c>
      <c r="E353" t="s">
        <v>23</v>
      </c>
      <c r="F353" t="s">
        <v>33</v>
      </c>
      <c r="G353" t="s">
        <v>28</v>
      </c>
      <c r="H353">
        <v>57.29</v>
      </c>
      <c r="I353">
        <v>72.66</v>
      </c>
      <c r="J353">
        <v>0.28029999999999999</v>
      </c>
      <c r="K353">
        <v>0.45710000000000001</v>
      </c>
      <c r="L353">
        <v>0.2626</v>
      </c>
      <c r="M353">
        <v>1.25</v>
      </c>
      <c r="N353">
        <v>1.63</v>
      </c>
      <c r="O353">
        <v>86.9</v>
      </c>
      <c r="P353">
        <v>0</v>
      </c>
      <c r="Q353">
        <v>1</v>
      </c>
      <c r="R353">
        <v>0</v>
      </c>
      <c r="S353">
        <v>1.79</v>
      </c>
      <c r="T353">
        <v>0.3</v>
      </c>
      <c r="U353">
        <v>1.26</v>
      </c>
      <c r="V353">
        <v>1.67</v>
      </c>
      <c r="W353">
        <v>1.05</v>
      </c>
      <c r="X353">
        <v>0</v>
      </c>
    </row>
    <row r="354" spans="2:24" hidden="1" x14ac:dyDescent="0.35">
      <c r="B354">
        <v>2016</v>
      </c>
      <c r="C354" s="1">
        <v>42862</v>
      </c>
      <c r="D354">
        <v>2411</v>
      </c>
      <c r="E354" t="s">
        <v>23</v>
      </c>
      <c r="F354" t="s">
        <v>41</v>
      </c>
      <c r="G354" t="s">
        <v>34</v>
      </c>
      <c r="H354">
        <v>79.5</v>
      </c>
      <c r="I354">
        <v>66.28</v>
      </c>
      <c r="J354">
        <v>0.63370000000000004</v>
      </c>
      <c r="K354">
        <v>0.1452</v>
      </c>
      <c r="L354">
        <v>0.22109999999999999</v>
      </c>
      <c r="M354">
        <v>1.93</v>
      </c>
      <c r="N354">
        <v>0.91</v>
      </c>
      <c r="O354">
        <v>78.900000000000006</v>
      </c>
      <c r="P354">
        <v>0</v>
      </c>
      <c r="Q354">
        <v>0</v>
      </c>
      <c r="R354">
        <v>0</v>
      </c>
      <c r="S354">
        <v>1.45</v>
      </c>
      <c r="T354">
        <v>0.18</v>
      </c>
      <c r="U354">
        <v>1.86</v>
      </c>
      <c r="V354">
        <v>0.6</v>
      </c>
      <c r="W354">
        <v>0</v>
      </c>
      <c r="X354">
        <v>0</v>
      </c>
    </row>
    <row r="355" spans="2:24" hidden="1" x14ac:dyDescent="0.35">
      <c r="B355">
        <v>2016</v>
      </c>
      <c r="C355" s="1">
        <v>42862</v>
      </c>
      <c r="D355">
        <v>2411</v>
      </c>
      <c r="E355" t="s">
        <v>23</v>
      </c>
      <c r="F355" t="s">
        <v>40</v>
      </c>
      <c r="G355" t="s">
        <v>39</v>
      </c>
      <c r="H355">
        <v>75.81</v>
      </c>
      <c r="I355">
        <v>81.819999999999993</v>
      </c>
      <c r="J355">
        <v>0.34620000000000001</v>
      </c>
      <c r="K355">
        <v>0.3831</v>
      </c>
      <c r="L355">
        <v>0.27079999999999999</v>
      </c>
      <c r="M355">
        <v>1.37</v>
      </c>
      <c r="N355">
        <v>1.44</v>
      </c>
      <c r="O355">
        <v>30.9</v>
      </c>
      <c r="P355">
        <v>83.2</v>
      </c>
      <c r="Q355">
        <v>2</v>
      </c>
      <c r="R355">
        <v>0</v>
      </c>
      <c r="S355">
        <v>1</v>
      </c>
      <c r="T355">
        <v>0.75</v>
      </c>
      <c r="U355">
        <v>1.62</v>
      </c>
      <c r="V355">
        <v>0.82</v>
      </c>
      <c r="W355">
        <v>2.1</v>
      </c>
      <c r="X355">
        <v>0</v>
      </c>
    </row>
    <row r="356" spans="2:24" hidden="1" x14ac:dyDescent="0.35">
      <c r="B356">
        <v>2016</v>
      </c>
      <c r="C356" s="1">
        <v>42863</v>
      </c>
      <c r="D356">
        <v>2411</v>
      </c>
      <c r="E356" t="s">
        <v>23</v>
      </c>
      <c r="F356" t="s">
        <v>42</v>
      </c>
      <c r="G356" t="s">
        <v>26</v>
      </c>
      <c r="H356">
        <v>85.75</v>
      </c>
      <c r="I356">
        <v>48.96</v>
      </c>
      <c r="J356">
        <v>0.81699999999999995</v>
      </c>
      <c r="K356">
        <v>4.2999999999999997E-2</v>
      </c>
      <c r="L356">
        <v>0.14000000000000001</v>
      </c>
      <c r="M356">
        <v>2.4700000000000002</v>
      </c>
      <c r="N356">
        <v>0.27</v>
      </c>
      <c r="O356">
        <v>67.7</v>
      </c>
      <c r="P356">
        <v>5.7</v>
      </c>
      <c r="Q356">
        <v>3</v>
      </c>
      <c r="R356">
        <v>0</v>
      </c>
      <c r="S356">
        <v>2.12</v>
      </c>
      <c r="T356">
        <v>0.1</v>
      </c>
      <c r="U356">
        <v>2.63</v>
      </c>
      <c r="V356">
        <v>0.57999999999999996</v>
      </c>
      <c r="W356">
        <v>3.15</v>
      </c>
      <c r="X356">
        <v>0</v>
      </c>
    </row>
    <row r="357" spans="2:24" hidden="1" x14ac:dyDescent="0.35">
      <c r="B357">
        <v>2016</v>
      </c>
      <c r="C357" s="1">
        <v>42865</v>
      </c>
      <c r="D357">
        <v>2411</v>
      </c>
      <c r="E357" t="s">
        <v>23</v>
      </c>
      <c r="F357" t="s">
        <v>34</v>
      </c>
      <c r="G357" t="s">
        <v>40</v>
      </c>
      <c r="H357">
        <v>66.290000000000006</v>
      </c>
      <c r="I357">
        <v>76.97</v>
      </c>
      <c r="J357">
        <v>0.32040000000000002</v>
      </c>
      <c r="K357">
        <v>0.41720000000000002</v>
      </c>
      <c r="L357">
        <v>0.26240000000000002</v>
      </c>
      <c r="M357">
        <v>1.38</v>
      </c>
      <c r="N357">
        <v>1.54</v>
      </c>
      <c r="Q357">
        <v>0</v>
      </c>
      <c r="R357">
        <v>2</v>
      </c>
      <c r="S357">
        <v>1.48</v>
      </c>
      <c r="T357">
        <v>1.46</v>
      </c>
      <c r="U357">
        <v>1.66</v>
      </c>
      <c r="V357">
        <v>3.01</v>
      </c>
      <c r="W357">
        <v>0</v>
      </c>
      <c r="X357">
        <v>1.77</v>
      </c>
    </row>
    <row r="358" spans="2:24" hidden="1" x14ac:dyDescent="0.35">
      <c r="B358">
        <v>2016</v>
      </c>
      <c r="C358" s="1">
        <v>42867</v>
      </c>
      <c r="D358">
        <v>2411</v>
      </c>
      <c r="E358" t="s">
        <v>23</v>
      </c>
      <c r="F358" t="s">
        <v>28</v>
      </c>
      <c r="G358" t="s">
        <v>35</v>
      </c>
      <c r="H358">
        <v>71.650000000000006</v>
      </c>
      <c r="I358">
        <v>55.49</v>
      </c>
      <c r="J358">
        <v>0.62849999999999995</v>
      </c>
      <c r="K358">
        <v>0.13789999999999999</v>
      </c>
      <c r="L358">
        <v>0.2336</v>
      </c>
      <c r="M358">
        <v>1.82</v>
      </c>
      <c r="N358">
        <v>0.75</v>
      </c>
      <c r="O358">
        <v>0</v>
      </c>
      <c r="P358">
        <v>0</v>
      </c>
      <c r="Q358">
        <v>1</v>
      </c>
      <c r="R358">
        <v>0</v>
      </c>
      <c r="S358">
        <v>1.1599999999999999</v>
      </c>
      <c r="T358">
        <v>1.1299999999999999</v>
      </c>
      <c r="U358">
        <v>1.29</v>
      </c>
      <c r="V358">
        <v>1.87</v>
      </c>
      <c r="W358">
        <v>1.05</v>
      </c>
      <c r="X358">
        <v>0</v>
      </c>
    </row>
    <row r="359" spans="2:24" hidden="1" x14ac:dyDescent="0.35">
      <c r="B359">
        <v>2016</v>
      </c>
      <c r="C359" s="1">
        <v>42867</v>
      </c>
      <c r="D359">
        <v>2411</v>
      </c>
      <c r="E359" t="s">
        <v>23</v>
      </c>
      <c r="F359" t="s">
        <v>31</v>
      </c>
      <c r="G359" t="s">
        <v>42</v>
      </c>
      <c r="H359">
        <v>58.64</v>
      </c>
      <c r="I359">
        <v>86.15</v>
      </c>
      <c r="J359">
        <v>0.1202</v>
      </c>
      <c r="K359">
        <v>0.66790000000000005</v>
      </c>
      <c r="L359">
        <v>0.21190000000000001</v>
      </c>
      <c r="M359">
        <v>0.83</v>
      </c>
      <c r="N359">
        <v>1.84</v>
      </c>
      <c r="O359">
        <v>0</v>
      </c>
      <c r="P359">
        <v>2.8</v>
      </c>
      <c r="Q359">
        <v>0</v>
      </c>
      <c r="R359">
        <v>1</v>
      </c>
      <c r="S359">
        <v>0.51</v>
      </c>
      <c r="T359">
        <v>1.88</v>
      </c>
      <c r="U359">
        <v>0.83</v>
      </c>
      <c r="V359">
        <v>4.21</v>
      </c>
      <c r="W359">
        <v>0</v>
      </c>
      <c r="X359">
        <v>1.05</v>
      </c>
    </row>
    <row r="360" spans="2:24" hidden="1" x14ac:dyDescent="0.35">
      <c r="B360">
        <v>2016</v>
      </c>
      <c r="C360" s="1">
        <v>42868</v>
      </c>
      <c r="D360">
        <v>2411</v>
      </c>
      <c r="E360" t="s">
        <v>23</v>
      </c>
      <c r="F360" t="s">
        <v>36</v>
      </c>
      <c r="G360" t="s">
        <v>25</v>
      </c>
      <c r="H360">
        <v>86.44</v>
      </c>
      <c r="I360">
        <v>62.43</v>
      </c>
      <c r="J360">
        <v>0.77249999999999996</v>
      </c>
      <c r="K360">
        <v>6.9699999999999998E-2</v>
      </c>
      <c r="L360">
        <v>0.15790000000000001</v>
      </c>
      <c r="M360">
        <v>2.44</v>
      </c>
      <c r="N360">
        <v>0.55000000000000004</v>
      </c>
      <c r="O360">
        <v>51</v>
      </c>
      <c r="P360">
        <v>0</v>
      </c>
      <c r="Q360">
        <v>2</v>
      </c>
      <c r="R360">
        <v>1</v>
      </c>
      <c r="S360">
        <v>1.98</v>
      </c>
      <c r="T360">
        <v>1.78</v>
      </c>
      <c r="U360">
        <v>2.57</v>
      </c>
      <c r="V360">
        <v>0.78</v>
      </c>
      <c r="W360">
        <v>2.1</v>
      </c>
      <c r="X360">
        <v>1.05</v>
      </c>
    </row>
    <row r="361" spans="2:24" hidden="1" x14ac:dyDescent="0.35">
      <c r="B361">
        <v>2016</v>
      </c>
      <c r="C361" s="1">
        <v>42868</v>
      </c>
      <c r="D361">
        <v>2411</v>
      </c>
      <c r="E361" t="s">
        <v>23</v>
      </c>
      <c r="F361" t="s">
        <v>37</v>
      </c>
      <c r="G361" t="s">
        <v>33</v>
      </c>
      <c r="H361">
        <v>47.4</v>
      </c>
      <c r="I361">
        <v>58.37</v>
      </c>
      <c r="J361">
        <v>0.37359999999999999</v>
      </c>
      <c r="K361">
        <v>0.3382</v>
      </c>
      <c r="L361">
        <v>0.28810000000000002</v>
      </c>
      <c r="M361">
        <v>1.24</v>
      </c>
      <c r="N361">
        <v>1.24</v>
      </c>
      <c r="O361">
        <v>0</v>
      </c>
      <c r="P361">
        <v>38.9</v>
      </c>
      <c r="Q361">
        <v>0</v>
      </c>
      <c r="R361">
        <v>2</v>
      </c>
      <c r="S361">
        <v>1.17</v>
      </c>
      <c r="T361">
        <v>0.42</v>
      </c>
      <c r="U361">
        <v>1.07</v>
      </c>
      <c r="V361">
        <v>0.5</v>
      </c>
      <c r="W361">
        <v>0</v>
      </c>
      <c r="X361">
        <v>2.1</v>
      </c>
    </row>
    <row r="362" spans="2:24" hidden="1" x14ac:dyDescent="0.35">
      <c r="B362">
        <v>2016</v>
      </c>
      <c r="C362" s="1">
        <v>42868</v>
      </c>
      <c r="D362">
        <v>2411</v>
      </c>
      <c r="E362" t="s">
        <v>23</v>
      </c>
      <c r="F362" t="s">
        <v>26</v>
      </c>
      <c r="G362" t="s">
        <v>34</v>
      </c>
      <c r="H362">
        <v>48.3</v>
      </c>
      <c r="I362">
        <v>65.16</v>
      </c>
      <c r="J362">
        <v>0.31409999999999999</v>
      </c>
      <c r="K362">
        <v>0.38290000000000002</v>
      </c>
      <c r="L362">
        <v>0.30309999999999998</v>
      </c>
      <c r="M362">
        <v>1</v>
      </c>
      <c r="N362">
        <v>1.2</v>
      </c>
      <c r="O362">
        <v>0</v>
      </c>
      <c r="P362">
        <v>0</v>
      </c>
      <c r="Q362">
        <v>1</v>
      </c>
      <c r="R362">
        <v>2</v>
      </c>
      <c r="S362">
        <v>1.49</v>
      </c>
      <c r="T362">
        <v>1.56</v>
      </c>
      <c r="U362">
        <v>2.12</v>
      </c>
      <c r="V362">
        <v>0.92</v>
      </c>
      <c r="W362">
        <v>1.05</v>
      </c>
      <c r="X362">
        <v>2.1</v>
      </c>
    </row>
    <row r="363" spans="2:24" hidden="1" x14ac:dyDescent="0.35">
      <c r="B363">
        <v>2016</v>
      </c>
      <c r="C363" s="1">
        <v>42868</v>
      </c>
      <c r="D363">
        <v>2411</v>
      </c>
      <c r="E363" t="s">
        <v>23</v>
      </c>
      <c r="F363" t="s">
        <v>38</v>
      </c>
      <c r="G363" t="s">
        <v>32</v>
      </c>
      <c r="H363">
        <v>62.64</v>
      </c>
      <c r="I363">
        <v>60.35</v>
      </c>
      <c r="J363">
        <v>0.48670000000000002</v>
      </c>
      <c r="K363">
        <v>0.25169999999999998</v>
      </c>
      <c r="L363">
        <v>0.2616</v>
      </c>
      <c r="M363">
        <v>1.63</v>
      </c>
      <c r="N363">
        <v>1.18</v>
      </c>
      <c r="O363">
        <v>0</v>
      </c>
      <c r="P363">
        <v>0</v>
      </c>
      <c r="Q363">
        <v>2</v>
      </c>
      <c r="R363">
        <v>1</v>
      </c>
      <c r="S363">
        <v>1.49</v>
      </c>
      <c r="T363">
        <v>1.24</v>
      </c>
      <c r="U363">
        <v>1.8</v>
      </c>
      <c r="V363">
        <v>1.62</v>
      </c>
      <c r="W363">
        <v>2.1</v>
      </c>
      <c r="X363">
        <v>1.05</v>
      </c>
    </row>
    <row r="364" spans="2:24" hidden="1" x14ac:dyDescent="0.35">
      <c r="B364">
        <v>2016</v>
      </c>
      <c r="C364" s="1">
        <v>42868</v>
      </c>
      <c r="D364">
        <v>2411</v>
      </c>
      <c r="E364" t="s">
        <v>23</v>
      </c>
      <c r="F364" t="s">
        <v>27</v>
      </c>
      <c r="G364" t="s">
        <v>40</v>
      </c>
      <c r="H364">
        <v>63.82</v>
      </c>
      <c r="I364">
        <v>77.930000000000007</v>
      </c>
      <c r="J364">
        <v>0.2782</v>
      </c>
      <c r="K364">
        <v>0.46339999999999998</v>
      </c>
      <c r="L364">
        <v>0.25840000000000002</v>
      </c>
      <c r="M364">
        <v>1.28</v>
      </c>
      <c r="N364">
        <v>1.61</v>
      </c>
      <c r="O364">
        <v>0</v>
      </c>
      <c r="P364">
        <v>100</v>
      </c>
      <c r="Q364">
        <v>1</v>
      </c>
      <c r="R364">
        <v>4</v>
      </c>
      <c r="S364">
        <v>1.6</v>
      </c>
      <c r="T364">
        <v>2.27</v>
      </c>
      <c r="U364">
        <v>1.51</v>
      </c>
      <c r="V364">
        <v>1.79</v>
      </c>
      <c r="W364">
        <v>1.05</v>
      </c>
      <c r="X364">
        <v>3.83</v>
      </c>
    </row>
    <row r="365" spans="2:24" hidden="1" x14ac:dyDescent="0.35">
      <c r="B365">
        <v>2016</v>
      </c>
      <c r="C365" s="1">
        <v>42869</v>
      </c>
      <c r="D365">
        <v>2411</v>
      </c>
      <c r="E365" t="s">
        <v>23</v>
      </c>
      <c r="F365" t="s">
        <v>30</v>
      </c>
      <c r="G365" t="s">
        <v>24</v>
      </c>
      <c r="H365">
        <v>59.35</v>
      </c>
      <c r="I365">
        <v>48.01</v>
      </c>
      <c r="J365">
        <v>0.54479999999999995</v>
      </c>
      <c r="K365">
        <v>0.20150000000000001</v>
      </c>
      <c r="L365">
        <v>0.25369999999999998</v>
      </c>
      <c r="M365">
        <v>1.74</v>
      </c>
      <c r="N365">
        <v>0.99</v>
      </c>
      <c r="O365">
        <v>7.7</v>
      </c>
      <c r="P365">
        <v>71.099999999999994</v>
      </c>
      <c r="Q365">
        <v>4</v>
      </c>
      <c r="R365">
        <v>0</v>
      </c>
      <c r="S365">
        <v>2.52</v>
      </c>
      <c r="T365">
        <v>0.41</v>
      </c>
      <c r="U365">
        <v>1.56</v>
      </c>
      <c r="V365">
        <v>1.2</v>
      </c>
      <c r="W365">
        <v>3.31</v>
      </c>
      <c r="X365">
        <v>0</v>
      </c>
    </row>
    <row r="366" spans="2:24" hidden="1" x14ac:dyDescent="0.35">
      <c r="B366">
        <v>2016</v>
      </c>
      <c r="C366" s="1">
        <v>42869</v>
      </c>
      <c r="D366">
        <v>2411</v>
      </c>
      <c r="E366" t="s">
        <v>23</v>
      </c>
      <c r="F366" t="s">
        <v>43</v>
      </c>
      <c r="G366" t="s">
        <v>41</v>
      </c>
      <c r="H366">
        <v>61.78</v>
      </c>
      <c r="I366">
        <v>79.28</v>
      </c>
      <c r="J366">
        <v>0.2331</v>
      </c>
      <c r="K366">
        <v>0.51539999999999997</v>
      </c>
      <c r="L366">
        <v>0.2515</v>
      </c>
      <c r="M366">
        <v>1.17</v>
      </c>
      <c r="N366">
        <v>1.7</v>
      </c>
      <c r="O366">
        <v>0</v>
      </c>
      <c r="P366">
        <v>100</v>
      </c>
      <c r="Q366">
        <v>0</v>
      </c>
      <c r="R366">
        <v>4</v>
      </c>
      <c r="S366">
        <v>1.44</v>
      </c>
      <c r="T366">
        <v>3.47</v>
      </c>
      <c r="U366">
        <v>0.53</v>
      </c>
      <c r="V366">
        <v>2.72</v>
      </c>
      <c r="W366">
        <v>0</v>
      </c>
      <c r="X366">
        <v>4.0599999999999996</v>
      </c>
    </row>
    <row r="367" spans="2:24" hidden="1" x14ac:dyDescent="0.35">
      <c r="B367">
        <v>2016</v>
      </c>
      <c r="C367" s="1">
        <v>42869</v>
      </c>
      <c r="D367">
        <v>2411</v>
      </c>
      <c r="E367" t="s">
        <v>23</v>
      </c>
      <c r="F367" t="s">
        <v>29</v>
      </c>
      <c r="G367" t="s">
        <v>39</v>
      </c>
      <c r="H367">
        <v>83.94</v>
      </c>
      <c r="I367">
        <v>80.760000000000005</v>
      </c>
      <c r="J367">
        <v>0.49919999999999998</v>
      </c>
      <c r="K367">
        <v>0.2104</v>
      </c>
      <c r="L367">
        <v>0.29039999999999999</v>
      </c>
      <c r="M367">
        <v>1.37</v>
      </c>
      <c r="N367">
        <v>0.85</v>
      </c>
      <c r="O367">
        <v>1.2</v>
      </c>
      <c r="P367">
        <v>39.700000000000003</v>
      </c>
      <c r="Q367">
        <v>2</v>
      </c>
      <c r="R367">
        <v>1</v>
      </c>
      <c r="S367">
        <v>2.66</v>
      </c>
      <c r="T367">
        <v>1.08</v>
      </c>
      <c r="U367">
        <v>1.3</v>
      </c>
      <c r="V367">
        <v>0.95</v>
      </c>
      <c r="W367">
        <v>2.1</v>
      </c>
      <c r="X367">
        <v>1.05</v>
      </c>
    </row>
    <row r="368" spans="2:24" hidden="1" x14ac:dyDescent="0.35">
      <c r="B368">
        <v>2016</v>
      </c>
      <c r="C368" s="1">
        <v>42870</v>
      </c>
      <c r="D368">
        <v>2411</v>
      </c>
      <c r="E368" t="s">
        <v>23</v>
      </c>
      <c r="F368" t="s">
        <v>42</v>
      </c>
      <c r="G368" t="s">
        <v>35</v>
      </c>
      <c r="H368">
        <v>86.71</v>
      </c>
      <c r="I368">
        <v>56.16</v>
      </c>
      <c r="J368">
        <v>0.80640000000000001</v>
      </c>
      <c r="K368">
        <v>4.8500000000000001E-2</v>
      </c>
      <c r="L368">
        <v>0.14510000000000001</v>
      </c>
      <c r="M368">
        <v>2.4500000000000002</v>
      </c>
      <c r="N368">
        <v>0.34</v>
      </c>
      <c r="Q368">
        <v>4</v>
      </c>
      <c r="R368">
        <v>3</v>
      </c>
      <c r="S368">
        <v>2.39</v>
      </c>
      <c r="T368">
        <v>0.94</v>
      </c>
      <c r="U368">
        <v>2.27</v>
      </c>
      <c r="V368">
        <v>0.17</v>
      </c>
      <c r="W368">
        <v>4.2</v>
      </c>
      <c r="X368">
        <v>3.15</v>
      </c>
    </row>
    <row r="369" spans="2:24" hidden="1" x14ac:dyDescent="0.35">
      <c r="B369">
        <v>2016</v>
      </c>
      <c r="C369" s="1">
        <v>42871</v>
      </c>
      <c r="D369">
        <v>2411</v>
      </c>
      <c r="E369" t="s">
        <v>23</v>
      </c>
      <c r="F369" t="s">
        <v>40</v>
      </c>
      <c r="G369" t="s">
        <v>37</v>
      </c>
      <c r="H369">
        <v>78.989999999999995</v>
      </c>
      <c r="I369">
        <v>46.51</v>
      </c>
      <c r="J369">
        <v>0.77229999999999999</v>
      </c>
      <c r="K369">
        <v>7.1599999999999997E-2</v>
      </c>
      <c r="L369">
        <v>0.156</v>
      </c>
      <c r="M369">
        <v>2.5499999999999998</v>
      </c>
      <c r="N369">
        <v>0.53</v>
      </c>
      <c r="Q369">
        <v>2</v>
      </c>
      <c r="R369">
        <v>0</v>
      </c>
      <c r="S369">
        <v>3.99</v>
      </c>
      <c r="T369">
        <v>0.27</v>
      </c>
      <c r="U369">
        <v>5.57</v>
      </c>
      <c r="V369">
        <v>0.43</v>
      </c>
      <c r="W369">
        <v>1.83</v>
      </c>
      <c r="X369">
        <v>0</v>
      </c>
    </row>
    <row r="370" spans="2:24" hidden="1" x14ac:dyDescent="0.35">
      <c r="B370">
        <v>2016</v>
      </c>
      <c r="C370" s="1">
        <v>42871</v>
      </c>
      <c r="D370">
        <v>2411</v>
      </c>
      <c r="E370" t="s">
        <v>23</v>
      </c>
      <c r="F370" t="s">
        <v>36</v>
      </c>
      <c r="G370" t="s">
        <v>31</v>
      </c>
      <c r="H370">
        <v>85.93</v>
      </c>
      <c r="I370">
        <v>57.63</v>
      </c>
      <c r="J370">
        <v>0.78649999999999998</v>
      </c>
      <c r="K370">
        <v>5.79E-2</v>
      </c>
      <c r="L370">
        <v>0.15570000000000001</v>
      </c>
      <c r="M370">
        <v>2.37</v>
      </c>
      <c r="N370">
        <v>0.4</v>
      </c>
      <c r="Q370">
        <v>3</v>
      </c>
      <c r="R370">
        <v>1</v>
      </c>
      <c r="S370">
        <v>2.42</v>
      </c>
      <c r="T370">
        <v>0.57999999999999996</v>
      </c>
      <c r="U370">
        <v>2.65</v>
      </c>
      <c r="V370">
        <v>0.42</v>
      </c>
      <c r="W370">
        <v>3.15</v>
      </c>
      <c r="X370">
        <v>1.05</v>
      </c>
    </row>
    <row r="371" spans="2:24" hidden="1" x14ac:dyDescent="0.35">
      <c r="B371">
        <v>2016</v>
      </c>
      <c r="C371" s="1">
        <v>42872</v>
      </c>
      <c r="D371">
        <v>2411</v>
      </c>
      <c r="E371" t="s">
        <v>23</v>
      </c>
      <c r="F371" t="s">
        <v>34</v>
      </c>
      <c r="G371" t="s">
        <v>39</v>
      </c>
      <c r="H371">
        <v>65.03</v>
      </c>
      <c r="I371">
        <v>80.42</v>
      </c>
      <c r="J371">
        <v>0.25480000000000003</v>
      </c>
      <c r="K371">
        <v>0.45619999999999999</v>
      </c>
      <c r="L371">
        <v>0.28899999999999998</v>
      </c>
      <c r="M371">
        <v>0.98</v>
      </c>
      <c r="N371">
        <v>1.36</v>
      </c>
      <c r="Q371">
        <v>0</v>
      </c>
      <c r="R371">
        <v>0</v>
      </c>
      <c r="S371">
        <v>1.77</v>
      </c>
      <c r="T371">
        <v>0.53</v>
      </c>
      <c r="U371">
        <v>1.35</v>
      </c>
      <c r="V371">
        <v>0.91</v>
      </c>
      <c r="W371">
        <v>0</v>
      </c>
      <c r="X371">
        <v>0</v>
      </c>
    </row>
    <row r="372" spans="2:24" hidden="1" x14ac:dyDescent="0.35">
      <c r="B372">
        <v>2016</v>
      </c>
      <c r="C372" s="1">
        <v>42873</v>
      </c>
      <c r="D372">
        <v>2411</v>
      </c>
      <c r="E372" t="s">
        <v>23</v>
      </c>
      <c r="F372" t="s">
        <v>25</v>
      </c>
      <c r="G372" t="s">
        <v>29</v>
      </c>
      <c r="H372">
        <v>63.31</v>
      </c>
      <c r="I372">
        <v>84.39</v>
      </c>
      <c r="J372">
        <v>0.1741</v>
      </c>
      <c r="K372">
        <v>0.58479999999999999</v>
      </c>
      <c r="L372">
        <v>0.24110000000000001</v>
      </c>
      <c r="M372">
        <v>0.98</v>
      </c>
      <c r="N372">
        <v>1.72</v>
      </c>
      <c r="O372">
        <v>0</v>
      </c>
      <c r="P372">
        <v>0</v>
      </c>
      <c r="Q372">
        <v>1</v>
      </c>
      <c r="R372">
        <v>6</v>
      </c>
      <c r="S372">
        <v>0.83</v>
      </c>
      <c r="T372">
        <v>2.76</v>
      </c>
      <c r="U372">
        <v>0.77</v>
      </c>
      <c r="V372">
        <v>1.88</v>
      </c>
      <c r="W372">
        <v>1.05</v>
      </c>
      <c r="X372">
        <v>5.3</v>
      </c>
    </row>
    <row r="373" spans="2:24" hidden="1" x14ac:dyDescent="0.35">
      <c r="B373">
        <v>2016</v>
      </c>
      <c r="C373" s="1">
        <v>42876</v>
      </c>
      <c r="D373">
        <v>2411</v>
      </c>
      <c r="E373" t="s">
        <v>23</v>
      </c>
      <c r="F373" t="s">
        <v>33</v>
      </c>
      <c r="G373" t="s">
        <v>31</v>
      </c>
      <c r="H373">
        <v>59.28</v>
      </c>
      <c r="I373">
        <v>57.65</v>
      </c>
      <c r="J373">
        <v>0.46899999999999997</v>
      </c>
      <c r="K373">
        <v>0.24560000000000001</v>
      </c>
      <c r="L373">
        <v>0.28549999999999998</v>
      </c>
      <c r="M373">
        <v>1.39</v>
      </c>
      <c r="N373">
        <v>0.97</v>
      </c>
      <c r="O373">
        <v>0</v>
      </c>
      <c r="P373">
        <v>0</v>
      </c>
      <c r="Q373">
        <v>2</v>
      </c>
      <c r="R373">
        <v>1</v>
      </c>
      <c r="S373">
        <v>2.02</v>
      </c>
      <c r="T373">
        <v>1.31</v>
      </c>
      <c r="U373">
        <v>1.9</v>
      </c>
      <c r="V373">
        <v>0.99</v>
      </c>
      <c r="W373">
        <v>2.1</v>
      </c>
      <c r="X373">
        <v>1.05</v>
      </c>
    </row>
    <row r="374" spans="2:24" hidden="1" x14ac:dyDescent="0.35">
      <c r="B374">
        <v>2016</v>
      </c>
      <c r="C374" s="1">
        <v>42876</v>
      </c>
      <c r="D374">
        <v>2411</v>
      </c>
      <c r="E374" t="s">
        <v>23</v>
      </c>
      <c r="F374" t="s">
        <v>41</v>
      </c>
      <c r="G374" t="s">
        <v>26</v>
      </c>
      <c r="H374">
        <v>81.239999999999995</v>
      </c>
      <c r="I374">
        <v>48.46</v>
      </c>
      <c r="J374">
        <v>0.77280000000000004</v>
      </c>
      <c r="K374">
        <v>6.3200000000000006E-2</v>
      </c>
      <c r="L374">
        <v>0.16400000000000001</v>
      </c>
      <c r="M374">
        <v>2.36</v>
      </c>
      <c r="N374">
        <v>0.39</v>
      </c>
      <c r="O374">
        <v>100</v>
      </c>
      <c r="P374">
        <v>0</v>
      </c>
      <c r="Q374">
        <v>3</v>
      </c>
      <c r="R374">
        <v>0</v>
      </c>
      <c r="S374">
        <v>2.31</v>
      </c>
      <c r="T374">
        <v>1.18</v>
      </c>
      <c r="U374">
        <v>2.0299999999999998</v>
      </c>
      <c r="V374">
        <v>1.02</v>
      </c>
      <c r="W374">
        <v>3.15</v>
      </c>
      <c r="X374">
        <v>0</v>
      </c>
    </row>
    <row r="375" spans="2:24" hidden="1" x14ac:dyDescent="0.35">
      <c r="B375">
        <v>2016</v>
      </c>
      <c r="C375" s="1">
        <v>42876</v>
      </c>
      <c r="D375">
        <v>2411</v>
      </c>
      <c r="E375" t="s">
        <v>23</v>
      </c>
      <c r="F375" t="s">
        <v>34</v>
      </c>
      <c r="G375" t="s">
        <v>27</v>
      </c>
      <c r="H375">
        <v>65.66</v>
      </c>
      <c r="I375">
        <v>62.71</v>
      </c>
      <c r="J375">
        <v>0.48659999999999998</v>
      </c>
      <c r="K375">
        <v>0.22869999999999999</v>
      </c>
      <c r="L375">
        <v>0.2848</v>
      </c>
      <c r="M375">
        <v>1.4</v>
      </c>
      <c r="N375">
        <v>0.92</v>
      </c>
      <c r="O375">
        <v>0</v>
      </c>
      <c r="P375">
        <v>0</v>
      </c>
      <c r="Q375">
        <v>0</v>
      </c>
      <c r="R375">
        <v>1</v>
      </c>
      <c r="S375">
        <v>2.2400000000000002</v>
      </c>
      <c r="T375">
        <v>1.06</v>
      </c>
      <c r="U375">
        <v>1.79</v>
      </c>
      <c r="V375">
        <v>1.84</v>
      </c>
      <c r="W375">
        <v>0</v>
      </c>
      <c r="X375">
        <v>1.05</v>
      </c>
    </row>
    <row r="376" spans="2:24" hidden="1" x14ac:dyDescent="0.35">
      <c r="B376">
        <v>2016</v>
      </c>
      <c r="C376" s="1">
        <v>42876</v>
      </c>
      <c r="D376">
        <v>2411</v>
      </c>
      <c r="E376" t="s">
        <v>23</v>
      </c>
      <c r="F376" t="s">
        <v>32</v>
      </c>
      <c r="G376" t="s">
        <v>43</v>
      </c>
      <c r="H376">
        <v>60.17</v>
      </c>
      <c r="I376">
        <v>59.28</v>
      </c>
      <c r="J376">
        <v>0.46610000000000001</v>
      </c>
      <c r="K376">
        <v>0.25619999999999998</v>
      </c>
      <c r="L376">
        <v>0.2777</v>
      </c>
      <c r="M376">
        <v>1.46</v>
      </c>
      <c r="N376">
        <v>1.07</v>
      </c>
      <c r="O376">
        <v>0</v>
      </c>
      <c r="P376">
        <v>0</v>
      </c>
      <c r="Q376">
        <v>1</v>
      </c>
      <c r="R376">
        <v>2</v>
      </c>
      <c r="S376">
        <v>1.94</v>
      </c>
      <c r="T376">
        <v>1.54</v>
      </c>
      <c r="U376">
        <v>1.28</v>
      </c>
      <c r="V376">
        <v>0.92</v>
      </c>
      <c r="W376">
        <v>1.05</v>
      </c>
      <c r="X376">
        <v>2.1</v>
      </c>
    </row>
    <row r="377" spans="2:24" hidden="1" x14ac:dyDescent="0.35">
      <c r="B377">
        <v>2016</v>
      </c>
      <c r="C377" s="1">
        <v>42876</v>
      </c>
      <c r="D377">
        <v>2411</v>
      </c>
      <c r="E377" t="s">
        <v>23</v>
      </c>
      <c r="F377" t="s">
        <v>25</v>
      </c>
      <c r="G377" t="s">
        <v>38</v>
      </c>
      <c r="H377">
        <v>61.39</v>
      </c>
      <c r="I377">
        <v>62.83</v>
      </c>
      <c r="J377">
        <v>0.44240000000000002</v>
      </c>
      <c r="K377">
        <v>0.3</v>
      </c>
      <c r="L377">
        <v>0.2576</v>
      </c>
      <c r="M377">
        <v>1.68</v>
      </c>
      <c r="N377">
        <v>1.39</v>
      </c>
      <c r="O377">
        <v>0</v>
      </c>
      <c r="P377">
        <v>0</v>
      </c>
      <c r="Q377">
        <v>1</v>
      </c>
      <c r="R377">
        <v>1</v>
      </c>
      <c r="S377">
        <v>2.68</v>
      </c>
      <c r="T377">
        <v>0.85</v>
      </c>
      <c r="U377">
        <v>2.83</v>
      </c>
      <c r="V377">
        <v>1.37</v>
      </c>
      <c r="W377">
        <v>1.05</v>
      </c>
      <c r="X377">
        <v>1.05</v>
      </c>
    </row>
    <row r="378" spans="2:24" hidden="1" x14ac:dyDescent="0.35">
      <c r="B378">
        <v>2016</v>
      </c>
      <c r="C378" s="1">
        <v>42876</v>
      </c>
      <c r="D378">
        <v>2411</v>
      </c>
      <c r="E378" t="s">
        <v>23</v>
      </c>
      <c r="F378" t="s">
        <v>40</v>
      </c>
      <c r="G378" t="s">
        <v>28</v>
      </c>
      <c r="H378">
        <v>80.08</v>
      </c>
      <c r="I378">
        <v>71.02</v>
      </c>
      <c r="J378">
        <v>0.59499999999999997</v>
      </c>
      <c r="K378">
        <v>0.18240000000000001</v>
      </c>
      <c r="L378">
        <v>0.2225</v>
      </c>
      <c r="M378">
        <v>1.99</v>
      </c>
      <c r="N378">
        <v>1.1399999999999999</v>
      </c>
      <c r="O378">
        <v>65.400000000000006</v>
      </c>
      <c r="P378">
        <v>0</v>
      </c>
      <c r="Q378">
        <v>3</v>
      </c>
      <c r="R378">
        <v>1</v>
      </c>
      <c r="S378">
        <v>3.29</v>
      </c>
      <c r="T378">
        <v>2.14</v>
      </c>
      <c r="U378">
        <v>2.59</v>
      </c>
      <c r="V378">
        <v>1.87</v>
      </c>
      <c r="W378">
        <v>2.63</v>
      </c>
      <c r="X378">
        <v>1.05</v>
      </c>
    </row>
    <row r="379" spans="2:24" hidden="1" x14ac:dyDescent="0.35">
      <c r="B379">
        <v>2016</v>
      </c>
      <c r="C379" s="1">
        <v>42876</v>
      </c>
      <c r="D379">
        <v>2411</v>
      </c>
      <c r="E379" t="s">
        <v>23</v>
      </c>
      <c r="F379" t="s">
        <v>39</v>
      </c>
      <c r="G379" t="s">
        <v>30</v>
      </c>
      <c r="H379">
        <v>79.8</v>
      </c>
      <c r="I379">
        <v>61.19</v>
      </c>
      <c r="J379">
        <v>0.68159999999999998</v>
      </c>
      <c r="K379">
        <v>0.10199999999999999</v>
      </c>
      <c r="L379">
        <v>0.21640000000000001</v>
      </c>
      <c r="M379">
        <v>1.89</v>
      </c>
      <c r="N379">
        <v>0.63</v>
      </c>
      <c r="O379">
        <v>0</v>
      </c>
      <c r="P379">
        <v>0</v>
      </c>
      <c r="Q379">
        <v>2</v>
      </c>
      <c r="R379">
        <v>0</v>
      </c>
      <c r="S379">
        <v>0.96</v>
      </c>
      <c r="T379">
        <v>0.34</v>
      </c>
      <c r="U379">
        <v>0.98</v>
      </c>
      <c r="V379">
        <v>1.0900000000000001</v>
      </c>
      <c r="W379">
        <v>2.1</v>
      </c>
      <c r="X379">
        <v>0</v>
      </c>
    </row>
    <row r="380" spans="2:24" hidden="1" x14ac:dyDescent="0.35">
      <c r="B380">
        <v>2016</v>
      </c>
      <c r="C380" s="1">
        <v>42876</v>
      </c>
      <c r="D380">
        <v>2411</v>
      </c>
      <c r="E380" t="s">
        <v>23</v>
      </c>
      <c r="F380" t="s">
        <v>42</v>
      </c>
      <c r="G380" t="s">
        <v>37</v>
      </c>
      <c r="H380">
        <v>85.9</v>
      </c>
      <c r="I380">
        <v>45.14</v>
      </c>
      <c r="J380">
        <v>0.84289999999999998</v>
      </c>
      <c r="K380">
        <v>3.7100000000000001E-2</v>
      </c>
      <c r="L380">
        <v>0.12</v>
      </c>
      <c r="M380">
        <v>2.73</v>
      </c>
      <c r="N380">
        <v>0.27</v>
      </c>
      <c r="O380">
        <v>0</v>
      </c>
      <c r="P380">
        <v>0</v>
      </c>
      <c r="Q380">
        <v>5</v>
      </c>
      <c r="R380">
        <v>1</v>
      </c>
      <c r="S380">
        <v>2.61</v>
      </c>
      <c r="T380">
        <v>0.45</v>
      </c>
      <c r="U380">
        <v>4.13</v>
      </c>
      <c r="V380">
        <v>0.12</v>
      </c>
      <c r="W380">
        <v>4.04</v>
      </c>
      <c r="X380">
        <v>1.05</v>
      </c>
    </row>
    <row r="381" spans="2:24" hidden="1" x14ac:dyDescent="0.35">
      <c r="B381">
        <v>2016</v>
      </c>
      <c r="C381" s="1">
        <v>42876</v>
      </c>
      <c r="D381">
        <v>2411</v>
      </c>
      <c r="E381" t="s">
        <v>23</v>
      </c>
      <c r="F381" t="s">
        <v>35</v>
      </c>
      <c r="G381" t="s">
        <v>36</v>
      </c>
      <c r="H381">
        <v>57.88</v>
      </c>
      <c r="I381">
        <v>85.99</v>
      </c>
      <c r="J381">
        <v>0.10290000000000001</v>
      </c>
      <c r="K381">
        <v>0.71779999999999999</v>
      </c>
      <c r="L381">
        <v>0.17929999999999999</v>
      </c>
      <c r="M381">
        <v>0.96</v>
      </c>
      <c r="N381">
        <v>2.13</v>
      </c>
      <c r="O381">
        <v>0</v>
      </c>
      <c r="P381">
        <v>21.9</v>
      </c>
      <c r="Q381">
        <v>0</v>
      </c>
      <c r="R381">
        <v>5</v>
      </c>
      <c r="S381">
        <v>0.85</v>
      </c>
      <c r="T381">
        <v>4.05</v>
      </c>
      <c r="U381">
        <v>0.45</v>
      </c>
      <c r="V381">
        <v>3.11</v>
      </c>
      <c r="W381">
        <v>0</v>
      </c>
      <c r="X381">
        <v>5.25</v>
      </c>
    </row>
    <row r="382" spans="2:24" hidden="1" x14ac:dyDescent="0.35">
      <c r="B382">
        <v>2016</v>
      </c>
      <c r="C382" s="1">
        <v>42876</v>
      </c>
      <c r="D382">
        <v>2411</v>
      </c>
      <c r="E382" t="s">
        <v>23</v>
      </c>
      <c r="F382" t="s">
        <v>24</v>
      </c>
      <c r="G382" t="s">
        <v>29</v>
      </c>
      <c r="H382">
        <v>46.14</v>
      </c>
      <c r="I382">
        <v>85.8</v>
      </c>
      <c r="J382">
        <v>6.2E-2</v>
      </c>
      <c r="K382">
        <v>0.7893</v>
      </c>
      <c r="L382">
        <v>0.14860000000000001</v>
      </c>
      <c r="M382">
        <v>0.76</v>
      </c>
      <c r="N382">
        <v>2.33</v>
      </c>
      <c r="O382">
        <v>0</v>
      </c>
      <c r="P382">
        <v>0</v>
      </c>
      <c r="Q382">
        <v>1</v>
      </c>
      <c r="R382">
        <v>7</v>
      </c>
      <c r="S382">
        <v>1.02</v>
      </c>
      <c r="T382">
        <v>3.99</v>
      </c>
      <c r="U382">
        <v>0.7</v>
      </c>
      <c r="V382">
        <v>3.1</v>
      </c>
      <c r="W382">
        <v>1.05</v>
      </c>
      <c r="X382">
        <v>6.52</v>
      </c>
    </row>
    <row r="383" spans="2:24" hidden="1" x14ac:dyDescent="0.35">
      <c r="B383">
        <v>2017</v>
      </c>
      <c r="C383" s="1">
        <v>42958</v>
      </c>
      <c r="D383">
        <v>2411</v>
      </c>
      <c r="E383" t="s">
        <v>23</v>
      </c>
      <c r="F383" t="s">
        <v>40</v>
      </c>
      <c r="G383" t="s">
        <v>25</v>
      </c>
      <c r="H383">
        <v>78.180000000000007</v>
      </c>
      <c r="I383">
        <v>61.77</v>
      </c>
      <c r="J383">
        <v>0.64300000000000002</v>
      </c>
      <c r="K383">
        <v>0.15629999999999999</v>
      </c>
      <c r="L383">
        <v>0.20069999999999999</v>
      </c>
      <c r="M383">
        <v>2.2400000000000002</v>
      </c>
      <c r="N383">
        <v>1.01</v>
      </c>
      <c r="O383">
        <v>59.9</v>
      </c>
      <c r="P383">
        <v>18.8</v>
      </c>
      <c r="Q383">
        <v>4</v>
      </c>
      <c r="R383">
        <v>3</v>
      </c>
      <c r="S383">
        <v>2.62</v>
      </c>
      <c r="T383">
        <v>1.19</v>
      </c>
      <c r="U383">
        <v>2.89</v>
      </c>
      <c r="V383">
        <v>0.99</v>
      </c>
      <c r="W383">
        <v>4.2</v>
      </c>
      <c r="X383">
        <v>3.15</v>
      </c>
    </row>
    <row r="384" spans="2:24" hidden="1" x14ac:dyDescent="0.35">
      <c r="B384">
        <v>2017</v>
      </c>
      <c r="C384" s="1">
        <v>42959</v>
      </c>
      <c r="D384">
        <v>2411</v>
      </c>
      <c r="E384" t="s">
        <v>23</v>
      </c>
      <c r="F384" t="s">
        <v>35</v>
      </c>
      <c r="G384" t="s">
        <v>41</v>
      </c>
      <c r="H384">
        <v>54.25</v>
      </c>
      <c r="I384">
        <v>77.150000000000006</v>
      </c>
      <c r="J384">
        <v>0.21929999999999999</v>
      </c>
      <c r="K384">
        <v>0.53839999999999999</v>
      </c>
      <c r="L384">
        <v>0.24229999999999999</v>
      </c>
      <c r="M384">
        <v>1.07</v>
      </c>
      <c r="N384">
        <v>1.81</v>
      </c>
      <c r="O384">
        <v>31.7</v>
      </c>
      <c r="P384">
        <v>57.7</v>
      </c>
      <c r="Q384">
        <v>3</v>
      </c>
      <c r="R384">
        <v>3</v>
      </c>
      <c r="S384">
        <v>1.99</v>
      </c>
      <c r="T384">
        <v>2.36</v>
      </c>
      <c r="U384">
        <v>0.71</v>
      </c>
      <c r="V384">
        <v>1.67</v>
      </c>
      <c r="W384">
        <v>3.15</v>
      </c>
      <c r="X384">
        <v>3.15</v>
      </c>
    </row>
    <row r="385" spans="2:24" hidden="1" x14ac:dyDescent="0.35">
      <c r="B385">
        <v>2017</v>
      </c>
      <c r="C385" s="1">
        <v>42959</v>
      </c>
      <c r="D385">
        <v>2411</v>
      </c>
      <c r="E385" t="s">
        <v>23</v>
      </c>
      <c r="F385" t="s">
        <v>28</v>
      </c>
      <c r="G385" t="s">
        <v>27</v>
      </c>
      <c r="H385">
        <v>67.06</v>
      </c>
      <c r="I385">
        <v>60.8</v>
      </c>
      <c r="J385">
        <v>0.51290000000000002</v>
      </c>
      <c r="K385">
        <v>0.2283</v>
      </c>
      <c r="L385">
        <v>0.25879999999999997</v>
      </c>
      <c r="M385">
        <v>1.64</v>
      </c>
      <c r="N385">
        <v>1</v>
      </c>
      <c r="O385">
        <v>25.8</v>
      </c>
      <c r="P385">
        <v>17</v>
      </c>
      <c r="Q385">
        <v>1</v>
      </c>
      <c r="R385">
        <v>0</v>
      </c>
      <c r="S385">
        <v>0.64</v>
      </c>
      <c r="T385">
        <v>0.38</v>
      </c>
      <c r="U385">
        <v>1.34</v>
      </c>
      <c r="V385">
        <v>1.1299999999999999</v>
      </c>
      <c r="W385">
        <v>1.05</v>
      </c>
      <c r="X385">
        <v>0</v>
      </c>
    </row>
    <row r="386" spans="2:24" hidden="1" x14ac:dyDescent="0.35">
      <c r="B386">
        <v>2017</v>
      </c>
      <c r="C386" s="1">
        <v>42959</v>
      </c>
      <c r="D386">
        <v>2411</v>
      </c>
      <c r="E386" t="s">
        <v>23</v>
      </c>
      <c r="F386" t="s">
        <v>30</v>
      </c>
      <c r="G386" t="s">
        <v>44</v>
      </c>
      <c r="H386">
        <v>59.47</v>
      </c>
      <c r="I386">
        <v>44.57</v>
      </c>
      <c r="J386">
        <v>0.6</v>
      </c>
      <c r="K386">
        <v>0.16059999999999999</v>
      </c>
      <c r="L386">
        <v>0.23930000000000001</v>
      </c>
      <c r="M386">
        <v>1.79</v>
      </c>
      <c r="N386">
        <v>0.8</v>
      </c>
      <c r="O386">
        <v>32.4</v>
      </c>
      <c r="P386">
        <v>43.5</v>
      </c>
      <c r="Q386">
        <v>0</v>
      </c>
      <c r="R386">
        <v>3</v>
      </c>
      <c r="S386">
        <v>0.99</v>
      </c>
      <c r="T386">
        <v>0.53</v>
      </c>
      <c r="U386">
        <v>1.24</v>
      </c>
      <c r="V386">
        <v>0.79</v>
      </c>
      <c r="W386">
        <v>0</v>
      </c>
      <c r="X386">
        <v>2.95</v>
      </c>
    </row>
    <row r="387" spans="2:24" hidden="1" x14ac:dyDescent="0.35">
      <c r="B387">
        <v>2017</v>
      </c>
      <c r="C387" s="1">
        <v>42959</v>
      </c>
      <c r="D387">
        <v>2411</v>
      </c>
      <c r="E387" t="s">
        <v>23</v>
      </c>
      <c r="F387" t="s">
        <v>31</v>
      </c>
      <c r="G387" t="s">
        <v>38</v>
      </c>
      <c r="H387">
        <v>56.21</v>
      </c>
      <c r="I387">
        <v>58.25</v>
      </c>
      <c r="J387">
        <v>0.42459999999999998</v>
      </c>
      <c r="K387">
        <v>0.3019</v>
      </c>
      <c r="L387">
        <v>0.27350000000000002</v>
      </c>
      <c r="M387">
        <v>1.44</v>
      </c>
      <c r="N387">
        <v>1.17</v>
      </c>
      <c r="O387">
        <v>31.4</v>
      </c>
      <c r="P387">
        <v>26.4</v>
      </c>
      <c r="Q387">
        <v>1</v>
      </c>
      <c r="R387">
        <v>0</v>
      </c>
      <c r="S387">
        <v>1.26</v>
      </c>
      <c r="T387">
        <v>0.45</v>
      </c>
      <c r="U387">
        <v>1.41</v>
      </c>
      <c r="V387">
        <v>1.1499999999999999</v>
      </c>
      <c r="W387">
        <v>1.05</v>
      </c>
      <c r="X387">
        <v>0</v>
      </c>
    </row>
    <row r="388" spans="2:24" hidden="1" x14ac:dyDescent="0.35">
      <c r="B388">
        <v>2017</v>
      </c>
      <c r="C388" s="1">
        <v>42959</v>
      </c>
      <c r="D388">
        <v>2411</v>
      </c>
      <c r="E388" t="s">
        <v>23</v>
      </c>
      <c r="F388" t="s">
        <v>34</v>
      </c>
      <c r="G388" t="s">
        <v>33</v>
      </c>
      <c r="H388">
        <v>63.35</v>
      </c>
      <c r="I388">
        <v>57.72</v>
      </c>
      <c r="J388">
        <v>0.50439999999999996</v>
      </c>
      <c r="K388">
        <v>0.2296</v>
      </c>
      <c r="L388">
        <v>0.26600000000000001</v>
      </c>
      <c r="M388">
        <v>1.57</v>
      </c>
      <c r="N388">
        <v>0.97</v>
      </c>
      <c r="O388">
        <v>18.899999999999999</v>
      </c>
      <c r="P388">
        <v>25.5</v>
      </c>
      <c r="Q388">
        <v>0</v>
      </c>
      <c r="R388">
        <v>0</v>
      </c>
      <c r="S388">
        <v>2.5</v>
      </c>
      <c r="T388">
        <v>0.28999999999999998</v>
      </c>
      <c r="U388">
        <v>2.95</v>
      </c>
      <c r="V388">
        <v>0.41</v>
      </c>
      <c r="W388">
        <v>0</v>
      </c>
      <c r="X388">
        <v>0</v>
      </c>
    </row>
    <row r="389" spans="2:24" hidden="1" x14ac:dyDescent="0.35">
      <c r="B389">
        <v>2017</v>
      </c>
      <c r="C389" s="1">
        <v>42959</v>
      </c>
      <c r="D389">
        <v>2411</v>
      </c>
      <c r="E389" t="s">
        <v>23</v>
      </c>
      <c r="F389" t="s">
        <v>42</v>
      </c>
      <c r="G389" t="s">
        <v>32</v>
      </c>
      <c r="H389">
        <v>82.76</v>
      </c>
      <c r="I389">
        <v>59.76</v>
      </c>
      <c r="J389">
        <v>0.71840000000000004</v>
      </c>
      <c r="K389">
        <v>0.1011</v>
      </c>
      <c r="L389">
        <v>0.18049999999999999</v>
      </c>
      <c r="M389">
        <v>2.4</v>
      </c>
      <c r="N389">
        <v>0.63</v>
      </c>
      <c r="O389">
        <v>49.1</v>
      </c>
      <c r="P389">
        <v>21</v>
      </c>
      <c r="Q389">
        <v>2</v>
      </c>
      <c r="R389">
        <v>3</v>
      </c>
      <c r="S389">
        <v>1.63</v>
      </c>
      <c r="T389">
        <v>0.46</v>
      </c>
      <c r="U389">
        <v>1.75</v>
      </c>
      <c r="V389">
        <v>1.17</v>
      </c>
      <c r="W389">
        <v>2.1</v>
      </c>
      <c r="X389">
        <v>2.52</v>
      </c>
    </row>
    <row r="390" spans="2:24" hidden="1" x14ac:dyDescent="0.35">
      <c r="B390">
        <v>2017</v>
      </c>
      <c r="C390" s="1">
        <v>42959</v>
      </c>
      <c r="D390">
        <v>2411</v>
      </c>
      <c r="E390" t="s">
        <v>23</v>
      </c>
      <c r="F390" t="s">
        <v>45</v>
      </c>
      <c r="G390" t="s">
        <v>36</v>
      </c>
      <c r="H390">
        <v>47.43</v>
      </c>
      <c r="I390">
        <v>84.21</v>
      </c>
      <c r="J390">
        <v>0.1143</v>
      </c>
      <c r="K390">
        <v>0.69869999999999999</v>
      </c>
      <c r="L390">
        <v>0.18709999999999999</v>
      </c>
      <c r="M390">
        <v>0.8</v>
      </c>
      <c r="N390">
        <v>2.27</v>
      </c>
      <c r="O390">
        <v>43.7</v>
      </c>
      <c r="P390">
        <v>66.2</v>
      </c>
      <c r="Q390">
        <v>0</v>
      </c>
      <c r="R390">
        <v>2</v>
      </c>
      <c r="S390">
        <v>0.38</v>
      </c>
      <c r="T390">
        <v>2.33</v>
      </c>
      <c r="U390">
        <v>0.44</v>
      </c>
      <c r="V390">
        <v>2.79</v>
      </c>
      <c r="W390">
        <v>0</v>
      </c>
      <c r="X390">
        <v>1.98</v>
      </c>
    </row>
    <row r="391" spans="2:24" hidden="1" x14ac:dyDescent="0.35">
      <c r="B391">
        <v>2017</v>
      </c>
      <c r="C391" s="1">
        <v>42960</v>
      </c>
      <c r="D391">
        <v>2411</v>
      </c>
      <c r="E391" t="s">
        <v>23</v>
      </c>
      <c r="F391" t="s">
        <v>46</v>
      </c>
      <c r="G391" t="s">
        <v>29</v>
      </c>
      <c r="H391">
        <v>52</v>
      </c>
      <c r="I391">
        <v>80.290000000000006</v>
      </c>
      <c r="J391">
        <v>0.1731</v>
      </c>
      <c r="K391">
        <v>0.60440000000000005</v>
      </c>
      <c r="L391">
        <v>0.22259999999999999</v>
      </c>
      <c r="M391">
        <v>0.96</v>
      </c>
      <c r="N391">
        <v>1.99</v>
      </c>
      <c r="O391">
        <v>32.200000000000003</v>
      </c>
      <c r="P391">
        <v>58.9</v>
      </c>
      <c r="Q391">
        <v>0</v>
      </c>
      <c r="R391">
        <v>2</v>
      </c>
      <c r="S391">
        <v>0.68</v>
      </c>
      <c r="T391">
        <v>2.3199999999999998</v>
      </c>
      <c r="U391">
        <v>0.42</v>
      </c>
      <c r="V391">
        <v>1.96</v>
      </c>
      <c r="W391">
        <v>0</v>
      </c>
      <c r="X391">
        <v>1.68</v>
      </c>
    </row>
    <row r="392" spans="2:24" hidden="1" x14ac:dyDescent="0.35">
      <c r="B392">
        <v>2017</v>
      </c>
      <c r="C392" s="1">
        <v>42960</v>
      </c>
      <c r="D392">
        <v>2411</v>
      </c>
      <c r="E392" t="s">
        <v>23</v>
      </c>
      <c r="F392" t="s">
        <v>39</v>
      </c>
      <c r="G392" t="s">
        <v>43</v>
      </c>
      <c r="H392">
        <v>82.16</v>
      </c>
      <c r="I392">
        <v>60.38</v>
      </c>
      <c r="J392">
        <v>0.70509999999999995</v>
      </c>
      <c r="K392">
        <v>9.9199999999999997E-2</v>
      </c>
      <c r="L392">
        <v>0.19570000000000001</v>
      </c>
      <c r="M392">
        <v>2.19</v>
      </c>
      <c r="N392">
        <v>0.53</v>
      </c>
      <c r="O392">
        <v>61</v>
      </c>
      <c r="P392">
        <v>17.899999999999999</v>
      </c>
      <c r="Q392">
        <v>4</v>
      </c>
      <c r="R392">
        <v>0</v>
      </c>
      <c r="S392">
        <v>2.4</v>
      </c>
      <c r="T392">
        <v>0.64</v>
      </c>
      <c r="U392">
        <v>2.38</v>
      </c>
      <c r="V392">
        <v>1.27</v>
      </c>
      <c r="W392">
        <v>3.25</v>
      </c>
      <c r="X392">
        <v>0</v>
      </c>
    </row>
    <row r="393" spans="2:24" hidden="1" x14ac:dyDescent="0.35">
      <c r="B393">
        <v>2017</v>
      </c>
      <c r="C393" s="1">
        <v>42966</v>
      </c>
      <c r="D393">
        <v>2411</v>
      </c>
      <c r="E393" t="s">
        <v>23</v>
      </c>
      <c r="F393" t="s">
        <v>33</v>
      </c>
      <c r="G393" t="s">
        <v>39</v>
      </c>
      <c r="H393">
        <v>56.94</v>
      </c>
      <c r="I393">
        <v>82.92</v>
      </c>
      <c r="J393">
        <v>0.1782</v>
      </c>
      <c r="K393">
        <v>0.5796</v>
      </c>
      <c r="L393">
        <v>0.24229999999999999</v>
      </c>
      <c r="M393">
        <v>0.89</v>
      </c>
      <c r="N393">
        <v>1.82</v>
      </c>
      <c r="O393">
        <v>28.2</v>
      </c>
      <c r="P393">
        <v>60.7</v>
      </c>
      <c r="Q393">
        <v>0</v>
      </c>
      <c r="R393">
        <v>4</v>
      </c>
      <c r="S393">
        <v>0.4</v>
      </c>
      <c r="T393">
        <v>3.44</v>
      </c>
      <c r="U393">
        <v>0.87</v>
      </c>
      <c r="V393">
        <v>1.83</v>
      </c>
      <c r="W393">
        <v>0</v>
      </c>
      <c r="X393">
        <v>3.3</v>
      </c>
    </row>
    <row r="394" spans="2:24" hidden="1" x14ac:dyDescent="0.35">
      <c r="B394">
        <v>2017</v>
      </c>
      <c r="C394" s="1">
        <v>42966</v>
      </c>
      <c r="D394">
        <v>2411</v>
      </c>
      <c r="E394" t="s">
        <v>23</v>
      </c>
      <c r="F394" t="s">
        <v>32</v>
      </c>
      <c r="G394" t="s">
        <v>31</v>
      </c>
      <c r="H394">
        <v>61.62</v>
      </c>
      <c r="I394">
        <v>56.78</v>
      </c>
      <c r="J394">
        <v>0.48930000000000001</v>
      </c>
      <c r="K394">
        <v>0.23039999999999999</v>
      </c>
      <c r="L394">
        <v>0.28029999999999999</v>
      </c>
      <c r="M394">
        <v>1.48</v>
      </c>
      <c r="N394">
        <v>0.92</v>
      </c>
      <c r="O394">
        <v>16.7</v>
      </c>
      <c r="P394">
        <v>23.5</v>
      </c>
      <c r="Q394">
        <v>0</v>
      </c>
      <c r="R394">
        <v>1</v>
      </c>
      <c r="S394">
        <v>1.37</v>
      </c>
      <c r="T394">
        <v>0.66</v>
      </c>
      <c r="U394">
        <v>1.64</v>
      </c>
      <c r="V394">
        <v>0.76</v>
      </c>
      <c r="W394">
        <v>0</v>
      </c>
      <c r="X394">
        <v>1.05</v>
      </c>
    </row>
    <row r="395" spans="2:24" hidden="1" x14ac:dyDescent="0.35">
      <c r="B395">
        <v>2017</v>
      </c>
      <c r="C395" s="1">
        <v>42966</v>
      </c>
      <c r="D395">
        <v>2411</v>
      </c>
      <c r="E395" t="s">
        <v>23</v>
      </c>
      <c r="F395" t="s">
        <v>41</v>
      </c>
      <c r="G395" t="s">
        <v>30</v>
      </c>
      <c r="H395">
        <v>76.45</v>
      </c>
      <c r="I395">
        <v>56.81</v>
      </c>
      <c r="J395">
        <v>0.66790000000000005</v>
      </c>
      <c r="K395">
        <v>0.1321</v>
      </c>
      <c r="L395">
        <v>0.2</v>
      </c>
      <c r="M395">
        <v>2.21</v>
      </c>
      <c r="N395">
        <v>0.87</v>
      </c>
      <c r="O395">
        <v>56.3</v>
      </c>
      <c r="P395">
        <v>31.2</v>
      </c>
      <c r="Q395">
        <v>1</v>
      </c>
      <c r="R395">
        <v>0</v>
      </c>
      <c r="S395">
        <v>2.2799999999999998</v>
      </c>
      <c r="T395">
        <v>0.74</v>
      </c>
      <c r="U395">
        <v>2.2999999999999998</v>
      </c>
      <c r="V395">
        <v>0.78</v>
      </c>
      <c r="W395">
        <v>1.05</v>
      </c>
      <c r="X395">
        <v>0</v>
      </c>
    </row>
    <row r="396" spans="2:24" hidden="1" x14ac:dyDescent="0.35">
      <c r="B396">
        <v>2017</v>
      </c>
      <c r="C396" s="1">
        <v>42966</v>
      </c>
      <c r="D396">
        <v>2411</v>
      </c>
      <c r="E396" t="s">
        <v>23</v>
      </c>
      <c r="F396" t="s">
        <v>25</v>
      </c>
      <c r="G396" t="s">
        <v>45</v>
      </c>
      <c r="H396">
        <v>62.15</v>
      </c>
      <c r="I396">
        <v>46.4</v>
      </c>
      <c r="J396">
        <v>0.60629999999999995</v>
      </c>
      <c r="K396">
        <v>0.15260000000000001</v>
      </c>
      <c r="L396">
        <v>0.24110000000000001</v>
      </c>
      <c r="M396">
        <v>1.79</v>
      </c>
      <c r="N396">
        <v>0.77</v>
      </c>
      <c r="O396">
        <v>21.9</v>
      </c>
      <c r="P396">
        <v>39.799999999999997</v>
      </c>
      <c r="Q396">
        <v>2</v>
      </c>
      <c r="R396">
        <v>0</v>
      </c>
      <c r="S396">
        <v>2.0499999999999998</v>
      </c>
      <c r="T396">
        <v>0.16</v>
      </c>
      <c r="U396">
        <v>0.9</v>
      </c>
      <c r="V396">
        <v>0.56999999999999995</v>
      </c>
      <c r="W396">
        <v>2.1</v>
      </c>
      <c r="X396">
        <v>0</v>
      </c>
    </row>
    <row r="397" spans="2:24" hidden="1" x14ac:dyDescent="0.35">
      <c r="B397">
        <v>2017</v>
      </c>
      <c r="C397" s="1">
        <v>42966</v>
      </c>
      <c r="D397">
        <v>2411</v>
      </c>
      <c r="E397" t="s">
        <v>23</v>
      </c>
      <c r="F397" t="s">
        <v>34</v>
      </c>
      <c r="G397" t="s">
        <v>43</v>
      </c>
      <c r="H397">
        <v>64.069999999999993</v>
      </c>
      <c r="I397">
        <v>59.35</v>
      </c>
      <c r="J397">
        <v>0.49370000000000003</v>
      </c>
      <c r="K397">
        <v>0.2359</v>
      </c>
      <c r="L397">
        <v>0.27039999999999997</v>
      </c>
      <c r="M397">
        <v>1.56</v>
      </c>
      <c r="N397">
        <v>0.99</v>
      </c>
      <c r="O397">
        <v>17.399999999999999</v>
      </c>
      <c r="P397">
        <v>22</v>
      </c>
      <c r="Q397">
        <v>3</v>
      </c>
      <c r="R397">
        <v>2</v>
      </c>
      <c r="S397">
        <v>2.0499999999999998</v>
      </c>
      <c r="T397">
        <v>1.86</v>
      </c>
      <c r="U397">
        <v>2.08</v>
      </c>
      <c r="V397">
        <v>1.61</v>
      </c>
      <c r="W397">
        <v>2.52</v>
      </c>
      <c r="X397">
        <v>2.1</v>
      </c>
    </row>
    <row r="398" spans="2:24" hidden="1" x14ac:dyDescent="0.35">
      <c r="B398">
        <v>2017</v>
      </c>
      <c r="C398" s="1">
        <v>42966</v>
      </c>
      <c r="D398">
        <v>2411</v>
      </c>
      <c r="E398" t="s">
        <v>23</v>
      </c>
      <c r="F398" t="s">
        <v>38</v>
      </c>
      <c r="G398" t="s">
        <v>35</v>
      </c>
      <c r="H398">
        <v>57.66</v>
      </c>
      <c r="I398">
        <v>55.28</v>
      </c>
      <c r="J398">
        <v>0.47099999999999997</v>
      </c>
      <c r="K398">
        <v>0.26729999999999998</v>
      </c>
      <c r="L398">
        <v>0.26169999999999999</v>
      </c>
      <c r="M398">
        <v>1.62</v>
      </c>
      <c r="N398">
        <v>1.1599999999999999</v>
      </c>
      <c r="O398">
        <v>30.1</v>
      </c>
      <c r="P398">
        <v>31.3</v>
      </c>
      <c r="Q398">
        <v>0</v>
      </c>
      <c r="R398">
        <v>2</v>
      </c>
      <c r="S398">
        <v>0.54</v>
      </c>
      <c r="T398">
        <v>2.37</v>
      </c>
      <c r="U398">
        <v>1.07</v>
      </c>
      <c r="V398">
        <v>1.73</v>
      </c>
      <c r="W398">
        <v>0</v>
      </c>
      <c r="X398">
        <v>1.69</v>
      </c>
    </row>
    <row r="399" spans="2:24" hidden="1" x14ac:dyDescent="0.35">
      <c r="B399">
        <v>2017</v>
      </c>
      <c r="C399" s="1">
        <v>42966</v>
      </c>
      <c r="D399">
        <v>2411</v>
      </c>
      <c r="E399" t="s">
        <v>23</v>
      </c>
      <c r="F399" t="s">
        <v>27</v>
      </c>
      <c r="G399" t="s">
        <v>40</v>
      </c>
      <c r="H399">
        <v>60.68</v>
      </c>
      <c r="I399">
        <v>78.069999999999993</v>
      </c>
      <c r="J399">
        <v>0.2681</v>
      </c>
      <c r="K399">
        <v>0.48730000000000001</v>
      </c>
      <c r="L399">
        <v>0.24460000000000001</v>
      </c>
      <c r="M399">
        <v>1.3</v>
      </c>
      <c r="N399">
        <v>1.82</v>
      </c>
      <c r="O399">
        <v>19</v>
      </c>
      <c r="P399">
        <v>56.1</v>
      </c>
      <c r="Q399">
        <v>1</v>
      </c>
      <c r="R399">
        <v>0</v>
      </c>
      <c r="S399">
        <v>0.77</v>
      </c>
      <c r="T399">
        <v>1.55</v>
      </c>
      <c r="U399">
        <v>1</v>
      </c>
      <c r="V399">
        <v>3.46</v>
      </c>
      <c r="W399">
        <v>1.05</v>
      </c>
      <c r="X399">
        <v>0</v>
      </c>
    </row>
    <row r="400" spans="2:24" hidden="1" x14ac:dyDescent="0.35">
      <c r="B400">
        <v>2017</v>
      </c>
      <c r="C400" s="1">
        <v>42967</v>
      </c>
      <c r="D400">
        <v>2411</v>
      </c>
      <c r="E400" t="s">
        <v>23</v>
      </c>
      <c r="F400" t="s">
        <v>44</v>
      </c>
      <c r="G400" t="s">
        <v>46</v>
      </c>
      <c r="H400">
        <v>47.19</v>
      </c>
      <c r="I400">
        <v>50.91</v>
      </c>
      <c r="J400">
        <v>0.40210000000000001</v>
      </c>
      <c r="K400">
        <v>0.30640000000000001</v>
      </c>
      <c r="L400">
        <v>0.29149999999999998</v>
      </c>
      <c r="M400">
        <v>1.3</v>
      </c>
      <c r="N400">
        <v>1.1000000000000001</v>
      </c>
      <c r="O400">
        <v>43.7</v>
      </c>
      <c r="P400">
        <v>42.5</v>
      </c>
      <c r="Q400">
        <v>1</v>
      </c>
      <c r="R400">
        <v>0</v>
      </c>
      <c r="S400">
        <v>0.28999999999999998</v>
      </c>
      <c r="T400">
        <v>1.1100000000000001</v>
      </c>
      <c r="U400">
        <v>0.3</v>
      </c>
      <c r="V400">
        <v>1.21</v>
      </c>
      <c r="W400">
        <v>1.05</v>
      </c>
      <c r="X400">
        <v>0</v>
      </c>
    </row>
    <row r="401" spans="2:24" hidden="1" x14ac:dyDescent="0.35">
      <c r="B401">
        <v>2017</v>
      </c>
      <c r="C401" s="1">
        <v>42967</v>
      </c>
      <c r="D401">
        <v>2411</v>
      </c>
      <c r="E401" t="s">
        <v>23</v>
      </c>
      <c r="F401" t="s">
        <v>29</v>
      </c>
      <c r="G401" t="s">
        <v>42</v>
      </c>
      <c r="H401">
        <v>81.03</v>
      </c>
      <c r="I401">
        <v>81.510000000000005</v>
      </c>
      <c r="J401">
        <v>0.4481</v>
      </c>
      <c r="K401">
        <v>0.29880000000000001</v>
      </c>
      <c r="L401">
        <v>0.25309999999999999</v>
      </c>
      <c r="M401">
        <v>1.69</v>
      </c>
      <c r="N401">
        <v>1.34</v>
      </c>
      <c r="O401">
        <v>65.8</v>
      </c>
      <c r="P401">
        <v>66.8</v>
      </c>
      <c r="Q401">
        <v>1</v>
      </c>
      <c r="R401">
        <v>2</v>
      </c>
      <c r="S401">
        <v>0.76</v>
      </c>
      <c r="T401">
        <v>0.92</v>
      </c>
      <c r="U401">
        <v>1.44</v>
      </c>
      <c r="V401">
        <v>0.9</v>
      </c>
      <c r="W401">
        <v>1.05</v>
      </c>
      <c r="X401">
        <v>2.1</v>
      </c>
    </row>
    <row r="402" spans="2:24" hidden="1" x14ac:dyDescent="0.35">
      <c r="B402">
        <v>2017</v>
      </c>
      <c r="C402" s="1">
        <v>42968</v>
      </c>
      <c r="D402">
        <v>2411</v>
      </c>
      <c r="E402" t="s">
        <v>23</v>
      </c>
      <c r="F402" t="s">
        <v>36</v>
      </c>
      <c r="G402" t="s">
        <v>28</v>
      </c>
      <c r="H402">
        <v>84.84</v>
      </c>
      <c r="I402">
        <v>67.099999999999994</v>
      </c>
      <c r="J402">
        <v>0.67459999999999998</v>
      </c>
      <c r="K402">
        <v>0.12559999999999999</v>
      </c>
      <c r="L402">
        <v>0.19980000000000001</v>
      </c>
      <c r="M402">
        <v>2.19</v>
      </c>
      <c r="N402">
        <v>0.82</v>
      </c>
      <c r="O402">
        <v>59.1</v>
      </c>
      <c r="P402">
        <v>40.299999999999997</v>
      </c>
      <c r="Q402">
        <v>1</v>
      </c>
      <c r="R402">
        <v>1</v>
      </c>
      <c r="S402">
        <v>1.33</v>
      </c>
      <c r="T402">
        <v>0.74</v>
      </c>
      <c r="U402">
        <v>3.08</v>
      </c>
      <c r="V402">
        <v>0.59</v>
      </c>
      <c r="W402">
        <v>1.05</v>
      </c>
      <c r="X402">
        <v>1.05</v>
      </c>
    </row>
    <row r="403" spans="2:24" hidden="1" x14ac:dyDescent="0.35">
      <c r="B403">
        <v>2017</v>
      </c>
      <c r="C403" s="1">
        <v>42973</v>
      </c>
      <c r="D403">
        <v>2411</v>
      </c>
      <c r="E403" t="s">
        <v>23</v>
      </c>
      <c r="F403" t="s">
        <v>38</v>
      </c>
      <c r="G403" t="s">
        <v>36</v>
      </c>
      <c r="H403">
        <v>55.41</v>
      </c>
      <c r="I403">
        <v>84.47</v>
      </c>
      <c r="J403">
        <v>0.15459999999999999</v>
      </c>
      <c r="K403">
        <v>0.64229999999999998</v>
      </c>
      <c r="L403">
        <v>0.2031</v>
      </c>
      <c r="M403">
        <v>1.01</v>
      </c>
      <c r="N403">
        <v>2.25</v>
      </c>
      <c r="O403">
        <v>34.9</v>
      </c>
      <c r="P403">
        <v>64.099999999999994</v>
      </c>
      <c r="Q403">
        <v>1</v>
      </c>
      <c r="R403">
        <v>2</v>
      </c>
      <c r="S403">
        <v>0.45</v>
      </c>
      <c r="T403">
        <v>1.81</v>
      </c>
      <c r="U403">
        <v>0.75</v>
      </c>
      <c r="V403">
        <v>2.48</v>
      </c>
      <c r="W403">
        <v>0.84</v>
      </c>
      <c r="X403">
        <v>2.1</v>
      </c>
    </row>
    <row r="404" spans="2:24" hidden="1" x14ac:dyDescent="0.35">
      <c r="B404">
        <v>2017</v>
      </c>
      <c r="C404" s="1">
        <v>42973</v>
      </c>
      <c r="D404">
        <v>2411</v>
      </c>
      <c r="E404" t="s">
        <v>23</v>
      </c>
      <c r="F404" t="s">
        <v>44</v>
      </c>
      <c r="G404" t="s">
        <v>34</v>
      </c>
      <c r="H404">
        <v>47.04</v>
      </c>
      <c r="I404">
        <v>63.96</v>
      </c>
      <c r="J404">
        <v>0.27679999999999999</v>
      </c>
      <c r="K404">
        <v>0.43640000000000001</v>
      </c>
      <c r="L404">
        <v>0.2868</v>
      </c>
      <c r="M404">
        <v>1.04</v>
      </c>
      <c r="N404">
        <v>1.38</v>
      </c>
      <c r="O404">
        <v>41.2</v>
      </c>
      <c r="P404">
        <v>15.7</v>
      </c>
      <c r="Q404">
        <v>0</v>
      </c>
      <c r="R404">
        <v>0</v>
      </c>
      <c r="S404">
        <v>1.78</v>
      </c>
      <c r="T404">
        <v>0.72</v>
      </c>
      <c r="U404">
        <v>1.42</v>
      </c>
      <c r="V404">
        <v>0.43</v>
      </c>
      <c r="W404">
        <v>0</v>
      </c>
      <c r="X404">
        <v>0</v>
      </c>
    </row>
    <row r="405" spans="2:24" hidden="1" x14ac:dyDescent="0.35">
      <c r="B405">
        <v>2017</v>
      </c>
      <c r="C405" s="1">
        <v>42973</v>
      </c>
      <c r="D405">
        <v>2411</v>
      </c>
      <c r="E405" t="s">
        <v>23</v>
      </c>
      <c r="F405" t="s">
        <v>30</v>
      </c>
      <c r="G405" t="s">
        <v>33</v>
      </c>
      <c r="H405">
        <v>56.61</v>
      </c>
      <c r="I405">
        <v>54.83</v>
      </c>
      <c r="J405">
        <v>0.4617</v>
      </c>
      <c r="K405">
        <v>0.26550000000000001</v>
      </c>
      <c r="L405">
        <v>0.27279999999999999</v>
      </c>
      <c r="M405">
        <v>1.52</v>
      </c>
      <c r="N405">
        <v>1.0900000000000001</v>
      </c>
      <c r="O405">
        <v>41.2</v>
      </c>
      <c r="P405">
        <v>37.700000000000003</v>
      </c>
      <c r="Q405">
        <v>0</v>
      </c>
      <c r="R405">
        <v>2</v>
      </c>
      <c r="S405">
        <v>0.93</v>
      </c>
      <c r="T405">
        <v>0.61</v>
      </c>
      <c r="U405">
        <v>1.7</v>
      </c>
      <c r="V405">
        <v>0.49</v>
      </c>
      <c r="W405">
        <v>0</v>
      </c>
      <c r="X405">
        <v>2.1</v>
      </c>
    </row>
    <row r="406" spans="2:24" hidden="1" x14ac:dyDescent="0.35">
      <c r="B406">
        <v>2017</v>
      </c>
      <c r="C406" s="1">
        <v>42973</v>
      </c>
      <c r="D406">
        <v>2411</v>
      </c>
      <c r="E406" t="s">
        <v>23</v>
      </c>
      <c r="F406" t="s">
        <v>46</v>
      </c>
      <c r="G406" t="s">
        <v>43</v>
      </c>
      <c r="H406">
        <v>51.16</v>
      </c>
      <c r="I406">
        <v>59.54</v>
      </c>
      <c r="J406">
        <v>0.35930000000000001</v>
      </c>
      <c r="K406">
        <v>0.36399999999999999</v>
      </c>
      <c r="L406">
        <v>0.2767</v>
      </c>
      <c r="M406">
        <v>1.33</v>
      </c>
      <c r="N406">
        <v>1.34</v>
      </c>
      <c r="O406">
        <v>43.4</v>
      </c>
      <c r="P406">
        <v>27.2</v>
      </c>
      <c r="Q406">
        <v>3</v>
      </c>
      <c r="R406">
        <v>0</v>
      </c>
      <c r="S406">
        <v>2.02</v>
      </c>
      <c r="T406">
        <v>0.78</v>
      </c>
      <c r="U406">
        <v>2.0099999999999998</v>
      </c>
      <c r="V406">
        <v>0.2</v>
      </c>
      <c r="W406">
        <v>2.68</v>
      </c>
      <c r="X406">
        <v>0</v>
      </c>
    </row>
    <row r="407" spans="2:24" hidden="1" x14ac:dyDescent="0.35">
      <c r="B407">
        <v>2017</v>
      </c>
      <c r="C407" s="1">
        <v>42973</v>
      </c>
      <c r="D407">
        <v>2411</v>
      </c>
      <c r="E407" t="s">
        <v>23</v>
      </c>
      <c r="F407" t="s">
        <v>35</v>
      </c>
      <c r="G407" t="s">
        <v>45</v>
      </c>
      <c r="H407">
        <v>57.52</v>
      </c>
      <c r="I407">
        <v>45.65</v>
      </c>
      <c r="J407">
        <v>0.56169999999999998</v>
      </c>
      <c r="K407">
        <v>0.1719</v>
      </c>
      <c r="L407">
        <v>0.26640000000000003</v>
      </c>
      <c r="M407">
        <v>1.59</v>
      </c>
      <c r="N407">
        <v>0.75</v>
      </c>
      <c r="O407">
        <v>30.2</v>
      </c>
      <c r="P407">
        <v>42.8</v>
      </c>
      <c r="Q407">
        <v>0</v>
      </c>
      <c r="R407">
        <v>0</v>
      </c>
      <c r="S407">
        <v>0.3</v>
      </c>
      <c r="T407">
        <v>0.96</v>
      </c>
      <c r="U407">
        <v>0.61</v>
      </c>
      <c r="V407">
        <v>1.85</v>
      </c>
      <c r="W407">
        <v>0</v>
      </c>
      <c r="X407">
        <v>0</v>
      </c>
    </row>
    <row r="408" spans="2:24" hidden="1" x14ac:dyDescent="0.35">
      <c r="B408">
        <v>2017</v>
      </c>
      <c r="C408" s="1">
        <v>42973</v>
      </c>
      <c r="D408">
        <v>2411</v>
      </c>
      <c r="E408" t="s">
        <v>23</v>
      </c>
      <c r="F408" t="s">
        <v>39</v>
      </c>
      <c r="G408" t="s">
        <v>25</v>
      </c>
      <c r="H408">
        <v>84.32</v>
      </c>
      <c r="I408">
        <v>62.94</v>
      </c>
      <c r="J408">
        <v>0.75270000000000004</v>
      </c>
      <c r="K408">
        <v>7.4399999999999994E-2</v>
      </c>
      <c r="L408">
        <v>0.1729</v>
      </c>
      <c r="M408">
        <v>2.27</v>
      </c>
      <c r="N408">
        <v>0.56000000000000005</v>
      </c>
      <c r="O408">
        <v>64.5</v>
      </c>
      <c r="P408">
        <v>25.6</v>
      </c>
      <c r="Q408">
        <v>2</v>
      </c>
      <c r="R408">
        <v>0</v>
      </c>
      <c r="S408">
        <v>2.8</v>
      </c>
      <c r="T408">
        <v>0.91</v>
      </c>
      <c r="U408">
        <v>3.22</v>
      </c>
      <c r="V408">
        <v>0.87</v>
      </c>
      <c r="W408">
        <v>1.8</v>
      </c>
      <c r="X408">
        <v>0</v>
      </c>
    </row>
    <row r="409" spans="2:24" hidden="1" x14ac:dyDescent="0.35">
      <c r="B409">
        <v>2017</v>
      </c>
      <c r="C409" s="1">
        <v>42974</v>
      </c>
      <c r="D409">
        <v>2411</v>
      </c>
      <c r="E409" t="s">
        <v>23</v>
      </c>
      <c r="F409" t="s">
        <v>31</v>
      </c>
      <c r="G409" t="s">
        <v>27</v>
      </c>
      <c r="H409">
        <v>57.54</v>
      </c>
      <c r="I409">
        <v>60.7</v>
      </c>
      <c r="J409">
        <v>0.40279999999999999</v>
      </c>
      <c r="K409">
        <v>0.28860000000000002</v>
      </c>
      <c r="L409">
        <v>0.30859999999999999</v>
      </c>
      <c r="M409">
        <v>1.2</v>
      </c>
      <c r="N409">
        <v>0.97</v>
      </c>
      <c r="O409">
        <v>20.2</v>
      </c>
      <c r="P409">
        <v>15</v>
      </c>
      <c r="Q409">
        <v>1</v>
      </c>
      <c r="R409">
        <v>1</v>
      </c>
      <c r="S409">
        <v>0.95</v>
      </c>
      <c r="T409">
        <v>1.26</v>
      </c>
      <c r="U409">
        <v>0.96</v>
      </c>
      <c r="V409">
        <v>1.91</v>
      </c>
      <c r="W409">
        <v>1.05</v>
      </c>
      <c r="X409">
        <v>1.05</v>
      </c>
    </row>
    <row r="410" spans="2:24" hidden="1" x14ac:dyDescent="0.35">
      <c r="B410">
        <v>2017</v>
      </c>
      <c r="C410" s="1">
        <v>42974</v>
      </c>
      <c r="D410">
        <v>2411</v>
      </c>
      <c r="E410" t="s">
        <v>23</v>
      </c>
      <c r="F410" t="s">
        <v>42</v>
      </c>
      <c r="G410" t="s">
        <v>28</v>
      </c>
      <c r="H410">
        <v>82.05</v>
      </c>
      <c r="I410">
        <v>67.56</v>
      </c>
      <c r="J410">
        <v>0.62739999999999996</v>
      </c>
      <c r="K410">
        <v>0.15640000000000001</v>
      </c>
      <c r="L410">
        <v>0.2162</v>
      </c>
      <c r="M410">
        <v>2.08</v>
      </c>
      <c r="N410">
        <v>0.93</v>
      </c>
      <c r="O410">
        <v>53.9</v>
      </c>
      <c r="P410">
        <v>38.6</v>
      </c>
      <c r="Q410">
        <v>2</v>
      </c>
      <c r="R410">
        <v>0</v>
      </c>
      <c r="S410">
        <v>1.07</v>
      </c>
      <c r="T410">
        <v>0.49</v>
      </c>
      <c r="U410">
        <v>2.16</v>
      </c>
      <c r="V410">
        <v>0.96</v>
      </c>
      <c r="W410">
        <v>2.1</v>
      </c>
      <c r="X410">
        <v>0</v>
      </c>
    </row>
    <row r="411" spans="2:24" hidden="1" x14ac:dyDescent="0.35">
      <c r="B411">
        <v>2017</v>
      </c>
      <c r="C411" s="1">
        <v>42974</v>
      </c>
      <c r="D411">
        <v>2411</v>
      </c>
      <c r="E411" t="s">
        <v>23</v>
      </c>
      <c r="F411" t="s">
        <v>41</v>
      </c>
      <c r="G411" t="s">
        <v>40</v>
      </c>
      <c r="H411">
        <v>76.53</v>
      </c>
      <c r="I411">
        <v>77.97</v>
      </c>
      <c r="J411">
        <v>0.44</v>
      </c>
      <c r="K411">
        <v>0.32150000000000001</v>
      </c>
      <c r="L411">
        <v>0.23860000000000001</v>
      </c>
      <c r="M411">
        <v>1.85</v>
      </c>
      <c r="N411">
        <v>1.56</v>
      </c>
      <c r="O411">
        <v>65</v>
      </c>
      <c r="P411">
        <v>63.3</v>
      </c>
      <c r="Q411">
        <v>4</v>
      </c>
      <c r="R411">
        <v>0</v>
      </c>
      <c r="S411">
        <v>3.62</v>
      </c>
      <c r="T411">
        <v>0.61</v>
      </c>
      <c r="U411">
        <v>1.57</v>
      </c>
      <c r="V411">
        <v>1.51</v>
      </c>
      <c r="W411">
        <v>4.0199999999999996</v>
      </c>
      <c r="X411">
        <v>0</v>
      </c>
    </row>
    <row r="412" spans="2:24" hidden="1" x14ac:dyDescent="0.35">
      <c r="B412">
        <v>2017</v>
      </c>
      <c r="C412" s="1">
        <v>42974</v>
      </c>
      <c r="D412">
        <v>2411</v>
      </c>
      <c r="E412" t="s">
        <v>23</v>
      </c>
      <c r="F412" t="s">
        <v>29</v>
      </c>
      <c r="G412" t="s">
        <v>32</v>
      </c>
      <c r="H412">
        <v>80.400000000000006</v>
      </c>
      <c r="I412">
        <v>60.84</v>
      </c>
      <c r="J412">
        <v>0.67290000000000005</v>
      </c>
      <c r="K412">
        <v>0.1188</v>
      </c>
      <c r="L412">
        <v>0.20830000000000001</v>
      </c>
      <c r="M412">
        <v>2.06</v>
      </c>
      <c r="N412">
        <v>0.73</v>
      </c>
      <c r="O412">
        <v>70.5</v>
      </c>
      <c r="P412">
        <v>19.3</v>
      </c>
      <c r="Q412">
        <v>1</v>
      </c>
      <c r="R412">
        <v>1</v>
      </c>
      <c r="S412">
        <v>2.0699999999999998</v>
      </c>
      <c r="T412">
        <v>0.96</v>
      </c>
      <c r="U412">
        <v>3.13</v>
      </c>
      <c r="V412">
        <v>1.01</v>
      </c>
      <c r="W412">
        <v>1.05</v>
      </c>
      <c r="X412">
        <v>1.05</v>
      </c>
    </row>
    <row r="413" spans="2:24" hidden="1" x14ac:dyDescent="0.35">
      <c r="B413">
        <v>2017</v>
      </c>
      <c r="C413" s="1">
        <v>42987</v>
      </c>
      <c r="D413">
        <v>2411</v>
      </c>
      <c r="E413" t="s">
        <v>23</v>
      </c>
      <c r="F413" t="s">
        <v>36</v>
      </c>
      <c r="G413" t="s">
        <v>41</v>
      </c>
      <c r="H413">
        <v>84.62</v>
      </c>
      <c r="I413">
        <v>78.47</v>
      </c>
      <c r="J413">
        <v>0.54359999999999997</v>
      </c>
      <c r="K413">
        <v>0.22120000000000001</v>
      </c>
      <c r="L413">
        <v>0.23519999999999999</v>
      </c>
      <c r="M413">
        <v>1.93</v>
      </c>
      <c r="N413">
        <v>1.1599999999999999</v>
      </c>
      <c r="O413">
        <v>66.900000000000006</v>
      </c>
      <c r="P413">
        <v>62.2</v>
      </c>
      <c r="Q413">
        <v>5</v>
      </c>
      <c r="R413">
        <v>0</v>
      </c>
      <c r="S413">
        <v>2.5</v>
      </c>
      <c r="T413">
        <v>0.45</v>
      </c>
      <c r="U413">
        <v>1.91</v>
      </c>
      <c r="V413">
        <v>0.47</v>
      </c>
      <c r="W413">
        <v>3.65</v>
      </c>
      <c r="X413">
        <v>0</v>
      </c>
    </row>
    <row r="414" spans="2:24" hidden="1" x14ac:dyDescent="0.35">
      <c r="B414">
        <v>2017</v>
      </c>
      <c r="C414" s="1">
        <v>42987</v>
      </c>
      <c r="D414">
        <v>2411</v>
      </c>
      <c r="E414" t="s">
        <v>23</v>
      </c>
      <c r="F414" t="s">
        <v>40</v>
      </c>
      <c r="G414" t="s">
        <v>38</v>
      </c>
      <c r="H414">
        <v>76.02</v>
      </c>
      <c r="I414">
        <v>55.13</v>
      </c>
      <c r="J414">
        <v>0.72230000000000005</v>
      </c>
      <c r="K414">
        <v>0.10730000000000001</v>
      </c>
      <c r="L414">
        <v>0.17050000000000001</v>
      </c>
      <c r="M414">
        <v>2.5299999999999998</v>
      </c>
      <c r="N414">
        <v>0.88</v>
      </c>
      <c r="O414">
        <v>54.1</v>
      </c>
      <c r="P414">
        <v>33</v>
      </c>
      <c r="Q414">
        <v>3</v>
      </c>
      <c r="R414">
        <v>0</v>
      </c>
      <c r="S414">
        <v>2.2599999999999998</v>
      </c>
      <c r="T414">
        <v>0.59</v>
      </c>
      <c r="U414">
        <v>1.93</v>
      </c>
      <c r="V414">
        <v>1.03</v>
      </c>
      <c r="W414">
        <v>3.15</v>
      </c>
      <c r="X414">
        <v>0</v>
      </c>
    </row>
    <row r="415" spans="2:24" hidden="1" x14ac:dyDescent="0.35">
      <c r="B415">
        <v>2017</v>
      </c>
      <c r="C415" s="1">
        <v>42987</v>
      </c>
      <c r="D415">
        <v>2411</v>
      </c>
      <c r="E415" t="s">
        <v>23</v>
      </c>
      <c r="F415" t="s">
        <v>34</v>
      </c>
      <c r="G415" t="s">
        <v>35</v>
      </c>
      <c r="H415">
        <v>63.2</v>
      </c>
      <c r="I415">
        <v>56.08</v>
      </c>
      <c r="J415">
        <v>0.51490000000000002</v>
      </c>
      <c r="K415">
        <v>0.21199999999999999</v>
      </c>
      <c r="L415">
        <v>0.27310000000000001</v>
      </c>
      <c r="M415">
        <v>1.54</v>
      </c>
      <c r="N415">
        <v>0.89</v>
      </c>
      <c r="O415">
        <v>16.5</v>
      </c>
      <c r="P415">
        <v>27</v>
      </c>
      <c r="Q415">
        <v>0</v>
      </c>
      <c r="R415">
        <v>2</v>
      </c>
      <c r="S415">
        <v>0.36</v>
      </c>
      <c r="T415">
        <v>0.59</v>
      </c>
      <c r="U415">
        <v>0.96</v>
      </c>
      <c r="V415">
        <v>0.86</v>
      </c>
      <c r="W415">
        <v>0</v>
      </c>
      <c r="X415">
        <v>2.1</v>
      </c>
    </row>
    <row r="416" spans="2:24" hidden="1" x14ac:dyDescent="0.35">
      <c r="B416">
        <v>2017</v>
      </c>
      <c r="C416" s="1">
        <v>42987</v>
      </c>
      <c r="D416">
        <v>2411</v>
      </c>
      <c r="E416" t="s">
        <v>23</v>
      </c>
      <c r="F416" t="s">
        <v>45</v>
      </c>
      <c r="G416" t="s">
        <v>31</v>
      </c>
      <c r="H416">
        <v>47.12</v>
      </c>
      <c r="I416">
        <v>56.85</v>
      </c>
      <c r="J416">
        <v>0.3357</v>
      </c>
      <c r="K416">
        <v>0.33879999999999999</v>
      </c>
      <c r="L416">
        <v>0.32550000000000001</v>
      </c>
      <c r="M416">
        <v>1</v>
      </c>
      <c r="N416">
        <v>1.01</v>
      </c>
      <c r="O416">
        <v>45.4</v>
      </c>
      <c r="P416">
        <v>21.7</v>
      </c>
      <c r="Q416">
        <v>3</v>
      </c>
      <c r="R416">
        <v>1</v>
      </c>
      <c r="S416">
        <v>0.45</v>
      </c>
      <c r="T416">
        <v>0.78</v>
      </c>
      <c r="U416">
        <v>0.47</v>
      </c>
      <c r="V416">
        <v>1.23</v>
      </c>
      <c r="W416">
        <v>3.15</v>
      </c>
      <c r="X416">
        <v>1.05</v>
      </c>
    </row>
    <row r="417" spans="2:24" hidden="1" x14ac:dyDescent="0.35">
      <c r="B417">
        <v>2017</v>
      </c>
      <c r="C417" s="1">
        <v>42987</v>
      </c>
      <c r="D417">
        <v>2411</v>
      </c>
      <c r="E417" t="s">
        <v>23</v>
      </c>
      <c r="F417" t="s">
        <v>25</v>
      </c>
      <c r="G417" t="s">
        <v>42</v>
      </c>
      <c r="H417">
        <v>62.37</v>
      </c>
      <c r="I417">
        <v>82.35</v>
      </c>
      <c r="J417">
        <v>0.2283</v>
      </c>
      <c r="K417">
        <v>0.53790000000000004</v>
      </c>
      <c r="L417">
        <v>0.2339</v>
      </c>
      <c r="M417">
        <v>1.2</v>
      </c>
      <c r="N417">
        <v>1.95</v>
      </c>
      <c r="O417">
        <v>19.899999999999999</v>
      </c>
      <c r="P417">
        <v>52.1</v>
      </c>
      <c r="Q417">
        <v>1</v>
      </c>
      <c r="R417">
        <v>2</v>
      </c>
      <c r="S417">
        <v>1.47</v>
      </c>
      <c r="T417">
        <v>0.69</v>
      </c>
      <c r="U417">
        <v>0.66</v>
      </c>
      <c r="V417">
        <v>1.45</v>
      </c>
      <c r="W417">
        <v>1.05</v>
      </c>
      <c r="X417">
        <v>2.1</v>
      </c>
    </row>
    <row r="418" spans="2:24" hidden="1" x14ac:dyDescent="0.35">
      <c r="B418">
        <v>2017</v>
      </c>
      <c r="C418" s="1">
        <v>42987</v>
      </c>
      <c r="D418">
        <v>2411</v>
      </c>
      <c r="E418" t="s">
        <v>23</v>
      </c>
      <c r="F418" t="s">
        <v>28</v>
      </c>
      <c r="G418" t="s">
        <v>29</v>
      </c>
      <c r="H418">
        <v>67.03</v>
      </c>
      <c r="I418">
        <v>79.94</v>
      </c>
      <c r="J418">
        <v>0.29699999999999999</v>
      </c>
      <c r="K418">
        <v>0.43330000000000002</v>
      </c>
      <c r="L418">
        <v>0.2697</v>
      </c>
      <c r="M418">
        <v>1.21</v>
      </c>
      <c r="N418">
        <v>1.51</v>
      </c>
      <c r="O418">
        <v>35.5</v>
      </c>
      <c r="P418">
        <v>67.8</v>
      </c>
      <c r="Q418">
        <v>0</v>
      </c>
      <c r="R418">
        <v>3</v>
      </c>
      <c r="S418">
        <v>1.03</v>
      </c>
      <c r="T418">
        <v>2.2200000000000002</v>
      </c>
      <c r="U418">
        <v>1.95</v>
      </c>
      <c r="V418">
        <v>1.74</v>
      </c>
      <c r="W418">
        <v>0</v>
      </c>
      <c r="X418">
        <v>3.15</v>
      </c>
    </row>
    <row r="419" spans="2:24" hidden="1" x14ac:dyDescent="0.35">
      <c r="B419">
        <v>2017</v>
      </c>
      <c r="C419" s="1">
        <v>42987</v>
      </c>
      <c r="D419">
        <v>2411</v>
      </c>
      <c r="E419" t="s">
        <v>23</v>
      </c>
      <c r="F419" t="s">
        <v>27</v>
      </c>
      <c r="G419" t="s">
        <v>39</v>
      </c>
      <c r="H419">
        <v>61.39</v>
      </c>
      <c r="I419">
        <v>84.68</v>
      </c>
      <c r="J419">
        <v>0.19189999999999999</v>
      </c>
      <c r="K419">
        <v>0.54879999999999995</v>
      </c>
      <c r="L419">
        <v>0.25929999999999997</v>
      </c>
      <c r="M419">
        <v>0.87</v>
      </c>
      <c r="N419">
        <v>1.66</v>
      </c>
      <c r="O419">
        <v>17.2</v>
      </c>
      <c r="P419">
        <v>62.2</v>
      </c>
      <c r="Q419">
        <v>2</v>
      </c>
      <c r="R419">
        <v>2</v>
      </c>
      <c r="S419">
        <v>2.0499999999999998</v>
      </c>
      <c r="T419">
        <v>2.85</v>
      </c>
      <c r="U419">
        <v>1.01</v>
      </c>
      <c r="V419">
        <v>1.92</v>
      </c>
      <c r="W419">
        <v>2.1</v>
      </c>
      <c r="X419">
        <v>2.1</v>
      </c>
    </row>
    <row r="420" spans="2:24" hidden="1" x14ac:dyDescent="0.35">
      <c r="B420">
        <v>2017</v>
      </c>
      <c r="C420" s="1">
        <v>42988</v>
      </c>
      <c r="D420">
        <v>2411</v>
      </c>
      <c r="E420" t="s">
        <v>23</v>
      </c>
      <c r="F420" t="s">
        <v>32</v>
      </c>
      <c r="G420" t="s">
        <v>30</v>
      </c>
      <c r="H420">
        <v>61.45</v>
      </c>
      <c r="I420">
        <v>55.37</v>
      </c>
      <c r="J420">
        <v>0.50670000000000004</v>
      </c>
      <c r="K420">
        <v>0.2276</v>
      </c>
      <c r="L420">
        <v>0.26579999999999998</v>
      </c>
      <c r="M420">
        <v>1.6</v>
      </c>
      <c r="N420">
        <v>0.99</v>
      </c>
      <c r="O420">
        <v>17.8</v>
      </c>
      <c r="P420">
        <v>38.5</v>
      </c>
      <c r="Q420">
        <v>1</v>
      </c>
      <c r="R420">
        <v>0</v>
      </c>
      <c r="S420">
        <v>0.31</v>
      </c>
      <c r="T420">
        <v>1.98</v>
      </c>
      <c r="U420">
        <v>0.61</v>
      </c>
      <c r="V420">
        <v>2.44</v>
      </c>
      <c r="W420">
        <v>1.05</v>
      </c>
      <c r="X420">
        <v>0</v>
      </c>
    </row>
    <row r="421" spans="2:24" hidden="1" x14ac:dyDescent="0.35">
      <c r="B421">
        <v>2017</v>
      </c>
      <c r="C421" s="1">
        <v>42988</v>
      </c>
      <c r="D421">
        <v>2411</v>
      </c>
      <c r="E421" t="s">
        <v>23</v>
      </c>
      <c r="F421" t="s">
        <v>33</v>
      </c>
      <c r="G421" t="s">
        <v>46</v>
      </c>
      <c r="H421">
        <v>56.09</v>
      </c>
      <c r="I421">
        <v>53.67</v>
      </c>
      <c r="J421">
        <v>0.46489999999999998</v>
      </c>
      <c r="K421">
        <v>0.252</v>
      </c>
      <c r="L421">
        <v>0.28310000000000002</v>
      </c>
      <c r="M421">
        <v>1.44</v>
      </c>
      <c r="N421">
        <v>0.98</v>
      </c>
      <c r="O421">
        <v>34.4</v>
      </c>
      <c r="P421">
        <v>37.5</v>
      </c>
      <c r="Q421">
        <v>0</v>
      </c>
      <c r="R421">
        <v>1</v>
      </c>
      <c r="S421">
        <v>1.25</v>
      </c>
      <c r="T421">
        <v>1.29</v>
      </c>
      <c r="U421">
        <v>1.88</v>
      </c>
      <c r="V421">
        <v>1.1499999999999999</v>
      </c>
      <c r="W421">
        <v>0</v>
      </c>
      <c r="X421">
        <v>1.05</v>
      </c>
    </row>
    <row r="422" spans="2:24" hidden="1" x14ac:dyDescent="0.35">
      <c r="B422">
        <v>2017</v>
      </c>
      <c r="C422" s="1">
        <v>42989</v>
      </c>
      <c r="D422">
        <v>2411</v>
      </c>
      <c r="E422" t="s">
        <v>23</v>
      </c>
      <c r="F422" t="s">
        <v>43</v>
      </c>
      <c r="G422" t="s">
        <v>44</v>
      </c>
      <c r="H422">
        <v>56.97</v>
      </c>
      <c r="I422">
        <v>47.84</v>
      </c>
      <c r="J422">
        <v>0.53920000000000001</v>
      </c>
      <c r="K422">
        <v>0.20169999999999999</v>
      </c>
      <c r="L422">
        <v>0.2591</v>
      </c>
      <c r="M422">
        <v>1.67</v>
      </c>
      <c r="N422">
        <v>0.91</v>
      </c>
      <c r="O422">
        <v>42.4</v>
      </c>
      <c r="P422">
        <v>42.2</v>
      </c>
      <c r="Q422">
        <v>2</v>
      </c>
      <c r="R422">
        <v>0</v>
      </c>
      <c r="S422">
        <v>1.98</v>
      </c>
      <c r="T422">
        <v>0.41</v>
      </c>
      <c r="U422">
        <v>1.29</v>
      </c>
      <c r="V422">
        <v>0.71</v>
      </c>
      <c r="W422">
        <v>1.92</v>
      </c>
      <c r="X422">
        <v>0</v>
      </c>
    </row>
    <row r="423" spans="2:24" hidden="1" x14ac:dyDescent="0.35">
      <c r="B423">
        <v>2017</v>
      </c>
      <c r="C423" s="1">
        <v>42993</v>
      </c>
      <c r="D423">
        <v>2411</v>
      </c>
      <c r="E423" t="s">
        <v>23</v>
      </c>
      <c r="F423" t="s">
        <v>38</v>
      </c>
      <c r="G423" t="s">
        <v>45</v>
      </c>
      <c r="H423">
        <v>54.27</v>
      </c>
      <c r="I423">
        <v>48.21</v>
      </c>
      <c r="J423">
        <v>0.50309999999999999</v>
      </c>
      <c r="K423">
        <v>0.21679999999999999</v>
      </c>
      <c r="L423">
        <v>0.28000000000000003</v>
      </c>
      <c r="M423">
        <v>1.48</v>
      </c>
      <c r="N423">
        <v>0.87</v>
      </c>
      <c r="O423">
        <v>47.1</v>
      </c>
      <c r="P423">
        <v>41</v>
      </c>
      <c r="Q423">
        <v>2</v>
      </c>
      <c r="R423">
        <v>1</v>
      </c>
      <c r="S423">
        <v>1.35</v>
      </c>
      <c r="T423">
        <v>0.9</v>
      </c>
      <c r="U423">
        <v>1.9</v>
      </c>
      <c r="V423">
        <v>0.93</v>
      </c>
      <c r="W423">
        <v>2.1</v>
      </c>
      <c r="X423">
        <v>1.05</v>
      </c>
    </row>
    <row r="424" spans="2:24" hidden="1" x14ac:dyDescent="0.35">
      <c r="B424">
        <v>2017</v>
      </c>
      <c r="C424" s="1">
        <v>42994</v>
      </c>
      <c r="D424">
        <v>2411</v>
      </c>
      <c r="E424" t="s">
        <v>23</v>
      </c>
      <c r="F424" t="s">
        <v>30</v>
      </c>
      <c r="G424" t="s">
        <v>34</v>
      </c>
      <c r="H424">
        <v>56.47</v>
      </c>
      <c r="I424">
        <v>61.22</v>
      </c>
      <c r="J424">
        <v>0.39100000000000001</v>
      </c>
      <c r="K424">
        <v>0.316</v>
      </c>
      <c r="L424">
        <v>0.29299999999999998</v>
      </c>
      <c r="M424">
        <v>1.28</v>
      </c>
      <c r="N424">
        <v>1.1200000000000001</v>
      </c>
      <c r="O424">
        <v>46.2</v>
      </c>
      <c r="P424">
        <v>23.7</v>
      </c>
      <c r="Q424">
        <v>0</v>
      </c>
      <c r="R424">
        <v>1</v>
      </c>
      <c r="S424">
        <v>2.46</v>
      </c>
      <c r="T424">
        <v>1.04</v>
      </c>
      <c r="U424">
        <v>1.64</v>
      </c>
      <c r="V424">
        <v>1.62</v>
      </c>
      <c r="W424">
        <v>0</v>
      </c>
      <c r="X424">
        <v>1.05</v>
      </c>
    </row>
    <row r="425" spans="2:24" hidden="1" x14ac:dyDescent="0.35">
      <c r="B425">
        <v>2017</v>
      </c>
      <c r="C425" s="1">
        <v>42994</v>
      </c>
      <c r="D425">
        <v>2411</v>
      </c>
      <c r="E425" t="s">
        <v>23</v>
      </c>
      <c r="F425" t="s">
        <v>31</v>
      </c>
      <c r="G425" t="s">
        <v>43</v>
      </c>
      <c r="H425">
        <v>55.69</v>
      </c>
      <c r="I425">
        <v>57.97</v>
      </c>
      <c r="J425">
        <v>0.41899999999999998</v>
      </c>
      <c r="K425">
        <v>0.30020000000000002</v>
      </c>
      <c r="L425">
        <v>0.28089999999999998</v>
      </c>
      <c r="M425">
        <v>1.4</v>
      </c>
      <c r="N425">
        <v>1.1499999999999999</v>
      </c>
      <c r="O425">
        <v>29.5</v>
      </c>
      <c r="P425">
        <v>30.3</v>
      </c>
      <c r="Q425">
        <v>0</v>
      </c>
      <c r="R425">
        <v>0</v>
      </c>
      <c r="S425">
        <v>0.79</v>
      </c>
      <c r="T425">
        <v>0.25</v>
      </c>
      <c r="U425">
        <v>0.72</v>
      </c>
      <c r="V425">
        <v>0.47</v>
      </c>
      <c r="W425">
        <v>0</v>
      </c>
      <c r="X425">
        <v>0</v>
      </c>
    </row>
    <row r="426" spans="2:24" hidden="1" x14ac:dyDescent="0.35">
      <c r="B426">
        <v>2017</v>
      </c>
      <c r="C426" s="1">
        <v>42994</v>
      </c>
      <c r="D426">
        <v>2411</v>
      </c>
      <c r="E426" t="s">
        <v>23</v>
      </c>
      <c r="F426" t="s">
        <v>41</v>
      </c>
      <c r="G426" t="s">
        <v>32</v>
      </c>
      <c r="H426">
        <v>76.900000000000006</v>
      </c>
      <c r="I426">
        <v>60.37</v>
      </c>
      <c r="J426">
        <v>0.63390000000000002</v>
      </c>
      <c r="K426">
        <v>0.1497</v>
      </c>
      <c r="L426">
        <v>0.21629999999999999</v>
      </c>
      <c r="M426">
        <v>2.06</v>
      </c>
      <c r="N426">
        <v>0.88</v>
      </c>
      <c r="O426">
        <v>56.8</v>
      </c>
      <c r="P426">
        <v>13.4</v>
      </c>
      <c r="Q426">
        <v>1</v>
      </c>
      <c r="R426">
        <v>1</v>
      </c>
      <c r="S426">
        <v>2.23</v>
      </c>
      <c r="T426">
        <v>0.39</v>
      </c>
      <c r="U426">
        <v>3.11</v>
      </c>
      <c r="V426">
        <v>0.36</v>
      </c>
      <c r="W426">
        <v>1.05</v>
      </c>
      <c r="X426">
        <v>1.05</v>
      </c>
    </row>
    <row r="427" spans="2:24" hidden="1" x14ac:dyDescent="0.35">
      <c r="B427">
        <v>2017</v>
      </c>
      <c r="C427" s="1">
        <v>42994</v>
      </c>
      <c r="D427">
        <v>2411</v>
      </c>
      <c r="E427" t="s">
        <v>23</v>
      </c>
      <c r="F427" t="s">
        <v>44</v>
      </c>
      <c r="G427" t="s">
        <v>25</v>
      </c>
      <c r="H427">
        <v>46.92</v>
      </c>
      <c r="I427">
        <v>62.46</v>
      </c>
      <c r="J427">
        <v>0.28970000000000001</v>
      </c>
      <c r="K427">
        <v>0.42759999999999998</v>
      </c>
      <c r="L427">
        <v>0.28270000000000001</v>
      </c>
      <c r="M427">
        <v>1.1000000000000001</v>
      </c>
      <c r="N427">
        <v>1.4</v>
      </c>
      <c r="O427">
        <v>45.4</v>
      </c>
      <c r="P427">
        <v>19.2</v>
      </c>
      <c r="Q427">
        <v>1</v>
      </c>
      <c r="R427">
        <v>1</v>
      </c>
      <c r="S427">
        <v>0.83</v>
      </c>
      <c r="T427">
        <v>1.27</v>
      </c>
      <c r="U427">
        <v>1.65</v>
      </c>
      <c r="V427">
        <v>1.1299999999999999</v>
      </c>
      <c r="W427">
        <v>1.05</v>
      </c>
      <c r="X427">
        <v>1.05</v>
      </c>
    </row>
    <row r="428" spans="2:24" hidden="1" x14ac:dyDescent="0.35">
      <c r="B428">
        <v>2017</v>
      </c>
      <c r="C428" s="1">
        <v>42994</v>
      </c>
      <c r="D428">
        <v>2411</v>
      </c>
      <c r="E428" t="s">
        <v>23</v>
      </c>
      <c r="F428" t="s">
        <v>46</v>
      </c>
      <c r="G428" t="s">
        <v>27</v>
      </c>
      <c r="H428">
        <v>54.64</v>
      </c>
      <c r="I428">
        <v>62.46</v>
      </c>
      <c r="J428">
        <v>0.36049999999999999</v>
      </c>
      <c r="K428">
        <v>0.34399999999999997</v>
      </c>
      <c r="L428">
        <v>0.29549999999999998</v>
      </c>
      <c r="M428">
        <v>1.2</v>
      </c>
      <c r="N428">
        <v>1.17</v>
      </c>
      <c r="O428">
        <v>29.5</v>
      </c>
      <c r="P428">
        <v>14.6</v>
      </c>
      <c r="Q428">
        <v>2</v>
      </c>
      <c r="R428">
        <v>1</v>
      </c>
      <c r="S428">
        <v>2.73</v>
      </c>
      <c r="T428">
        <v>0.8</v>
      </c>
      <c r="U428">
        <v>1.33</v>
      </c>
      <c r="V428">
        <v>1.35</v>
      </c>
      <c r="W428">
        <v>2.1</v>
      </c>
      <c r="X428">
        <v>1.05</v>
      </c>
    </row>
    <row r="429" spans="2:24" hidden="1" x14ac:dyDescent="0.35">
      <c r="B429">
        <v>2017</v>
      </c>
      <c r="C429" s="1">
        <v>42994</v>
      </c>
      <c r="D429">
        <v>2411</v>
      </c>
      <c r="E429" t="s">
        <v>23</v>
      </c>
      <c r="F429" t="s">
        <v>35</v>
      </c>
      <c r="G429" t="s">
        <v>36</v>
      </c>
      <c r="H429">
        <v>58.11</v>
      </c>
      <c r="I429">
        <v>86.94</v>
      </c>
      <c r="J429">
        <v>0.1484</v>
      </c>
      <c r="K429">
        <v>0.63939999999999997</v>
      </c>
      <c r="L429">
        <v>0.2122</v>
      </c>
      <c r="M429">
        <v>0.9</v>
      </c>
      <c r="N429">
        <v>2.1</v>
      </c>
      <c r="O429">
        <v>16.8</v>
      </c>
      <c r="P429">
        <v>66.400000000000006</v>
      </c>
      <c r="Q429">
        <v>0</v>
      </c>
      <c r="R429">
        <v>6</v>
      </c>
      <c r="S429">
        <v>0.96</v>
      </c>
      <c r="T429">
        <v>3.62</v>
      </c>
      <c r="U429">
        <v>0.72</v>
      </c>
      <c r="V429">
        <v>2.88</v>
      </c>
      <c r="W429">
        <v>0</v>
      </c>
      <c r="X429">
        <v>5.55</v>
      </c>
    </row>
    <row r="430" spans="2:24" hidden="1" x14ac:dyDescent="0.35">
      <c r="B430">
        <v>2017</v>
      </c>
      <c r="C430" s="1">
        <v>42994</v>
      </c>
      <c r="D430">
        <v>2411</v>
      </c>
      <c r="E430" t="s">
        <v>23</v>
      </c>
      <c r="F430" t="s">
        <v>29</v>
      </c>
      <c r="G430" t="s">
        <v>33</v>
      </c>
      <c r="H430">
        <v>81.77</v>
      </c>
      <c r="I430">
        <v>55.13</v>
      </c>
      <c r="J430">
        <v>0.78239999999999998</v>
      </c>
      <c r="K430">
        <v>5.9799999999999999E-2</v>
      </c>
      <c r="L430">
        <v>0.1578</v>
      </c>
      <c r="M430">
        <v>2.36</v>
      </c>
      <c r="N430">
        <v>0.49</v>
      </c>
      <c r="O430">
        <v>57.1</v>
      </c>
      <c r="P430">
        <v>28.9</v>
      </c>
      <c r="Q430">
        <v>0</v>
      </c>
      <c r="R430">
        <v>0</v>
      </c>
      <c r="S430">
        <v>1.48</v>
      </c>
      <c r="T430">
        <v>0.23</v>
      </c>
      <c r="U430">
        <v>2.17</v>
      </c>
      <c r="V430">
        <v>0.2</v>
      </c>
      <c r="W430">
        <v>0</v>
      </c>
      <c r="X430">
        <v>0</v>
      </c>
    </row>
    <row r="431" spans="2:24" hidden="1" x14ac:dyDescent="0.35">
      <c r="B431">
        <v>2017</v>
      </c>
      <c r="C431" s="1">
        <v>42995</v>
      </c>
      <c r="D431">
        <v>2411</v>
      </c>
      <c r="E431" t="s">
        <v>23</v>
      </c>
      <c r="F431" t="s">
        <v>42</v>
      </c>
      <c r="G431" t="s">
        <v>40</v>
      </c>
      <c r="H431">
        <v>83.38</v>
      </c>
      <c r="I431">
        <v>77.11</v>
      </c>
      <c r="J431">
        <v>0.55059999999999998</v>
      </c>
      <c r="K431">
        <v>0.22900000000000001</v>
      </c>
      <c r="L431">
        <v>0.22040000000000001</v>
      </c>
      <c r="M431">
        <v>2.14</v>
      </c>
      <c r="N431">
        <v>1.33</v>
      </c>
      <c r="O431">
        <v>56.8</v>
      </c>
      <c r="P431">
        <v>63.5</v>
      </c>
      <c r="Q431">
        <v>0</v>
      </c>
      <c r="R431">
        <v>0</v>
      </c>
      <c r="S431">
        <v>0.89</v>
      </c>
      <c r="T431">
        <v>1.62</v>
      </c>
      <c r="U431">
        <v>0.85</v>
      </c>
      <c r="V431">
        <v>1.1599999999999999</v>
      </c>
      <c r="W431">
        <v>0</v>
      </c>
      <c r="X431">
        <v>0</v>
      </c>
    </row>
    <row r="432" spans="2:24" hidden="1" x14ac:dyDescent="0.35">
      <c r="B432">
        <v>2017</v>
      </c>
      <c r="C432" s="1">
        <v>42995</v>
      </c>
      <c r="D432">
        <v>2411</v>
      </c>
      <c r="E432" t="s">
        <v>23</v>
      </c>
      <c r="F432" t="s">
        <v>39</v>
      </c>
      <c r="G432" t="s">
        <v>28</v>
      </c>
      <c r="H432">
        <v>84.49</v>
      </c>
      <c r="I432">
        <v>64.09</v>
      </c>
      <c r="J432">
        <v>0.69779999999999998</v>
      </c>
      <c r="K432">
        <v>0.1031</v>
      </c>
      <c r="L432">
        <v>0.1991</v>
      </c>
      <c r="M432">
        <v>2.11</v>
      </c>
      <c r="N432">
        <v>0.66</v>
      </c>
      <c r="O432">
        <v>55.7</v>
      </c>
      <c r="P432">
        <v>18.7</v>
      </c>
      <c r="Q432">
        <v>4</v>
      </c>
      <c r="R432">
        <v>0</v>
      </c>
      <c r="S432">
        <v>3</v>
      </c>
      <c r="T432">
        <v>1.34</v>
      </c>
      <c r="U432">
        <v>1.77</v>
      </c>
      <c r="V432">
        <v>0.64</v>
      </c>
      <c r="W432">
        <v>2.84</v>
      </c>
      <c r="X432">
        <v>0</v>
      </c>
    </row>
    <row r="433" spans="2:24" hidden="1" x14ac:dyDescent="0.35">
      <c r="B433">
        <v>2017</v>
      </c>
      <c r="C433" s="1">
        <v>43001</v>
      </c>
      <c r="D433">
        <v>2411</v>
      </c>
      <c r="E433" t="s">
        <v>23</v>
      </c>
      <c r="F433" t="s">
        <v>43</v>
      </c>
      <c r="G433" t="s">
        <v>29</v>
      </c>
      <c r="H433">
        <v>58.1</v>
      </c>
      <c r="I433">
        <v>81.400000000000006</v>
      </c>
      <c r="J433">
        <v>0.20280000000000001</v>
      </c>
      <c r="K433">
        <v>0.55600000000000005</v>
      </c>
      <c r="L433">
        <v>0.2412</v>
      </c>
      <c r="M433">
        <v>1.02</v>
      </c>
      <c r="N433">
        <v>1.85</v>
      </c>
      <c r="O433">
        <v>28.3</v>
      </c>
      <c r="P433">
        <v>62</v>
      </c>
      <c r="Q433">
        <v>2</v>
      </c>
      <c r="R433">
        <v>3</v>
      </c>
      <c r="S433">
        <v>0.96</v>
      </c>
      <c r="T433">
        <v>1.58</v>
      </c>
      <c r="U433">
        <v>1.1499999999999999</v>
      </c>
      <c r="V433">
        <v>0.89</v>
      </c>
      <c r="W433">
        <v>1.68</v>
      </c>
      <c r="X433">
        <v>3.15</v>
      </c>
    </row>
    <row r="434" spans="2:24" hidden="1" x14ac:dyDescent="0.35">
      <c r="B434">
        <v>2017</v>
      </c>
      <c r="C434" s="1">
        <v>43001</v>
      </c>
      <c r="D434">
        <v>2411</v>
      </c>
      <c r="E434" t="s">
        <v>23</v>
      </c>
      <c r="F434" t="s">
        <v>28</v>
      </c>
      <c r="G434" t="s">
        <v>38</v>
      </c>
      <c r="H434">
        <v>63.19</v>
      </c>
      <c r="I434">
        <v>54.55</v>
      </c>
      <c r="J434">
        <v>0.53700000000000003</v>
      </c>
      <c r="K434">
        <v>0.2122</v>
      </c>
      <c r="L434">
        <v>0.25080000000000002</v>
      </c>
      <c r="M434">
        <v>1.75</v>
      </c>
      <c r="N434">
        <v>1.01</v>
      </c>
      <c r="O434">
        <v>18.100000000000001</v>
      </c>
      <c r="P434">
        <v>36.1</v>
      </c>
      <c r="Q434">
        <v>2</v>
      </c>
      <c r="R434">
        <v>1</v>
      </c>
      <c r="S434">
        <v>2.2999999999999998</v>
      </c>
      <c r="T434">
        <v>0.34</v>
      </c>
      <c r="U434">
        <v>2.11</v>
      </c>
      <c r="V434">
        <v>1.45</v>
      </c>
      <c r="W434">
        <v>2.1</v>
      </c>
      <c r="X434">
        <v>1.05</v>
      </c>
    </row>
    <row r="435" spans="2:24" hidden="1" x14ac:dyDescent="0.35">
      <c r="B435">
        <v>2017</v>
      </c>
      <c r="C435" s="1">
        <v>43001</v>
      </c>
      <c r="D435">
        <v>2411</v>
      </c>
      <c r="E435" t="s">
        <v>23</v>
      </c>
      <c r="F435" t="s">
        <v>36</v>
      </c>
      <c r="G435" t="s">
        <v>30</v>
      </c>
      <c r="H435">
        <v>88.5</v>
      </c>
      <c r="I435">
        <v>56.07</v>
      </c>
      <c r="J435">
        <v>0.85540000000000005</v>
      </c>
      <c r="K435">
        <v>3.3300000000000003E-2</v>
      </c>
      <c r="L435">
        <v>0.1113</v>
      </c>
      <c r="M435">
        <v>2.77</v>
      </c>
      <c r="N435">
        <v>0.4</v>
      </c>
      <c r="O435">
        <v>55.5</v>
      </c>
      <c r="P435">
        <v>42.8</v>
      </c>
      <c r="Q435">
        <v>5</v>
      </c>
      <c r="R435">
        <v>0</v>
      </c>
      <c r="S435">
        <v>5.0199999999999996</v>
      </c>
      <c r="T435">
        <v>0.63</v>
      </c>
      <c r="U435">
        <v>3.75</v>
      </c>
      <c r="V435">
        <v>0.46</v>
      </c>
      <c r="W435">
        <v>4.55</v>
      </c>
      <c r="X435">
        <v>0</v>
      </c>
    </row>
    <row r="436" spans="2:24" hidden="1" x14ac:dyDescent="0.35">
      <c r="B436">
        <v>2017</v>
      </c>
      <c r="C436" s="1">
        <v>43001</v>
      </c>
      <c r="D436">
        <v>2411</v>
      </c>
      <c r="E436" t="s">
        <v>23</v>
      </c>
      <c r="F436" t="s">
        <v>32</v>
      </c>
      <c r="G436" t="s">
        <v>44</v>
      </c>
      <c r="H436">
        <v>60.3</v>
      </c>
      <c r="I436">
        <v>47.25</v>
      </c>
      <c r="J436">
        <v>0.57199999999999995</v>
      </c>
      <c r="K436">
        <v>0.16289999999999999</v>
      </c>
      <c r="L436">
        <v>0.2651</v>
      </c>
      <c r="M436">
        <v>1.6</v>
      </c>
      <c r="N436">
        <v>0.72</v>
      </c>
      <c r="O436">
        <v>19</v>
      </c>
      <c r="P436">
        <v>40.299999999999997</v>
      </c>
      <c r="Q436">
        <v>0</v>
      </c>
      <c r="R436">
        <v>0</v>
      </c>
      <c r="S436">
        <v>0.5</v>
      </c>
      <c r="T436">
        <v>0.27</v>
      </c>
      <c r="U436">
        <v>0.67</v>
      </c>
      <c r="V436">
        <v>0.49</v>
      </c>
      <c r="W436">
        <v>0</v>
      </c>
      <c r="X436">
        <v>0</v>
      </c>
    </row>
    <row r="437" spans="2:24" hidden="1" x14ac:dyDescent="0.35">
      <c r="B437">
        <v>2017</v>
      </c>
      <c r="C437" s="1">
        <v>43001</v>
      </c>
      <c r="D437">
        <v>2411</v>
      </c>
      <c r="E437" t="s">
        <v>23</v>
      </c>
      <c r="F437" t="s">
        <v>27</v>
      </c>
      <c r="G437" t="s">
        <v>42</v>
      </c>
      <c r="H437">
        <v>61.26</v>
      </c>
      <c r="I437">
        <v>82.63</v>
      </c>
      <c r="J437">
        <v>0.21709999999999999</v>
      </c>
      <c r="K437">
        <v>0.53969999999999996</v>
      </c>
      <c r="L437">
        <v>0.2432</v>
      </c>
      <c r="M437">
        <v>1.08</v>
      </c>
      <c r="N437">
        <v>1.84</v>
      </c>
      <c r="O437">
        <v>17.600000000000001</v>
      </c>
      <c r="P437">
        <v>53.9</v>
      </c>
      <c r="Q437">
        <v>0</v>
      </c>
      <c r="R437">
        <v>4</v>
      </c>
      <c r="S437">
        <v>0.79</v>
      </c>
      <c r="T437">
        <v>1.26</v>
      </c>
      <c r="U437">
        <v>1.34</v>
      </c>
      <c r="V437">
        <v>1.27</v>
      </c>
      <c r="W437">
        <v>0</v>
      </c>
      <c r="X437">
        <v>3.72</v>
      </c>
    </row>
    <row r="438" spans="2:24" hidden="1" x14ac:dyDescent="0.35">
      <c r="B438">
        <v>2017</v>
      </c>
      <c r="C438" s="1">
        <v>43001</v>
      </c>
      <c r="D438">
        <v>2411</v>
      </c>
      <c r="E438" t="s">
        <v>23</v>
      </c>
      <c r="F438" t="s">
        <v>33</v>
      </c>
      <c r="G438" t="s">
        <v>35</v>
      </c>
      <c r="H438">
        <v>55.46</v>
      </c>
      <c r="I438">
        <v>55.51</v>
      </c>
      <c r="J438">
        <v>0.43909999999999999</v>
      </c>
      <c r="K438">
        <v>0.27329999999999999</v>
      </c>
      <c r="L438">
        <v>0.28760000000000002</v>
      </c>
      <c r="M438">
        <v>1.38</v>
      </c>
      <c r="N438">
        <v>1.03</v>
      </c>
      <c r="O438">
        <v>32.700000000000003</v>
      </c>
      <c r="P438">
        <v>26.7</v>
      </c>
      <c r="Q438">
        <v>1</v>
      </c>
      <c r="R438">
        <v>2</v>
      </c>
      <c r="S438">
        <v>1.86</v>
      </c>
      <c r="T438">
        <v>1.51</v>
      </c>
      <c r="U438">
        <v>1.1200000000000001</v>
      </c>
      <c r="V438">
        <v>0.84</v>
      </c>
      <c r="W438">
        <v>1.05</v>
      </c>
      <c r="X438">
        <v>2.1</v>
      </c>
    </row>
    <row r="439" spans="2:24" hidden="1" x14ac:dyDescent="0.35">
      <c r="B439">
        <v>2017</v>
      </c>
      <c r="C439" s="1">
        <v>43001</v>
      </c>
      <c r="D439">
        <v>2411</v>
      </c>
      <c r="E439" t="s">
        <v>23</v>
      </c>
      <c r="F439" t="s">
        <v>34</v>
      </c>
      <c r="G439" t="s">
        <v>39</v>
      </c>
      <c r="H439">
        <v>61.6</v>
      </c>
      <c r="I439">
        <v>85.13</v>
      </c>
      <c r="J439">
        <v>0.1903</v>
      </c>
      <c r="K439">
        <v>0.55789999999999995</v>
      </c>
      <c r="L439">
        <v>0.25169999999999998</v>
      </c>
      <c r="M439">
        <v>0.9</v>
      </c>
      <c r="N439">
        <v>1.73</v>
      </c>
      <c r="O439">
        <v>15.9</v>
      </c>
      <c r="P439">
        <v>55.9</v>
      </c>
      <c r="Q439">
        <v>0</v>
      </c>
      <c r="R439">
        <v>1</v>
      </c>
      <c r="S439">
        <v>0.84</v>
      </c>
      <c r="T439">
        <v>1.1100000000000001</v>
      </c>
      <c r="U439">
        <v>1.65</v>
      </c>
      <c r="V439">
        <v>1.1299999999999999</v>
      </c>
      <c r="W439">
        <v>0</v>
      </c>
      <c r="X439">
        <v>1.05</v>
      </c>
    </row>
    <row r="440" spans="2:24" hidden="1" x14ac:dyDescent="0.35">
      <c r="B440">
        <v>2017</v>
      </c>
      <c r="C440" s="1">
        <v>43001</v>
      </c>
      <c r="D440">
        <v>2411</v>
      </c>
      <c r="E440" t="s">
        <v>23</v>
      </c>
      <c r="F440" t="s">
        <v>25</v>
      </c>
      <c r="G440" t="s">
        <v>41</v>
      </c>
      <c r="H440">
        <v>62.12</v>
      </c>
      <c r="I440">
        <v>76.92</v>
      </c>
      <c r="J440">
        <v>0.28820000000000001</v>
      </c>
      <c r="K440">
        <v>0.4617</v>
      </c>
      <c r="L440">
        <v>0.25</v>
      </c>
      <c r="M440">
        <v>1.33</v>
      </c>
      <c r="N440">
        <v>1.74</v>
      </c>
      <c r="O440">
        <v>17.100000000000001</v>
      </c>
      <c r="P440">
        <v>53.7</v>
      </c>
      <c r="Q440">
        <v>2</v>
      </c>
      <c r="R440">
        <v>3</v>
      </c>
      <c r="S440">
        <v>2.72</v>
      </c>
      <c r="T440">
        <v>2.02</v>
      </c>
      <c r="U440">
        <v>0.75</v>
      </c>
      <c r="V440">
        <v>1.95</v>
      </c>
      <c r="W440">
        <v>2.1</v>
      </c>
      <c r="X440">
        <v>3.15</v>
      </c>
    </row>
    <row r="441" spans="2:24" hidden="1" x14ac:dyDescent="0.35">
      <c r="B441">
        <v>2017</v>
      </c>
      <c r="C441" s="1">
        <v>43002</v>
      </c>
      <c r="D441">
        <v>2411</v>
      </c>
      <c r="E441" t="s">
        <v>23</v>
      </c>
      <c r="F441" t="s">
        <v>45</v>
      </c>
      <c r="G441" t="s">
        <v>46</v>
      </c>
      <c r="H441">
        <v>47.92</v>
      </c>
      <c r="I441">
        <v>55.87</v>
      </c>
      <c r="J441">
        <v>0.35620000000000002</v>
      </c>
      <c r="K441">
        <v>0.33510000000000001</v>
      </c>
      <c r="L441">
        <v>0.30869999999999997</v>
      </c>
      <c r="M441">
        <v>1.1200000000000001</v>
      </c>
      <c r="N441">
        <v>1.08</v>
      </c>
      <c r="O441">
        <v>43.2</v>
      </c>
      <c r="P441">
        <v>25.7</v>
      </c>
      <c r="Q441">
        <v>1</v>
      </c>
      <c r="R441">
        <v>0</v>
      </c>
      <c r="S441">
        <v>0.69</v>
      </c>
      <c r="T441">
        <v>1.41</v>
      </c>
      <c r="U441">
        <v>1.25</v>
      </c>
      <c r="V441">
        <v>1.81</v>
      </c>
      <c r="W441">
        <v>1.05</v>
      </c>
      <c r="X441">
        <v>0</v>
      </c>
    </row>
    <row r="442" spans="2:24" hidden="1" x14ac:dyDescent="0.35">
      <c r="B442">
        <v>2017</v>
      </c>
      <c r="C442" s="1">
        <v>43003</v>
      </c>
      <c r="D442">
        <v>2411</v>
      </c>
      <c r="E442" t="s">
        <v>23</v>
      </c>
      <c r="F442" t="s">
        <v>40</v>
      </c>
      <c r="G442" t="s">
        <v>31</v>
      </c>
      <c r="H442">
        <v>77.63</v>
      </c>
      <c r="I442">
        <v>55.57</v>
      </c>
      <c r="J442">
        <v>0.6835</v>
      </c>
      <c r="K442">
        <v>0.11260000000000001</v>
      </c>
      <c r="L442">
        <v>0.2039</v>
      </c>
      <c r="M442">
        <v>2.09</v>
      </c>
      <c r="N442">
        <v>0.71</v>
      </c>
      <c r="O442">
        <v>56.9</v>
      </c>
      <c r="P442">
        <v>23.2</v>
      </c>
      <c r="Q442">
        <v>2</v>
      </c>
      <c r="R442">
        <v>0</v>
      </c>
      <c r="S442">
        <v>2.4700000000000002</v>
      </c>
      <c r="T442">
        <v>0.9</v>
      </c>
      <c r="U442">
        <v>2.83</v>
      </c>
      <c r="V442">
        <v>0.65</v>
      </c>
      <c r="W442">
        <v>2.1</v>
      </c>
      <c r="X442">
        <v>0</v>
      </c>
    </row>
    <row r="443" spans="2:24" hidden="1" x14ac:dyDescent="0.35">
      <c r="B443">
        <v>2017</v>
      </c>
      <c r="C443" s="1">
        <v>43008</v>
      </c>
      <c r="D443">
        <v>2411</v>
      </c>
      <c r="E443" t="s">
        <v>23</v>
      </c>
      <c r="F443" t="s">
        <v>44</v>
      </c>
      <c r="G443" t="s">
        <v>29</v>
      </c>
      <c r="H443">
        <v>47.99</v>
      </c>
      <c r="I443">
        <v>81.97</v>
      </c>
      <c r="J443">
        <v>0.1336</v>
      </c>
      <c r="K443">
        <v>0.64070000000000005</v>
      </c>
      <c r="L443">
        <v>0.22570000000000001</v>
      </c>
      <c r="M443">
        <v>0.74</v>
      </c>
      <c r="N443">
        <v>1.91</v>
      </c>
      <c r="O443">
        <v>41.3</v>
      </c>
      <c r="P443">
        <v>60.6</v>
      </c>
      <c r="Q443">
        <v>0</v>
      </c>
      <c r="R443">
        <v>4</v>
      </c>
      <c r="S443">
        <v>0.24</v>
      </c>
      <c r="T443">
        <v>1.34</v>
      </c>
      <c r="U443">
        <v>0.19</v>
      </c>
      <c r="V443">
        <v>2.16</v>
      </c>
      <c r="W443">
        <v>0</v>
      </c>
      <c r="X443">
        <v>3.68</v>
      </c>
    </row>
    <row r="444" spans="2:24" hidden="1" x14ac:dyDescent="0.35">
      <c r="B444">
        <v>2017</v>
      </c>
      <c r="C444" s="1">
        <v>43008</v>
      </c>
      <c r="D444">
        <v>2411</v>
      </c>
      <c r="E444" t="s">
        <v>23</v>
      </c>
      <c r="F444" t="s">
        <v>39</v>
      </c>
      <c r="G444" t="s">
        <v>30</v>
      </c>
      <c r="H444">
        <v>86.55</v>
      </c>
      <c r="I444">
        <v>54.33</v>
      </c>
      <c r="J444">
        <v>0.8448</v>
      </c>
      <c r="K444">
        <v>3.4500000000000003E-2</v>
      </c>
      <c r="L444">
        <v>0.1207</v>
      </c>
      <c r="M444">
        <v>2.63</v>
      </c>
      <c r="N444">
        <v>0.38</v>
      </c>
      <c r="O444">
        <v>54.4</v>
      </c>
      <c r="P444">
        <v>43.3</v>
      </c>
      <c r="Q444">
        <v>4</v>
      </c>
      <c r="R444">
        <v>0</v>
      </c>
      <c r="S444">
        <v>3.06</v>
      </c>
      <c r="T444">
        <v>0.35</v>
      </c>
      <c r="U444">
        <v>1.91</v>
      </c>
      <c r="V444">
        <v>1.3</v>
      </c>
      <c r="W444">
        <v>3.8</v>
      </c>
      <c r="X444">
        <v>0</v>
      </c>
    </row>
    <row r="445" spans="2:24" hidden="1" x14ac:dyDescent="0.35">
      <c r="B445">
        <v>2017</v>
      </c>
      <c r="C445" s="1">
        <v>43008</v>
      </c>
      <c r="D445">
        <v>2411</v>
      </c>
      <c r="E445" t="s">
        <v>23</v>
      </c>
      <c r="F445" t="s">
        <v>27</v>
      </c>
      <c r="G445" t="s">
        <v>34</v>
      </c>
      <c r="H445">
        <v>59.85</v>
      </c>
      <c r="I445">
        <v>61.68</v>
      </c>
      <c r="J445">
        <v>0.41889999999999999</v>
      </c>
      <c r="K445">
        <v>0.28639999999999999</v>
      </c>
      <c r="L445">
        <v>0.29480000000000001</v>
      </c>
      <c r="M445">
        <v>1.31</v>
      </c>
      <c r="N445">
        <v>1.03</v>
      </c>
      <c r="O445">
        <v>25.8</v>
      </c>
      <c r="P445">
        <v>18.5</v>
      </c>
      <c r="Q445">
        <v>2</v>
      </c>
      <c r="R445">
        <v>1</v>
      </c>
      <c r="S445">
        <v>2.44</v>
      </c>
      <c r="T445">
        <v>1.3</v>
      </c>
      <c r="U445">
        <v>1.49</v>
      </c>
      <c r="V445">
        <v>2.74</v>
      </c>
      <c r="W445">
        <v>2.1</v>
      </c>
      <c r="X445">
        <v>1.05</v>
      </c>
    </row>
    <row r="446" spans="2:24" hidden="1" x14ac:dyDescent="0.35">
      <c r="B446">
        <v>2017</v>
      </c>
      <c r="C446" s="1">
        <v>43008</v>
      </c>
      <c r="D446">
        <v>2411</v>
      </c>
      <c r="E446" t="s">
        <v>23</v>
      </c>
      <c r="F446" t="s">
        <v>38</v>
      </c>
      <c r="G446" t="s">
        <v>25</v>
      </c>
      <c r="H446">
        <v>54.1</v>
      </c>
      <c r="I446">
        <v>62.17</v>
      </c>
      <c r="J446">
        <v>0.36480000000000001</v>
      </c>
      <c r="K446">
        <v>0.372</v>
      </c>
      <c r="L446">
        <v>0.26319999999999999</v>
      </c>
      <c r="M446">
        <v>1.45</v>
      </c>
      <c r="N446">
        <v>1.46</v>
      </c>
      <c r="O446">
        <v>43.7</v>
      </c>
      <c r="P446">
        <v>20.2</v>
      </c>
      <c r="Q446">
        <v>0</v>
      </c>
      <c r="R446">
        <v>0</v>
      </c>
      <c r="S446">
        <v>1.54</v>
      </c>
      <c r="T446">
        <v>0.71</v>
      </c>
      <c r="U446">
        <v>2.11</v>
      </c>
      <c r="V446">
        <v>0.49</v>
      </c>
      <c r="W446">
        <v>0</v>
      </c>
      <c r="X446">
        <v>0</v>
      </c>
    </row>
    <row r="447" spans="2:24" hidden="1" x14ac:dyDescent="0.35">
      <c r="B447">
        <v>2017</v>
      </c>
      <c r="C447" s="1">
        <v>43008</v>
      </c>
      <c r="D447">
        <v>2411</v>
      </c>
      <c r="E447" t="s">
        <v>23</v>
      </c>
      <c r="F447" t="s">
        <v>31</v>
      </c>
      <c r="G447" t="s">
        <v>35</v>
      </c>
      <c r="H447">
        <v>54.88</v>
      </c>
      <c r="I447">
        <v>56.37</v>
      </c>
      <c r="J447">
        <v>0.42130000000000001</v>
      </c>
      <c r="K447">
        <v>0.27889999999999998</v>
      </c>
      <c r="L447">
        <v>0.29980000000000001</v>
      </c>
      <c r="M447">
        <v>1.28</v>
      </c>
      <c r="N447">
        <v>0.98</v>
      </c>
      <c r="O447">
        <v>31.7</v>
      </c>
      <c r="P447">
        <v>15.9</v>
      </c>
      <c r="Q447">
        <v>2</v>
      </c>
      <c r="R447">
        <v>2</v>
      </c>
      <c r="S447">
        <v>1.97</v>
      </c>
      <c r="T447">
        <v>1.61</v>
      </c>
      <c r="U447">
        <v>0.75</v>
      </c>
      <c r="V447">
        <v>1.89</v>
      </c>
      <c r="W447">
        <v>2.1</v>
      </c>
      <c r="X447">
        <v>2.1</v>
      </c>
    </row>
    <row r="448" spans="2:24" hidden="1" x14ac:dyDescent="0.35">
      <c r="B448">
        <v>2017</v>
      </c>
      <c r="C448" s="1">
        <v>43008</v>
      </c>
      <c r="D448">
        <v>2411</v>
      </c>
      <c r="E448" t="s">
        <v>23</v>
      </c>
      <c r="F448" t="s">
        <v>43</v>
      </c>
      <c r="G448" t="s">
        <v>33</v>
      </c>
      <c r="H448">
        <v>58.5</v>
      </c>
      <c r="I448">
        <v>54.6</v>
      </c>
      <c r="J448">
        <v>0.48349999999999999</v>
      </c>
      <c r="K448">
        <v>0.246</v>
      </c>
      <c r="L448">
        <v>0.27050000000000002</v>
      </c>
      <c r="M448">
        <v>1.55</v>
      </c>
      <c r="N448">
        <v>1.03</v>
      </c>
      <c r="O448">
        <v>32.700000000000003</v>
      </c>
      <c r="P448">
        <v>34.700000000000003</v>
      </c>
      <c r="Q448">
        <v>1</v>
      </c>
      <c r="R448">
        <v>0</v>
      </c>
      <c r="S448">
        <v>0.91</v>
      </c>
      <c r="T448">
        <v>0.21</v>
      </c>
      <c r="U448">
        <v>1.08</v>
      </c>
      <c r="V448">
        <v>0.21</v>
      </c>
      <c r="W448">
        <v>1.05</v>
      </c>
      <c r="X448">
        <v>0</v>
      </c>
    </row>
    <row r="449" spans="2:24" hidden="1" x14ac:dyDescent="0.35">
      <c r="B449">
        <v>2017</v>
      </c>
      <c r="C449" s="1">
        <v>43008</v>
      </c>
      <c r="D449">
        <v>2411</v>
      </c>
      <c r="E449" t="s">
        <v>23</v>
      </c>
      <c r="F449" t="s">
        <v>42</v>
      </c>
      <c r="G449" t="s">
        <v>36</v>
      </c>
      <c r="H449">
        <v>84.68</v>
      </c>
      <c r="I449">
        <v>89.65</v>
      </c>
      <c r="J449">
        <v>0.36149999999999999</v>
      </c>
      <c r="K449">
        <v>0.38429999999999997</v>
      </c>
      <c r="L449">
        <v>0.25419999999999998</v>
      </c>
      <c r="M449">
        <v>1.52</v>
      </c>
      <c r="N449">
        <v>1.57</v>
      </c>
      <c r="O449">
        <v>63.7</v>
      </c>
      <c r="P449">
        <v>98.3</v>
      </c>
      <c r="Q449">
        <v>0</v>
      </c>
      <c r="R449">
        <v>1</v>
      </c>
      <c r="S449">
        <v>0.88</v>
      </c>
      <c r="T449">
        <v>1.22</v>
      </c>
      <c r="U449">
        <v>1.0900000000000001</v>
      </c>
      <c r="V449">
        <v>2.12</v>
      </c>
      <c r="W449">
        <v>0</v>
      </c>
      <c r="X449">
        <v>1.05</v>
      </c>
    </row>
    <row r="450" spans="2:24" hidden="1" x14ac:dyDescent="0.35">
      <c r="B450">
        <v>2017</v>
      </c>
      <c r="C450" s="1">
        <v>43009</v>
      </c>
      <c r="D450">
        <v>2411</v>
      </c>
      <c r="E450" t="s">
        <v>23</v>
      </c>
      <c r="F450" t="s">
        <v>40</v>
      </c>
      <c r="G450" t="s">
        <v>45</v>
      </c>
      <c r="H450">
        <v>78.92</v>
      </c>
      <c r="I450">
        <v>48.08</v>
      </c>
      <c r="J450">
        <v>0.80610000000000004</v>
      </c>
      <c r="K450">
        <v>5.2200000000000003E-2</v>
      </c>
      <c r="L450">
        <v>0.14169999999999999</v>
      </c>
      <c r="M450">
        <v>2.52</v>
      </c>
      <c r="N450">
        <v>0.49</v>
      </c>
      <c r="O450">
        <v>66.099999999999994</v>
      </c>
      <c r="P450">
        <v>35.299999999999997</v>
      </c>
      <c r="Q450">
        <v>2</v>
      </c>
      <c r="R450">
        <v>0</v>
      </c>
      <c r="S450">
        <v>2.79</v>
      </c>
      <c r="T450">
        <v>0.38</v>
      </c>
      <c r="U450">
        <v>2.88</v>
      </c>
      <c r="V450">
        <v>1.44</v>
      </c>
      <c r="W450">
        <v>2.1</v>
      </c>
      <c r="X450">
        <v>0</v>
      </c>
    </row>
    <row r="451" spans="2:24" hidden="1" x14ac:dyDescent="0.35">
      <c r="B451">
        <v>2017</v>
      </c>
      <c r="C451" s="1">
        <v>43009</v>
      </c>
      <c r="D451">
        <v>2411</v>
      </c>
      <c r="E451" t="s">
        <v>23</v>
      </c>
      <c r="F451" t="s">
        <v>28</v>
      </c>
      <c r="G451" t="s">
        <v>32</v>
      </c>
      <c r="H451">
        <v>62.48</v>
      </c>
      <c r="I451">
        <v>59.63</v>
      </c>
      <c r="J451">
        <v>0.47099999999999997</v>
      </c>
      <c r="K451">
        <v>0.25290000000000001</v>
      </c>
      <c r="L451">
        <v>0.27610000000000001</v>
      </c>
      <c r="M451">
        <v>1.5</v>
      </c>
      <c r="N451">
        <v>1.02</v>
      </c>
      <c r="O451">
        <v>12.7</v>
      </c>
      <c r="P451">
        <v>14.5</v>
      </c>
      <c r="Q451">
        <v>0</v>
      </c>
      <c r="R451">
        <v>1</v>
      </c>
      <c r="S451">
        <v>1.34</v>
      </c>
      <c r="T451">
        <v>0.35</v>
      </c>
      <c r="U451">
        <v>3.6</v>
      </c>
      <c r="V451">
        <v>1.24</v>
      </c>
      <c r="W451">
        <v>0</v>
      </c>
      <c r="X451">
        <v>1.05</v>
      </c>
    </row>
    <row r="452" spans="2:24" hidden="1" x14ac:dyDescent="0.35">
      <c r="B452">
        <v>2017</v>
      </c>
      <c r="C452" s="1">
        <v>43009</v>
      </c>
      <c r="D452">
        <v>2411</v>
      </c>
      <c r="E452" t="s">
        <v>23</v>
      </c>
      <c r="F452" t="s">
        <v>46</v>
      </c>
      <c r="G452" t="s">
        <v>41</v>
      </c>
      <c r="H452">
        <v>55.73</v>
      </c>
      <c r="I452">
        <v>77.55</v>
      </c>
      <c r="J452">
        <v>0.2278</v>
      </c>
      <c r="K452">
        <v>0.52510000000000001</v>
      </c>
      <c r="L452">
        <v>0.24709999999999999</v>
      </c>
      <c r="M452">
        <v>1.1000000000000001</v>
      </c>
      <c r="N452">
        <v>1.79</v>
      </c>
      <c r="O452">
        <v>24.2</v>
      </c>
      <c r="P452">
        <v>55.1</v>
      </c>
      <c r="Q452">
        <v>1</v>
      </c>
      <c r="R452">
        <v>1</v>
      </c>
      <c r="S452">
        <v>0.37</v>
      </c>
      <c r="T452">
        <v>2.25</v>
      </c>
      <c r="U452">
        <v>0.33</v>
      </c>
      <c r="V452">
        <v>1.82</v>
      </c>
      <c r="W452">
        <v>1.05</v>
      </c>
      <c r="X452">
        <v>1.05</v>
      </c>
    </row>
    <row r="453" spans="2:24" hidden="1" x14ac:dyDescent="0.35">
      <c r="B453">
        <v>2017</v>
      </c>
      <c r="C453" s="1">
        <v>43022</v>
      </c>
      <c r="D453">
        <v>2411</v>
      </c>
      <c r="E453" t="s">
        <v>23</v>
      </c>
      <c r="F453" t="s">
        <v>41</v>
      </c>
      <c r="G453" t="s">
        <v>39</v>
      </c>
      <c r="H453">
        <v>77.8</v>
      </c>
      <c r="I453">
        <v>86.94</v>
      </c>
      <c r="J453">
        <v>0.31019999999999998</v>
      </c>
      <c r="K453">
        <v>0.43390000000000001</v>
      </c>
      <c r="L453">
        <v>0.25590000000000002</v>
      </c>
      <c r="M453">
        <v>1.36</v>
      </c>
      <c r="N453">
        <v>1.64</v>
      </c>
      <c r="O453">
        <v>66.2</v>
      </c>
      <c r="P453">
        <v>58.9</v>
      </c>
      <c r="Q453">
        <v>0</v>
      </c>
      <c r="R453">
        <v>0</v>
      </c>
      <c r="S453">
        <v>2.08</v>
      </c>
      <c r="T453">
        <v>0.28000000000000003</v>
      </c>
      <c r="U453">
        <v>2.46</v>
      </c>
      <c r="V453">
        <v>0.43</v>
      </c>
      <c r="W453">
        <v>0</v>
      </c>
      <c r="X453">
        <v>0</v>
      </c>
    </row>
    <row r="454" spans="2:24" hidden="1" x14ac:dyDescent="0.35">
      <c r="B454">
        <v>2017</v>
      </c>
      <c r="C454" s="1">
        <v>43022</v>
      </c>
      <c r="D454">
        <v>2411</v>
      </c>
      <c r="E454" t="s">
        <v>23</v>
      </c>
      <c r="F454" t="s">
        <v>29</v>
      </c>
      <c r="G454" t="s">
        <v>38</v>
      </c>
      <c r="H454">
        <v>83.28</v>
      </c>
      <c r="I454">
        <v>54.65</v>
      </c>
      <c r="J454">
        <v>0.80600000000000005</v>
      </c>
      <c r="K454">
        <v>5.1499999999999997E-2</v>
      </c>
      <c r="L454">
        <v>0.14249999999999999</v>
      </c>
      <c r="M454">
        <v>2.5</v>
      </c>
      <c r="N454">
        <v>0.48</v>
      </c>
      <c r="O454">
        <v>77.3</v>
      </c>
      <c r="P454">
        <v>36</v>
      </c>
      <c r="Q454">
        <v>1</v>
      </c>
      <c r="R454">
        <v>0</v>
      </c>
      <c r="S454">
        <v>2.2599999999999998</v>
      </c>
      <c r="T454">
        <v>0.25</v>
      </c>
      <c r="U454">
        <v>2.1</v>
      </c>
      <c r="V454">
        <v>0.4</v>
      </c>
      <c r="W454">
        <v>1.05</v>
      </c>
      <c r="X454">
        <v>0</v>
      </c>
    </row>
    <row r="455" spans="2:24" hidden="1" x14ac:dyDescent="0.35">
      <c r="B455">
        <v>2017</v>
      </c>
      <c r="C455" s="1">
        <v>43022</v>
      </c>
      <c r="D455">
        <v>2411</v>
      </c>
      <c r="E455" t="s">
        <v>23</v>
      </c>
      <c r="F455" t="s">
        <v>33</v>
      </c>
      <c r="G455" t="s">
        <v>44</v>
      </c>
      <c r="H455">
        <v>54.09</v>
      </c>
      <c r="I455">
        <v>46.13</v>
      </c>
      <c r="J455">
        <v>0.51339999999999997</v>
      </c>
      <c r="K455">
        <v>0.18759999999999999</v>
      </c>
      <c r="L455">
        <v>0.29899999999999999</v>
      </c>
      <c r="M455">
        <v>1.35</v>
      </c>
      <c r="N455">
        <v>0.7</v>
      </c>
      <c r="O455">
        <v>47.7</v>
      </c>
      <c r="P455">
        <v>50.5</v>
      </c>
      <c r="Q455">
        <v>2</v>
      </c>
      <c r="R455">
        <v>0</v>
      </c>
      <c r="S455">
        <v>1.78</v>
      </c>
      <c r="T455">
        <v>0.4</v>
      </c>
      <c r="U455">
        <v>0.41</v>
      </c>
      <c r="V455">
        <v>0.7</v>
      </c>
      <c r="W455">
        <v>2.1</v>
      </c>
      <c r="X455">
        <v>0</v>
      </c>
    </row>
    <row r="456" spans="2:24" hidden="1" x14ac:dyDescent="0.35">
      <c r="B456">
        <v>2017</v>
      </c>
      <c r="C456" s="1">
        <v>43022</v>
      </c>
      <c r="D456">
        <v>2411</v>
      </c>
      <c r="E456" t="s">
        <v>23</v>
      </c>
      <c r="F456" t="s">
        <v>36</v>
      </c>
      <c r="G456" t="s">
        <v>27</v>
      </c>
      <c r="H456">
        <v>90.03</v>
      </c>
      <c r="I456">
        <v>60.16</v>
      </c>
      <c r="J456">
        <v>0.84919999999999995</v>
      </c>
      <c r="K456">
        <v>3.6200000000000003E-2</v>
      </c>
      <c r="L456">
        <v>0.11459999999999999</v>
      </c>
      <c r="M456">
        <v>2.76</v>
      </c>
      <c r="N456">
        <v>0.43</v>
      </c>
      <c r="O456">
        <v>94.4</v>
      </c>
      <c r="P456">
        <v>12.9</v>
      </c>
      <c r="Q456">
        <v>7</v>
      </c>
      <c r="R456">
        <v>2</v>
      </c>
      <c r="S456">
        <v>4.04</v>
      </c>
      <c r="T456">
        <v>0.59</v>
      </c>
      <c r="U456">
        <v>2.6</v>
      </c>
      <c r="V456">
        <v>0.36</v>
      </c>
      <c r="W456">
        <v>7.13</v>
      </c>
      <c r="X456">
        <v>2.1</v>
      </c>
    </row>
    <row r="457" spans="2:24" hidden="1" x14ac:dyDescent="0.35">
      <c r="B457">
        <v>2017</v>
      </c>
      <c r="C457" s="1">
        <v>43022</v>
      </c>
      <c r="D457">
        <v>2411</v>
      </c>
      <c r="E457" t="s">
        <v>23</v>
      </c>
      <c r="F457" t="s">
        <v>32</v>
      </c>
      <c r="G457" t="s">
        <v>43</v>
      </c>
      <c r="H457">
        <v>59.78</v>
      </c>
      <c r="I457">
        <v>59.02</v>
      </c>
      <c r="J457">
        <v>0.44919999999999999</v>
      </c>
      <c r="K457">
        <v>0.26800000000000002</v>
      </c>
      <c r="L457">
        <v>0.2828</v>
      </c>
      <c r="M457">
        <v>1.43</v>
      </c>
      <c r="N457">
        <v>1.04</v>
      </c>
      <c r="O457">
        <v>12.6</v>
      </c>
      <c r="P457">
        <v>23.5</v>
      </c>
      <c r="Q457">
        <v>1</v>
      </c>
      <c r="R457">
        <v>1</v>
      </c>
      <c r="S457">
        <v>0.87</v>
      </c>
      <c r="T457">
        <v>0.73</v>
      </c>
      <c r="U457">
        <v>2.27</v>
      </c>
      <c r="V457">
        <v>1.17</v>
      </c>
      <c r="W457">
        <v>0.84</v>
      </c>
      <c r="X457">
        <v>1.05</v>
      </c>
    </row>
    <row r="458" spans="2:24" hidden="1" x14ac:dyDescent="0.35">
      <c r="B458">
        <v>2017</v>
      </c>
      <c r="C458" s="1">
        <v>43022</v>
      </c>
      <c r="D458">
        <v>2411</v>
      </c>
      <c r="E458" t="s">
        <v>23</v>
      </c>
      <c r="F458" t="s">
        <v>30</v>
      </c>
      <c r="G458" t="s">
        <v>42</v>
      </c>
      <c r="H458">
        <v>53.72</v>
      </c>
      <c r="I458">
        <v>83.93</v>
      </c>
      <c r="J458">
        <v>0.14979999999999999</v>
      </c>
      <c r="K458">
        <v>0.63939999999999997</v>
      </c>
      <c r="L458">
        <v>0.21079999999999999</v>
      </c>
      <c r="M458">
        <v>0.92</v>
      </c>
      <c r="N458">
        <v>2.13</v>
      </c>
      <c r="O458">
        <v>41.2</v>
      </c>
      <c r="P458">
        <v>52.9</v>
      </c>
      <c r="Q458">
        <v>2</v>
      </c>
      <c r="R458">
        <v>1</v>
      </c>
      <c r="S458">
        <v>1.52</v>
      </c>
      <c r="T458">
        <v>0.8</v>
      </c>
      <c r="U458">
        <v>1.47</v>
      </c>
      <c r="V458">
        <v>1.07</v>
      </c>
      <c r="W458">
        <v>2.1</v>
      </c>
      <c r="X458">
        <v>1.05</v>
      </c>
    </row>
    <row r="459" spans="2:24" hidden="1" x14ac:dyDescent="0.35">
      <c r="B459">
        <v>2017</v>
      </c>
      <c r="C459" s="1">
        <v>43022</v>
      </c>
      <c r="D459">
        <v>2411</v>
      </c>
      <c r="E459" t="s">
        <v>23</v>
      </c>
      <c r="F459" t="s">
        <v>35</v>
      </c>
      <c r="G459" t="s">
        <v>40</v>
      </c>
      <c r="H459">
        <v>56.95</v>
      </c>
      <c r="I459">
        <v>79.099999999999994</v>
      </c>
      <c r="J459">
        <v>0.22270000000000001</v>
      </c>
      <c r="K459">
        <v>0.55210000000000004</v>
      </c>
      <c r="L459">
        <v>0.22520000000000001</v>
      </c>
      <c r="M459">
        <v>1.25</v>
      </c>
      <c r="N459">
        <v>2.0699999999999998</v>
      </c>
      <c r="O459">
        <v>12.3</v>
      </c>
      <c r="P459">
        <v>54.1</v>
      </c>
      <c r="Q459">
        <v>2</v>
      </c>
      <c r="R459">
        <v>1</v>
      </c>
      <c r="S459">
        <v>1.7</v>
      </c>
      <c r="T459">
        <v>0.93</v>
      </c>
      <c r="U459">
        <v>0.89</v>
      </c>
      <c r="V459">
        <v>1.59</v>
      </c>
      <c r="W459">
        <v>2.1</v>
      </c>
      <c r="X459">
        <v>1.05</v>
      </c>
    </row>
    <row r="460" spans="2:24" hidden="1" x14ac:dyDescent="0.35">
      <c r="B460">
        <v>2017</v>
      </c>
      <c r="C460" s="1">
        <v>43023</v>
      </c>
      <c r="D460">
        <v>2411</v>
      </c>
      <c r="E460" t="s">
        <v>23</v>
      </c>
      <c r="F460" t="s">
        <v>45</v>
      </c>
      <c r="G460" t="s">
        <v>28</v>
      </c>
      <c r="H460">
        <v>47.85</v>
      </c>
      <c r="I460">
        <v>62.31</v>
      </c>
      <c r="J460">
        <v>0.29780000000000001</v>
      </c>
      <c r="K460">
        <v>0.40870000000000001</v>
      </c>
      <c r="L460">
        <v>0.29360000000000003</v>
      </c>
      <c r="M460">
        <v>1.07</v>
      </c>
      <c r="N460">
        <v>1.3</v>
      </c>
      <c r="O460">
        <v>46.3</v>
      </c>
      <c r="P460">
        <v>16.899999999999999</v>
      </c>
      <c r="Q460">
        <v>1</v>
      </c>
      <c r="R460">
        <v>1</v>
      </c>
      <c r="S460">
        <v>1.17</v>
      </c>
      <c r="T460">
        <v>1.65</v>
      </c>
      <c r="U460">
        <v>1.27</v>
      </c>
      <c r="V460">
        <v>1.28</v>
      </c>
      <c r="W460">
        <v>1.05</v>
      </c>
      <c r="X460">
        <v>1.05</v>
      </c>
    </row>
    <row r="461" spans="2:24" hidden="1" x14ac:dyDescent="0.35">
      <c r="B461">
        <v>2017</v>
      </c>
      <c r="C461" s="1">
        <v>43023</v>
      </c>
      <c r="D461">
        <v>2411</v>
      </c>
      <c r="E461" t="s">
        <v>23</v>
      </c>
      <c r="F461" t="s">
        <v>34</v>
      </c>
      <c r="G461" t="s">
        <v>46</v>
      </c>
      <c r="H461">
        <v>61.43</v>
      </c>
      <c r="I461">
        <v>55.36</v>
      </c>
      <c r="J461">
        <v>0.49990000000000001</v>
      </c>
      <c r="K461">
        <v>0.21460000000000001</v>
      </c>
      <c r="L461">
        <v>0.28539999999999999</v>
      </c>
      <c r="M461">
        <v>1.44</v>
      </c>
      <c r="N461">
        <v>0.84</v>
      </c>
      <c r="O461">
        <v>26.1</v>
      </c>
      <c r="P461">
        <v>27.4</v>
      </c>
      <c r="Q461">
        <v>2</v>
      </c>
      <c r="R461">
        <v>2</v>
      </c>
      <c r="S461">
        <v>1.92</v>
      </c>
      <c r="T461">
        <v>1.1299999999999999</v>
      </c>
      <c r="U461">
        <v>1.39</v>
      </c>
      <c r="V461">
        <v>1.07</v>
      </c>
      <c r="W461">
        <v>2.1</v>
      </c>
      <c r="X461">
        <v>2.1</v>
      </c>
    </row>
    <row r="462" spans="2:24" hidden="1" x14ac:dyDescent="0.35">
      <c r="B462">
        <v>2017</v>
      </c>
      <c r="C462" s="1">
        <v>43024</v>
      </c>
      <c r="D462">
        <v>2411</v>
      </c>
      <c r="E462" t="s">
        <v>23</v>
      </c>
      <c r="F462" t="s">
        <v>25</v>
      </c>
      <c r="G462" t="s">
        <v>31</v>
      </c>
      <c r="H462">
        <v>61.62</v>
      </c>
      <c r="I462">
        <v>54.29</v>
      </c>
      <c r="J462">
        <v>0.51629999999999998</v>
      </c>
      <c r="K462">
        <v>0.21179999999999999</v>
      </c>
      <c r="L462">
        <v>0.27200000000000002</v>
      </c>
      <c r="M462">
        <v>1.55</v>
      </c>
      <c r="N462">
        <v>0.89</v>
      </c>
      <c r="O462">
        <v>23.9</v>
      </c>
      <c r="P462">
        <v>28.3</v>
      </c>
      <c r="Q462">
        <v>1</v>
      </c>
      <c r="R462">
        <v>1</v>
      </c>
      <c r="S462">
        <v>1.21</v>
      </c>
      <c r="T462">
        <v>0.25</v>
      </c>
      <c r="U462">
        <v>1.08</v>
      </c>
      <c r="V462">
        <v>0.41</v>
      </c>
      <c r="W462">
        <v>1.05</v>
      </c>
      <c r="X462">
        <v>1.05</v>
      </c>
    </row>
    <row r="463" spans="2:24" hidden="1" x14ac:dyDescent="0.35">
      <c r="B463">
        <v>2017</v>
      </c>
      <c r="C463" s="1">
        <v>43028</v>
      </c>
      <c r="D463">
        <v>2411</v>
      </c>
      <c r="E463" t="s">
        <v>23</v>
      </c>
      <c r="F463" t="s">
        <v>43</v>
      </c>
      <c r="G463" t="s">
        <v>45</v>
      </c>
      <c r="H463">
        <v>59.17</v>
      </c>
      <c r="I463">
        <v>47.98</v>
      </c>
      <c r="J463">
        <v>0.55379999999999996</v>
      </c>
      <c r="K463">
        <v>0.17630000000000001</v>
      </c>
      <c r="L463">
        <v>0.27</v>
      </c>
      <c r="M463">
        <v>1.56</v>
      </c>
      <c r="N463">
        <v>0.76</v>
      </c>
      <c r="O463">
        <v>31</v>
      </c>
      <c r="P463">
        <v>41.2</v>
      </c>
      <c r="Q463">
        <v>0</v>
      </c>
      <c r="R463">
        <v>3</v>
      </c>
      <c r="S463">
        <v>0.71</v>
      </c>
      <c r="T463">
        <v>1.85</v>
      </c>
      <c r="U463">
        <v>1.66</v>
      </c>
      <c r="V463">
        <v>0.85</v>
      </c>
      <c r="W463">
        <v>0</v>
      </c>
      <c r="X463">
        <v>3.02</v>
      </c>
    </row>
    <row r="464" spans="2:24" hidden="1" x14ac:dyDescent="0.35">
      <c r="B464">
        <v>2017</v>
      </c>
      <c r="C464" s="1">
        <v>43029</v>
      </c>
      <c r="D464">
        <v>2411</v>
      </c>
      <c r="E464" t="s">
        <v>23</v>
      </c>
      <c r="F464" t="s">
        <v>42</v>
      </c>
      <c r="G464" t="s">
        <v>35</v>
      </c>
      <c r="H464">
        <v>82.15</v>
      </c>
      <c r="I464">
        <v>58.23</v>
      </c>
      <c r="J464">
        <v>0.76370000000000005</v>
      </c>
      <c r="K464">
        <v>7.5600000000000001E-2</v>
      </c>
      <c r="L464">
        <v>0.16070000000000001</v>
      </c>
      <c r="M464">
        <v>2.4500000000000002</v>
      </c>
      <c r="N464">
        <v>0.64</v>
      </c>
      <c r="O464">
        <v>65.5</v>
      </c>
      <c r="P464">
        <v>11.9</v>
      </c>
      <c r="Q464">
        <v>4</v>
      </c>
      <c r="R464">
        <v>2</v>
      </c>
      <c r="S464">
        <v>1.92</v>
      </c>
      <c r="T464">
        <v>1.83</v>
      </c>
      <c r="U464">
        <v>1.52</v>
      </c>
      <c r="V464">
        <v>2.3199999999999998</v>
      </c>
      <c r="W464">
        <v>3.68</v>
      </c>
      <c r="X464">
        <v>2.1</v>
      </c>
    </row>
    <row r="465" spans="2:24" hidden="1" x14ac:dyDescent="0.35">
      <c r="B465">
        <v>2017</v>
      </c>
      <c r="C465" s="1">
        <v>43029</v>
      </c>
      <c r="D465">
        <v>2411</v>
      </c>
      <c r="E465" t="s">
        <v>23</v>
      </c>
      <c r="F465" t="s">
        <v>33</v>
      </c>
      <c r="G465" t="s">
        <v>25</v>
      </c>
      <c r="H465">
        <v>54.99</v>
      </c>
      <c r="I465">
        <v>61.37</v>
      </c>
      <c r="J465">
        <v>0.37619999999999998</v>
      </c>
      <c r="K465">
        <v>0.3337</v>
      </c>
      <c r="L465">
        <v>0.29010000000000002</v>
      </c>
      <c r="M465">
        <v>1.27</v>
      </c>
      <c r="N465">
        <v>1.18</v>
      </c>
      <c r="O465">
        <v>39.5</v>
      </c>
      <c r="P465">
        <v>29.3</v>
      </c>
      <c r="Q465">
        <v>1</v>
      </c>
      <c r="R465">
        <v>2</v>
      </c>
      <c r="S465">
        <v>0.71</v>
      </c>
      <c r="T465">
        <v>1.9</v>
      </c>
      <c r="U465">
        <v>1.25</v>
      </c>
      <c r="V465">
        <v>1.21</v>
      </c>
      <c r="W465">
        <v>1.05</v>
      </c>
      <c r="X465">
        <v>2.1</v>
      </c>
    </row>
    <row r="466" spans="2:24" hidden="1" x14ac:dyDescent="0.35">
      <c r="B466">
        <v>2017</v>
      </c>
      <c r="C466" s="1">
        <v>43029</v>
      </c>
      <c r="D466">
        <v>2411</v>
      </c>
      <c r="E466" t="s">
        <v>23</v>
      </c>
      <c r="F466" t="s">
        <v>46</v>
      </c>
      <c r="G466" t="s">
        <v>30</v>
      </c>
      <c r="H466">
        <v>55.86</v>
      </c>
      <c r="I466">
        <v>55.99</v>
      </c>
      <c r="J466">
        <v>0.44</v>
      </c>
      <c r="K466">
        <v>0.27839999999999998</v>
      </c>
      <c r="L466">
        <v>0.28160000000000002</v>
      </c>
      <c r="M466">
        <v>1.43</v>
      </c>
      <c r="N466">
        <v>1.08</v>
      </c>
      <c r="O466">
        <v>31</v>
      </c>
      <c r="P466">
        <v>43.3</v>
      </c>
      <c r="Q466">
        <v>1</v>
      </c>
      <c r="R466">
        <v>0</v>
      </c>
      <c r="S466">
        <v>0.33</v>
      </c>
      <c r="T466">
        <v>0.54</v>
      </c>
      <c r="U466">
        <v>0.93</v>
      </c>
      <c r="V466">
        <v>0.99</v>
      </c>
      <c r="W466">
        <v>1.05</v>
      </c>
      <c r="X466">
        <v>0</v>
      </c>
    </row>
    <row r="467" spans="2:24" hidden="1" x14ac:dyDescent="0.35">
      <c r="B467">
        <v>2017</v>
      </c>
      <c r="C467" s="1">
        <v>43029</v>
      </c>
      <c r="D467">
        <v>2411</v>
      </c>
      <c r="E467" t="s">
        <v>23</v>
      </c>
      <c r="F467" t="s">
        <v>36</v>
      </c>
      <c r="G467" t="s">
        <v>32</v>
      </c>
      <c r="H467">
        <v>90.45</v>
      </c>
      <c r="I467">
        <v>59.63</v>
      </c>
      <c r="J467">
        <v>0.85360000000000003</v>
      </c>
      <c r="K467">
        <v>3.3399999999999999E-2</v>
      </c>
      <c r="L467">
        <v>0.113</v>
      </c>
      <c r="M467">
        <v>2.74</v>
      </c>
      <c r="N467">
        <v>0.39</v>
      </c>
      <c r="O467">
        <v>100</v>
      </c>
      <c r="P467">
        <v>9.4</v>
      </c>
      <c r="Q467">
        <v>3</v>
      </c>
      <c r="R467">
        <v>0</v>
      </c>
      <c r="S467">
        <v>3.77</v>
      </c>
      <c r="T467">
        <v>0.17</v>
      </c>
      <c r="U467">
        <v>2.19</v>
      </c>
      <c r="V467">
        <v>0.76</v>
      </c>
      <c r="W467">
        <v>2.96</v>
      </c>
      <c r="X467">
        <v>0</v>
      </c>
    </row>
    <row r="468" spans="2:24" hidden="1" x14ac:dyDescent="0.35">
      <c r="B468">
        <v>2017</v>
      </c>
      <c r="C468" s="1">
        <v>43029</v>
      </c>
      <c r="D468">
        <v>2411</v>
      </c>
      <c r="E468" t="s">
        <v>23</v>
      </c>
      <c r="F468" t="s">
        <v>44</v>
      </c>
      <c r="G468" t="s">
        <v>39</v>
      </c>
      <c r="H468">
        <v>45.27</v>
      </c>
      <c r="I468">
        <v>86.08</v>
      </c>
      <c r="J468">
        <v>8.8400000000000006E-2</v>
      </c>
      <c r="K468">
        <v>0.71619999999999995</v>
      </c>
      <c r="L468">
        <v>0.19539999999999999</v>
      </c>
      <c r="M468">
        <v>0.56999999999999995</v>
      </c>
      <c r="N468">
        <v>2.08</v>
      </c>
      <c r="O468">
        <v>49</v>
      </c>
      <c r="P468">
        <v>65.5</v>
      </c>
      <c r="Q468">
        <v>2</v>
      </c>
      <c r="R468">
        <v>1</v>
      </c>
      <c r="S468">
        <v>1.3</v>
      </c>
      <c r="T468">
        <v>0.84</v>
      </c>
      <c r="U468">
        <v>0.9</v>
      </c>
      <c r="V468">
        <v>1.92</v>
      </c>
      <c r="W468">
        <v>2.1</v>
      </c>
      <c r="X468">
        <v>1.05</v>
      </c>
    </row>
    <row r="469" spans="2:24" hidden="1" x14ac:dyDescent="0.35">
      <c r="B469">
        <v>2017</v>
      </c>
      <c r="C469" s="1">
        <v>43029</v>
      </c>
      <c r="D469">
        <v>2411</v>
      </c>
      <c r="E469" t="s">
        <v>23</v>
      </c>
      <c r="F469" t="s">
        <v>27</v>
      </c>
      <c r="G469" t="s">
        <v>38</v>
      </c>
      <c r="H469">
        <v>59.67</v>
      </c>
      <c r="I469">
        <v>54.6</v>
      </c>
      <c r="J469">
        <v>0.49840000000000001</v>
      </c>
      <c r="K469">
        <v>0.24160000000000001</v>
      </c>
      <c r="L469">
        <v>0.26</v>
      </c>
      <c r="M469">
        <v>1.66</v>
      </c>
      <c r="N469">
        <v>1.08</v>
      </c>
      <c r="O469">
        <v>25.5</v>
      </c>
      <c r="P469">
        <v>39.5</v>
      </c>
      <c r="Q469">
        <v>1</v>
      </c>
      <c r="R469">
        <v>2</v>
      </c>
      <c r="S469">
        <v>1.5</v>
      </c>
      <c r="T469">
        <v>1.02</v>
      </c>
      <c r="U469">
        <v>2.25</v>
      </c>
      <c r="V469">
        <v>0.45</v>
      </c>
      <c r="W469">
        <v>1.05</v>
      </c>
      <c r="X469">
        <v>2.1</v>
      </c>
    </row>
    <row r="470" spans="2:24" hidden="1" x14ac:dyDescent="0.35">
      <c r="B470">
        <v>2017</v>
      </c>
      <c r="C470" s="1">
        <v>43029</v>
      </c>
      <c r="D470">
        <v>2411</v>
      </c>
      <c r="E470" t="s">
        <v>23</v>
      </c>
      <c r="F470" t="s">
        <v>34</v>
      </c>
      <c r="G470" t="s">
        <v>31</v>
      </c>
      <c r="H470">
        <v>60.97</v>
      </c>
      <c r="I470">
        <v>54.54</v>
      </c>
      <c r="J470">
        <v>0.50209999999999999</v>
      </c>
      <c r="K470">
        <v>0.20960000000000001</v>
      </c>
      <c r="L470">
        <v>0.2883</v>
      </c>
      <c r="M470">
        <v>1.42</v>
      </c>
      <c r="N470">
        <v>0.81</v>
      </c>
      <c r="O470">
        <v>30.3</v>
      </c>
      <c r="P470">
        <v>31.1</v>
      </c>
      <c r="Q470">
        <v>1</v>
      </c>
      <c r="R470">
        <v>0</v>
      </c>
      <c r="S470">
        <v>1.91</v>
      </c>
      <c r="T470">
        <v>0.43</v>
      </c>
      <c r="U470">
        <v>2.0099999999999998</v>
      </c>
      <c r="V470">
        <v>0.31</v>
      </c>
      <c r="W470">
        <v>1.05</v>
      </c>
      <c r="X470">
        <v>0</v>
      </c>
    </row>
    <row r="471" spans="2:24" hidden="1" x14ac:dyDescent="0.35">
      <c r="B471">
        <v>2017</v>
      </c>
      <c r="C471" s="1">
        <v>43030</v>
      </c>
      <c r="D471">
        <v>2411</v>
      </c>
      <c r="E471" t="s">
        <v>23</v>
      </c>
      <c r="F471" t="s">
        <v>28</v>
      </c>
      <c r="G471" t="s">
        <v>40</v>
      </c>
      <c r="H471">
        <v>62.09</v>
      </c>
      <c r="I471">
        <v>77.900000000000006</v>
      </c>
      <c r="J471">
        <v>0.27929999999999999</v>
      </c>
      <c r="K471">
        <v>0.47539999999999999</v>
      </c>
      <c r="L471">
        <v>0.2452</v>
      </c>
      <c r="M471">
        <v>1.34</v>
      </c>
      <c r="N471">
        <v>1.8</v>
      </c>
      <c r="O471">
        <v>15.7</v>
      </c>
      <c r="P471">
        <v>54.4</v>
      </c>
      <c r="Q471">
        <v>2</v>
      </c>
      <c r="R471">
        <v>5</v>
      </c>
      <c r="S471">
        <v>0.83</v>
      </c>
      <c r="T471">
        <v>4.24</v>
      </c>
      <c r="U471">
        <v>0.63</v>
      </c>
      <c r="V471">
        <v>3.29</v>
      </c>
      <c r="W471">
        <v>2.1</v>
      </c>
      <c r="X471">
        <v>3.31</v>
      </c>
    </row>
    <row r="472" spans="2:24" hidden="1" x14ac:dyDescent="0.35">
      <c r="B472">
        <v>2017</v>
      </c>
      <c r="C472" s="1">
        <v>43030</v>
      </c>
      <c r="D472">
        <v>2411</v>
      </c>
      <c r="E472" t="s">
        <v>23</v>
      </c>
      <c r="F472" t="s">
        <v>29</v>
      </c>
      <c r="G472" t="s">
        <v>41</v>
      </c>
      <c r="H472">
        <v>83.42</v>
      </c>
      <c r="I472">
        <v>81.11</v>
      </c>
      <c r="J472">
        <v>0.49030000000000001</v>
      </c>
      <c r="K472">
        <v>0.25659999999999999</v>
      </c>
      <c r="L472">
        <v>0.253</v>
      </c>
      <c r="M472">
        <v>1.72</v>
      </c>
      <c r="N472">
        <v>1.18</v>
      </c>
      <c r="O472">
        <v>69.2</v>
      </c>
      <c r="P472">
        <v>77.099999999999994</v>
      </c>
      <c r="Q472">
        <v>4</v>
      </c>
      <c r="R472">
        <v>1</v>
      </c>
      <c r="S472">
        <v>2.95</v>
      </c>
      <c r="T472">
        <v>0.78</v>
      </c>
      <c r="U472">
        <v>0.63</v>
      </c>
      <c r="V472">
        <v>0.83</v>
      </c>
      <c r="W472">
        <v>4.2</v>
      </c>
      <c r="X472">
        <v>1.05</v>
      </c>
    </row>
    <row r="473" spans="2:24" hidden="1" x14ac:dyDescent="0.35">
      <c r="B473">
        <v>2017</v>
      </c>
      <c r="C473" s="1">
        <v>43036</v>
      </c>
      <c r="D473">
        <v>2411</v>
      </c>
      <c r="E473" t="s">
        <v>23</v>
      </c>
      <c r="F473" t="s">
        <v>39</v>
      </c>
      <c r="G473" t="s">
        <v>29</v>
      </c>
      <c r="H473">
        <v>84.39</v>
      </c>
      <c r="I473">
        <v>84.51</v>
      </c>
      <c r="J473">
        <v>0.44319999999999998</v>
      </c>
      <c r="K473">
        <v>0.28520000000000001</v>
      </c>
      <c r="L473">
        <v>0.2717</v>
      </c>
      <c r="M473">
        <v>1.51</v>
      </c>
      <c r="N473">
        <v>1.1599999999999999</v>
      </c>
      <c r="O473">
        <v>61.8</v>
      </c>
      <c r="P473">
        <v>50.4</v>
      </c>
      <c r="Q473">
        <v>1</v>
      </c>
      <c r="R473">
        <v>0</v>
      </c>
      <c r="S473">
        <v>1.04</v>
      </c>
      <c r="T473">
        <v>1.08</v>
      </c>
      <c r="U473">
        <v>0.9</v>
      </c>
      <c r="V473">
        <v>1.1399999999999999</v>
      </c>
      <c r="W473">
        <v>1.05</v>
      </c>
      <c r="X473">
        <v>0</v>
      </c>
    </row>
    <row r="474" spans="2:24" hidden="1" x14ac:dyDescent="0.35">
      <c r="B474">
        <v>2017</v>
      </c>
      <c r="C474" s="1">
        <v>43036</v>
      </c>
      <c r="D474">
        <v>2411</v>
      </c>
      <c r="E474" t="s">
        <v>23</v>
      </c>
      <c r="F474" t="s">
        <v>30</v>
      </c>
      <c r="G474" t="s">
        <v>43</v>
      </c>
      <c r="H474">
        <v>55.88</v>
      </c>
      <c r="I474">
        <v>56.05</v>
      </c>
      <c r="J474">
        <v>0.44159999999999999</v>
      </c>
      <c r="K474">
        <v>0.28349999999999997</v>
      </c>
      <c r="L474">
        <v>0.27489999999999998</v>
      </c>
      <c r="M474">
        <v>1.48</v>
      </c>
      <c r="N474">
        <v>1.1299999999999999</v>
      </c>
      <c r="O474">
        <v>52.8</v>
      </c>
      <c r="P474">
        <v>42</v>
      </c>
      <c r="Q474">
        <v>2</v>
      </c>
      <c r="R474">
        <v>2</v>
      </c>
      <c r="S474">
        <v>2.2400000000000002</v>
      </c>
      <c r="T474">
        <v>0.91</v>
      </c>
      <c r="U474">
        <v>2.33</v>
      </c>
      <c r="V474">
        <v>1.04</v>
      </c>
      <c r="W474">
        <v>2.1</v>
      </c>
      <c r="X474">
        <v>2.1</v>
      </c>
    </row>
    <row r="475" spans="2:24" hidden="1" x14ac:dyDescent="0.35">
      <c r="B475">
        <v>2017</v>
      </c>
      <c r="C475" s="1">
        <v>43036</v>
      </c>
      <c r="D475">
        <v>2411</v>
      </c>
      <c r="E475" t="s">
        <v>23</v>
      </c>
      <c r="F475" t="s">
        <v>41</v>
      </c>
      <c r="G475" t="s">
        <v>44</v>
      </c>
      <c r="H475">
        <v>80.02</v>
      </c>
      <c r="I475">
        <v>48.01</v>
      </c>
      <c r="J475">
        <v>0.81620000000000004</v>
      </c>
      <c r="K475">
        <v>4.3900000000000002E-2</v>
      </c>
      <c r="L475">
        <v>0.1399</v>
      </c>
      <c r="M475">
        <v>2.46</v>
      </c>
      <c r="N475">
        <v>0.41</v>
      </c>
      <c r="O475">
        <v>61.7</v>
      </c>
      <c r="P475">
        <v>41.2</v>
      </c>
      <c r="Q475">
        <v>3</v>
      </c>
      <c r="R475">
        <v>0</v>
      </c>
      <c r="S475">
        <v>2.36</v>
      </c>
      <c r="T475">
        <v>0.06</v>
      </c>
      <c r="U475">
        <v>2.17</v>
      </c>
      <c r="V475">
        <v>0.03</v>
      </c>
      <c r="W475">
        <v>3.03</v>
      </c>
      <c r="X475">
        <v>0</v>
      </c>
    </row>
    <row r="476" spans="2:24" hidden="1" x14ac:dyDescent="0.35">
      <c r="B476">
        <v>2017</v>
      </c>
      <c r="C476" s="1">
        <v>43036</v>
      </c>
      <c r="D476">
        <v>2411</v>
      </c>
      <c r="E476" t="s">
        <v>23</v>
      </c>
      <c r="F476" t="s">
        <v>40</v>
      </c>
      <c r="G476" t="s">
        <v>33</v>
      </c>
      <c r="H476">
        <v>79.42</v>
      </c>
      <c r="I476">
        <v>53.96</v>
      </c>
      <c r="J476">
        <v>0.76419999999999999</v>
      </c>
      <c r="K476">
        <v>7.4800000000000005E-2</v>
      </c>
      <c r="L476">
        <v>0.161</v>
      </c>
      <c r="M476">
        <v>2.44</v>
      </c>
      <c r="N476">
        <v>0.63</v>
      </c>
      <c r="O476">
        <v>63.9</v>
      </c>
      <c r="P476">
        <v>37.6</v>
      </c>
      <c r="Q476">
        <v>2</v>
      </c>
      <c r="R476">
        <v>1</v>
      </c>
      <c r="S476">
        <v>2.54</v>
      </c>
      <c r="T476">
        <v>0.86</v>
      </c>
      <c r="U476">
        <v>2.62</v>
      </c>
      <c r="V476">
        <v>0.56999999999999995</v>
      </c>
      <c r="W476">
        <v>2.1</v>
      </c>
      <c r="X476">
        <v>1.05</v>
      </c>
    </row>
    <row r="477" spans="2:24" hidden="1" x14ac:dyDescent="0.35">
      <c r="B477">
        <v>2017</v>
      </c>
      <c r="C477" s="1">
        <v>43036</v>
      </c>
      <c r="D477">
        <v>2411</v>
      </c>
      <c r="E477" t="s">
        <v>23</v>
      </c>
      <c r="F477" t="s">
        <v>31</v>
      </c>
      <c r="G477" t="s">
        <v>36</v>
      </c>
      <c r="H477">
        <v>53.6</v>
      </c>
      <c r="I477">
        <v>90.78</v>
      </c>
      <c r="J477">
        <v>8.9899999999999994E-2</v>
      </c>
      <c r="K477">
        <v>0.73880000000000001</v>
      </c>
      <c r="L477">
        <v>0.17130000000000001</v>
      </c>
      <c r="M477">
        <v>0.71</v>
      </c>
      <c r="N477">
        <v>2.4</v>
      </c>
      <c r="O477">
        <v>36.299999999999997</v>
      </c>
      <c r="P477">
        <v>70.900000000000006</v>
      </c>
      <c r="Q477">
        <v>2</v>
      </c>
      <c r="R477">
        <v>3</v>
      </c>
      <c r="S477">
        <v>1.18</v>
      </c>
      <c r="T477">
        <v>1.82</v>
      </c>
      <c r="U477">
        <v>0.63</v>
      </c>
      <c r="V477">
        <v>2.93</v>
      </c>
      <c r="W477">
        <v>2.1</v>
      </c>
      <c r="X477">
        <v>3.15</v>
      </c>
    </row>
    <row r="478" spans="2:24" hidden="1" x14ac:dyDescent="0.35">
      <c r="B478">
        <v>2017</v>
      </c>
      <c r="C478" s="1">
        <v>43036</v>
      </c>
      <c r="D478">
        <v>2411</v>
      </c>
      <c r="E478" t="s">
        <v>23</v>
      </c>
      <c r="F478" t="s">
        <v>35</v>
      </c>
      <c r="G478" t="s">
        <v>27</v>
      </c>
      <c r="H478">
        <v>59.82</v>
      </c>
      <c r="I478">
        <v>59.07</v>
      </c>
      <c r="J478">
        <v>0.4556</v>
      </c>
      <c r="K478">
        <v>0.28639999999999999</v>
      </c>
      <c r="L478">
        <v>0.25800000000000001</v>
      </c>
      <c r="M478">
        <v>1.65</v>
      </c>
      <c r="N478">
        <v>1.26</v>
      </c>
      <c r="O478">
        <v>10.5</v>
      </c>
      <c r="P478">
        <v>28.2</v>
      </c>
      <c r="Q478">
        <v>0</v>
      </c>
      <c r="R478">
        <v>1</v>
      </c>
      <c r="S478">
        <v>1.29</v>
      </c>
      <c r="T478">
        <v>0.34</v>
      </c>
      <c r="U478">
        <v>2.56</v>
      </c>
      <c r="V478">
        <v>0.64</v>
      </c>
      <c r="W478">
        <v>0</v>
      </c>
      <c r="X478">
        <v>1.05</v>
      </c>
    </row>
    <row r="479" spans="2:24" hidden="1" x14ac:dyDescent="0.35">
      <c r="B479">
        <v>2017</v>
      </c>
      <c r="C479" s="1">
        <v>43036</v>
      </c>
      <c r="D479">
        <v>2411</v>
      </c>
      <c r="E479" t="s">
        <v>23</v>
      </c>
      <c r="F479" t="s">
        <v>38</v>
      </c>
      <c r="G479" t="s">
        <v>42</v>
      </c>
      <c r="H479">
        <v>55.19</v>
      </c>
      <c r="I479">
        <v>81.180000000000007</v>
      </c>
      <c r="J479">
        <v>0.18759999999999999</v>
      </c>
      <c r="K479">
        <v>0.5907</v>
      </c>
      <c r="L479">
        <v>0.22170000000000001</v>
      </c>
      <c r="M479">
        <v>1.08</v>
      </c>
      <c r="N479">
        <v>2.0699999999999998</v>
      </c>
      <c r="O479">
        <v>38</v>
      </c>
      <c r="P479">
        <v>60.9</v>
      </c>
      <c r="Q479">
        <v>0</v>
      </c>
      <c r="R479">
        <v>1</v>
      </c>
      <c r="S479">
        <v>0.53</v>
      </c>
      <c r="T479">
        <v>1.94</v>
      </c>
      <c r="U479">
        <v>1.28</v>
      </c>
      <c r="V479">
        <v>3.4</v>
      </c>
      <c r="W479">
        <v>0</v>
      </c>
      <c r="X479">
        <v>1.05</v>
      </c>
    </row>
    <row r="480" spans="2:24" hidden="1" x14ac:dyDescent="0.35">
      <c r="B480">
        <v>2017</v>
      </c>
      <c r="C480" s="1">
        <v>43037</v>
      </c>
      <c r="D480">
        <v>2411</v>
      </c>
      <c r="E480" t="s">
        <v>23</v>
      </c>
      <c r="F480" t="s">
        <v>45</v>
      </c>
      <c r="G480" t="s">
        <v>34</v>
      </c>
      <c r="H480">
        <v>50.99</v>
      </c>
      <c r="I480">
        <v>61.89</v>
      </c>
      <c r="J480">
        <v>0.32869999999999999</v>
      </c>
      <c r="K480">
        <v>0.36399999999999999</v>
      </c>
      <c r="L480">
        <v>0.30740000000000001</v>
      </c>
      <c r="M480">
        <v>1.07</v>
      </c>
      <c r="N480">
        <v>1.1399999999999999</v>
      </c>
      <c r="O480">
        <v>43.9</v>
      </c>
      <c r="P480">
        <v>20.2</v>
      </c>
      <c r="Q480">
        <v>1</v>
      </c>
      <c r="R480">
        <v>1</v>
      </c>
      <c r="S480">
        <v>1.64</v>
      </c>
      <c r="T480">
        <v>0.63</v>
      </c>
      <c r="U480">
        <v>1.35</v>
      </c>
      <c r="V480">
        <v>0.38</v>
      </c>
      <c r="W480">
        <v>1.05</v>
      </c>
      <c r="X480">
        <v>1.05</v>
      </c>
    </row>
    <row r="481" spans="2:24" hidden="1" x14ac:dyDescent="0.35">
      <c r="B481">
        <v>2017</v>
      </c>
      <c r="C481" s="1">
        <v>43037</v>
      </c>
      <c r="D481">
        <v>2411</v>
      </c>
      <c r="E481" t="s">
        <v>23</v>
      </c>
      <c r="F481" t="s">
        <v>25</v>
      </c>
      <c r="G481" t="s">
        <v>28</v>
      </c>
      <c r="H481">
        <v>62.41</v>
      </c>
      <c r="I481">
        <v>60.41</v>
      </c>
      <c r="J481">
        <v>0.46779999999999999</v>
      </c>
      <c r="K481">
        <v>0.2707</v>
      </c>
      <c r="L481">
        <v>0.26150000000000001</v>
      </c>
      <c r="M481">
        <v>1.62</v>
      </c>
      <c r="N481">
        <v>1.18</v>
      </c>
      <c r="O481">
        <v>21.3</v>
      </c>
      <c r="P481">
        <v>22.6</v>
      </c>
      <c r="Q481">
        <v>2</v>
      </c>
      <c r="R481">
        <v>0</v>
      </c>
      <c r="S481">
        <v>1.44</v>
      </c>
      <c r="T481">
        <v>0.72</v>
      </c>
      <c r="U481">
        <v>0.64</v>
      </c>
      <c r="V481">
        <v>1.41</v>
      </c>
      <c r="W481">
        <v>2.1</v>
      </c>
      <c r="X481">
        <v>0</v>
      </c>
    </row>
    <row r="482" spans="2:24" hidden="1" x14ac:dyDescent="0.35">
      <c r="B482">
        <v>2017</v>
      </c>
      <c r="C482" s="1">
        <v>43038</v>
      </c>
      <c r="D482">
        <v>2411</v>
      </c>
      <c r="E482" t="s">
        <v>23</v>
      </c>
      <c r="F482" t="s">
        <v>32</v>
      </c>
      <c r="G482" t="s">
        <v>46</v>
      </c>
      <c r="H482">
        <v>58.94</v>
      </c>
      <c r="I482">
        <v>55.98</v>
      </c>
      <c r="J482">
        <v>0.46660000000000001</v>
      </c>
      <c r="K482">
        <v>0.2387</v>
      </c>
      <c r="L482">
        <v>0.29470000000000002</v>
      </c>
      <c r="M482">
        <v>1.36</v>
      </c>
      <c r="N482">
        <v>0.89</v>
      </c>
      <c r="O482">
        <v>16.8</v>
      </c>
      <c r="P482">
        <v>19.600000000000001</v>
      </c>
      <c r="Q482">
        <v>1</v>
      </c>
      <c r="R482">
        <v>0</v>
      </c>
      <c r="S482">
        <v>1.1200000000000001</v>
      </c>
      <c r="T482">
        <v>0.48</v>
      </c>
      <c r="U482">
        <v>1.2</v>
      </c>
      <c r="V482">
        <v>1.22</v>
      </c>
      <c r="W482">
        <v>1.05</v>
      </c>
      <c r="X482">
        <v>0</v>
      </c>
    </row>
    <row r="483" spans="2:24" hidden="1" x14ac:dyDescent="0.35">
      <c r="B483">
        <v>2017</v>
      </c>
      <c r="C483" s="1">
        <v>43043</v>
      </c>
      <c r="D483">
        <v>2411</v>
      </c>
      <c r="E483" t="s">
        <v>23</v>
      </c>
      <c r="F483" t="s">
        <v>27</v>
      </c>
      <c r="G483" t="s">
        <v>25</v>
      </c>
      <c r="H483">
        <v>59.25</v>
      </c>
      <c r="I483">
        <v>63.02</v>
      </c>
      <c r="J483">
        <v>0.40560000000000002</v>
      </c>
      <c r="K483">
        <v>0.3231</v>
      </c>
      <c r="L483">
        <v>0.27129999999999999</v>
      </c>
      <c r="M483">
        <v>1.46</v>
      </c>
      <c r="N483">
        <v>1.28</v>
      </c>
      <c r="O483">
        <v>22.7</v>
      </c>
      <c r="P483">
        <v>12.7</v>
      </c>
      <c r="Q483">
        <v>2</v>
      </c>
      <c r="R483">
        <v>2</v>
      </c>
      <c r="S483">
        <v>1.34</v>
      </c>
      <c r="T483">
        <v>1.44</v>
      </c>
      <c r="U483">
        <v>1.62</v>
      </c>
      <c r="V483">
        <v>1.04</v>
      </c>
      <c r="W483">
        <v>2.1</v>
      </c>
      <c r="X483">
        <v>2.1</v>
      </c>
    </row>
    <row r="484" spans="2:24" hidden="1" x14ac:dyDescent="0.35">
      <c r="B484">
        <v>2017</v>
      </c>
      <c r="C484" s="1">
        <v>43043</v>
      </c>
      <c r="D484">
        <v>2411</v>
      </c>
      <c r="E484" t="s">
        <v>23</v>
      </c>
      <c r="F484" t="s">
        <v>44</v>
      </c>
      <c r="G484" t="s">
        <v>31</v>
      </c>
      <c r="H484">
        <v>46.99</v>
      </c>
      <c r="I484">
        <v>54.83</v>
      </c>
      <c r="J484">
        <v>0.35370000000000001</v>
      </c>
      <c r="K484">
        <v>0.32219999999999999</v>
      </c>
      <c r="L484">
        <v>0.3241</v>
      </c>
      <c r="M484">
        <v>1.04</v>
      </c>
      <c r="N484">
        <v>0.98</v>
      </c>
      <c r="O484">
        <v>51.4</v>
      </c>
      <c r="P484">
        <v>44.4</v>
      </c>
      <c r="Q484">
        <v>1</v>
      </c>
      <c r="R484">
        <v>0</v>
      </c>
      <c r="S484">
        <v>0.28999999999999998</v>
      </c>
      <c r="T484">
        <v>0.28000000000000003</v>
      </c>
      <c r="U484">
        <v>0.15</v>
      </c>
      <c r="V484">
        <v>1.03</v>
      </c>
      <c r="W484">
        <v>1.05</v>
      </c>
      <c r="X484">
        <v>0</v>
      </c>
    </row>
    <row r="485" spans="2:24" hidden="1" x14ac:dyDescent="0.35">
      <c r="B485">
        <v>2017</v>
      </c>
      <c r="C485" s="1">
        <v>43043</v>
      </c>
      <c r="D485">
        <v>2411</v>
      </c>
      <c r="E485" t="s">
        <v>23</v>
      </c>
      <c r="F485" t="s">
        <v>34</v>
      </c>
      <c r="G485" t="s">
        <v>32</v>
      </c>
      <c r="H485">
        <v>61.2</v>
      </c>
      <c r="I485">
        <v>59.21</v>
      </c>
      <c r="J485">
        <v>0.45669999999999999</v>
      </c>
      <c r="K485">
        <v>0.2472</v>
      </c>
      <c r="L485">
        <v>0.29609999999999997</v>
      </c>
      <c r="M485">
        <v>1.34</v>
      </c>
      <c r="N485">
        <v>0.91</v>
      </c>
      <c r="O485">
        <v>25.2</v>
      </c>
      <c r="P485">
        <v>9.1</v>
      </c>
      <c r="Q485">
        <v>0</v>
      </c>
      <c r="R485">
        <v>1</v>
      </c>
      <c r="S485">
        <v>0.89</v>
      </c>
      <c r="T485">
        <v>0.16</v>
      </c>
      <c r="U485">
        <v>1.53</v>
      </c>
      <c r="V485">
        <v>0.47</v>
      </c>
      <c r="W485">
        <v>0</v>
      </c>
      <c r="X485">
        <v>1.05</v>
      </c>
    </row>
    <row r="486" spans="2:24" hidden="1" x14ac:dyDescent="0.35">
      <c r="B486">
        <v>2017</v>
      </c>
      <c r="C486" s="1">
        <v>43043</v>
      </c>
      <c r="D486">
        <v>2411</v>
      </c>
      <c r="E486" t="s">
        <v>23</v>
      </c>
      <c r="F486" t="s">
        <v>33</v>
      </c>
      <c r="G486" t="s">
        <v>45</v>
      </c>
      <c r="H486">
        <v>54.19</v>
      </c>
      <c r="I486">
        <v>51.7</v>
      </c>
      <c r="J486">
        <v>0.45900000000000002</v>
      </c>
      <c r="K486">
        <v>0.2361</v>
      </c>
      <c r="L486">
        <v>0.3049</v>
      </c>
      <c r="M486">
        <v>1.29</v>
      </c>
      <c r="N486">
        <v>0.84</v>
      </c>
      <c r="O486">
        <v>44.7</v>
      </c>
      <c r="P486">
        <v>42.3</v>
      </c>
      <c r="Q486">
        <v>0</v>
      </c>
      <c r="R486">
        <v>1</v>
      </c>
      <c r="S486">
        <v>1.56</v>
      </c>
      <c r="T486">
        <v>0.8</v>
      </c>
      <c r="U486">
        <v>1.54</v>
      </c>
      <c r="V486">
        <v>0.46</v>
      </c>
      <c r="W486">
        <v>0</v>
      </c>
      <c r="X486">
        <v>1.05</v>
      </c>
    </row>
    <row r="487" spans="2:24" hidden="1" x14ac:dyDescent="0.35">
      <c r="B487">
        <v>2017</v>
      </c>
      <c r="C487" s="1">
        <v>43043</v>
      </c>
      <c r="D487">
        <v>2411</v>
      </c>
      <c r="E487" t="s">
        <v>23</v>
      </c>
      <c r="F487" t="s">
        <v>46</v>
      </c>
      <c r="G487" t="s">
        <v>38</v>
      </c>
      <c r="H487">
        <v>55.7</v>
      </c>
      <c r="I487">
        <v>54.43</v>
      </c>
      <c r="J487">
        <v>0.45069999999999999</v>
      </c>
      <c r="K487">
        <v>0.25779999999999997</v>
      </c>
      <c r="L487">
        <v>0.29149999999999998</v>
      </c>
      <c r="M487">
        <v>1.37</v>
      </c>
      <c r="N487">
        <v>0.96</v>
      </c>
      <c r="O487">
        <v>32.5</v>
      </c>
      <c r="P487">
        <v>42.8</v>
      </c>
      <c r="Q487">
        <v>0</v>
      </c>
      <c r="R487">
        <v>1</v>
      </c>
      <c r="S487">
        <v>0.78</v>
      </c>
      <c r="T487">
        <v>1.61</v>
      </c>
      <c r="U487">
        <v>1.37</v>
      </c>
      <c r="V487">
        <v>1.48</v>
      </c>
      <c r="W487">
        <v>0</v>
      </c>
      <c r="X487">
        <v>1.05</v>
      </c>
    </row>
    <row r="488" spans="2:24" hidden="1" x14ac:dyDescent="0.35">
      <c r="B488">
        <v>2017</v>
      </c>
      <c r="C488" s="1">
        <v>43043</v>
      </c>
      <c r="D488">
        <v>2411</v>
      </c>
      <c r="E488" t="s">
        <v>23</v>
      </c>
      <c r="F488" t="s">
        <v>43</v>
      </c>
      <c r="G488" t="s">
        <v>41</v>
      </c>
      <c r="H488">
        <v>55.69</v>
      </c>
      <c r="I488">
        <v>81.209999999999994</v>
      </c>
      <c r="J488">
        <v>0.18970000000000001</v>
      </c>
      <c r="K488">
        <v>0.59330000000000005</v>
      </c>
      <c r="L488">
        <v>0.217</v>
      </c>
      <c r="M488">
        <v>1.1299999999999999</v>
      </c>
      <c r="N488">
        <v>2.14</v>
      </c>
      <c r="O488">
        <v>38.299999999999997</v>
      </c>
      <c r="P488">
        <v>65.900000000000006</v>
      </c>
      <c r="Q488">
        <v>1</v>
      </c>
      <c r="R488">
        <v>4</v>
      </c>
      <c r="S488">
        <v>1.28</v>
      </c>
      <c r="T488">
        <v>2.89</v>
      </c>
      <c r="U488">
        <v>1</v>
      </c>
      <c r="V488">
        <v>1.01</v>
      </c>
      <c r="W488">
        <v>1.05</v>
      </c>
      <c r="X488">
        <v>4.07</v>
      </c>
    </row>
    <row r="489" spans="2:24" hidden="1" x14ac:dyDescent="0.35">
      <c r="B489">
        <v>2017</v>
      </c>
      <c r="C489" s="1">
        <v>43044</v>
      </c>
      <c r="D489">
        <v>2411</v>
      </c>
      <c r="E489" t="s">
        <v>23</v>
      </c>
      <c r="F489" t="s">
        <v>29</v>
      </c>
      <c r="G489" t="s">
        <v>30</v>
      </c>
      <c r="H489">
        <v>84.88</v>
      </c>
      <c r="I489">
        <v>56.23</v>
      </c>
      <c r="J489">
        <v>0.81179999999999997</v>
      </c>
      <c r="K489">
        <v>4.7199999999999999E-2</v>
      </c>
      <c r="L489">
        <v>0.14099999999999999</v>
      </c>
      <c r="M489">
        <v>2.48</v>
      </c>
      <c r="N489">
        <v>0.44</v>
      </c>
      <c r="O489">
        <v>62.6</v>
      </c>
      <c r="P489">
        <v>42.6</v>
      </c>
      <c r="Q489">
        <v>1</v>
      </c>
      <c r="R489">
        <v>0</v>
      </c>
      <c r="S489">
        <v>1.43</v>
      </c>
      <c r="T489">
        <v>0.94</v>
      </c>
      <c r="U489">
        <v>1.27</v>
      </c>
      <c r="V489">
        <v>0.78</v>
      </c>
      <c r="W489">
        <v>1.05</v>
      </c>
      <c r="X489">
        <v>0</v>
      </c>
    </row>
    <row r="490" spans="2:24" hidden="1" x14ac:dyDescent="0.35">
      <c r="B490">
        <v>2017</v>
      </c>
      <c r="C490" s="1">
        <v>43044</v>
      </c>
      <c r="D490">
        <v>2411</v>
      </c>
      <c r="E490" t="s">
        <v>23</v>
      </c>
      <c r="F490" t="s">
        <v>36</v>
      </c>
      <c r="G490" t="s">
        <v>40</v>
      </c>
      <c r="H490">
        <v>90.78</v>
      </c>
      <c r="I490">
        <v>78.33</v>
      </c>
      <c r="J490">
        <v>0.66700000000000004</v>
      </c>
      <c r="K490">
        <v>0.14810000000000001</v>
      </c>
      <c r="L490">
        <v>0.185</v>
      </c>
      <c r="M490">
        <v>2.5099999999999998</v>
      </c>
      <c r="N490">
        <v>1.1200000000000001</v>
      </c>
      <c r="O490">
        <v>71.3</v>
      </c>
      <c r="P490">
        <v>66.3</v>
      </c>
      <c r="Q490">
        <v>3</v>
      </c>
      <c r="R490">
        <v>1</v>
      </c>
      <c r="S490">
        <v>2.08</v>
      </c>
      <c r="T490">
        <v>0.35</v>
      </c>
      <c r="U490">
        <v>1.34</v>
      </c>
      <c r="V490">
        <v>0.7</v>
      </c>
      <c r="W490">
        <v>3.05</v>
      </c>
      <c r="X490">
        <v>1.05</v>
      </c>
    </row>
    <row r="491" spans="2:24" hidden="1" x14ac:dyDescent="0.35">
      <c r="B491">
        <v>2017</v>
      </c>
      <c r="C491" s="1">
        <v>43044</v>
      </c>
      <c r="D491">
        <v>2411</v>
      </c>
      <c r="E491" t="s">
        <v>23</v>
      </c>
      <c r="F491" t="s">
        <v>28</v>
      </c>
      <c r="G491" t="s">
        <v>35</v>
      </c>
      <c r="H491">
        <v>59.07</v>
      </c>
      <c r="I491">
        <v>59.62</v>
      </c>
      <c r="J491">
        <v>0.43980000000000002</v>
      </c>
      <c r="K491">
        <v>0.29220000000000002</v>
      </c>
      <c r="L491">
        <v>0.26800000000000002</v>
      </c>
      <c r="M491">
        <v>1.54</v>
      </c>
      <c r="N491">
        <v>1.21</v>
      </c>
      <c r="O491">
        <v>29.4</v>
      </c>
      <c r="P491">
        <v>10.199999999999999</v>
      </c>
      <c r="Q491">
        <v>3</v>
      </c>
      <c r="R491">
        <v>2</v>
      </c>
      <c r="S491">
        <v>2.83</v>
      </c>
      <c r="T491">
        <v>1.71</v>
      </c>
      <c r="U491">
        <v>1.05</v>
      </c>
      <c r="V491">
        <v>1.74</v>
      </c>
      <c r="W491">
        <v>3.15</v>
      </c>
      <c r="X491">
        <v>2.1</v>
      </c>
    </row>
    <row r="492" spans="2:24" hidden="1" x14ac:dyDescent="0.35">
      <c r="B492">
        <v>2017</v>
      </c>
      <c r="C492" s="1">
        <v>43044</v>
      </c>
      <c r="D492">
        <v>2411</v>
      </c>
      <c r="E492" t="s">
        <v>23</v>
      </c>
      <c r="F492" t="s">
        <v>42</v>
      </c>
      <c r="G492" t="s">
        <v>39</v>
      </c>
      <c r="H492">
        <v>81.069999999999993</v>
      </c>
      <c r="I492">
        <v>84.54</v>
      </c>
      <c r="J492">
        <v>0.38629999999999998</v>
      </c>
      <c r="K492">
        <v>0.34889999999999999</v>
      </c>
      <c r="L492">
        <v>0.26479999999999998</v>
      </c>
      <c r="M492">
        <v>1.48</v>
      </c>
      <c r="N492">
        <v>1.39</v>
      </c>
      <c r="O492">
        <v>75.400000000000006</v>
      </c>
      <c r="P492">
        <v>46.2</v>
      </c>
      <c r="Q492">
        <v>1</v>
      </c>
      <c r="R492">
        <v>0</v>
      </c>
      <c r="S492">
        <v>2.19</v>
      </c>
      <c r="T492">
        <v>0.93</v>
      </c>
      <c r="U492">
        <v>1.56</v>
      </c>
      <c r="V492">
        <v>1.24</v>
      </c>
      <c r="W492">
        <v>1.05</v>
      </c>
      <c r="X492">
        <v>0</v>
      </c>
    </row>
    <row r="493" spans="2:24" hidden="1" x14ac:dyDescent="0.35">
      <c r="B493">
        <v>2017</v>
      </c>
      <c r="C493" s="1">
        <v>43057</v>
      </c>
      <c r="D493">
        <v>2411</v>
      </c>
      <c r="E493" t="s">
        <v>23</v>
      </c>
      <c r="F493" t="s">
        <v>40</v>
      </c>
      <c r="G493" t="s">
        <v>29</v>
      </c>
      <c r="H493">
        <v>78.05</v>
      </c>
      <c r="I493">
        <v>84.3</v>
      </c>
      <c r="J493">
        <v>0.34970000000000001</v>
      </c>
      <c r="K493">
        <v>0.39129999999999998</v>
      </c>
      <c r="L493">
        <v>0.25900000000000001</v>
      </c>
      <c r="M493">
        <v>1.45</v>
      </c>
      <c r="N493">
        <v>1.54</v>
      </c>
      <c r="O493">
        <v>63.5</v>
      </c>
      <c r="P493">
        <v>58.6</v>
      </c>
      <c r="Q493">
        <v>2</v>
      </c>
      <c r="R493">
        <v>0</v>
      </c>
      <c r="S493">
        <v>2</v>
      </c>
      <c r="T493">
        <v>0.87</v>
      </c>
      <c r="U493">
        <v>2.1</v>
      </c>
      <c r="V493">
        <v>1.72</v>
      </c>
      <c r="W493">
        <v>2.1</v>
      </c>
      <c r="X493">
        <v>0</v>
      </c>
    </row>
    <row r="494" spans="2:24" hidden="1" x14ac:dyDescent="0.35">
      <c r="B494">
        <v>2017</v>
      </c>
      <c r="C494" s="1">
        <v>43057</v>
      </c>
      <c r="D494">
        <v>2411</v>
      </c>
      <c r="E494" t="s">
        <v>23</v>
      </c>
      <c r="F494" t="s">
        <v>30</v>
      </c>
      <c r="G494" t="s">
        <v>28</v>
      </c>
      <c r="H494">
        <v>56.99</v>
      </c>
      <c r="I494">
        <v>59.41</v>
      </c>
      <c r="J494">
        <v>0.41980000000000001</v>
      </c>
      <c r="K494">
        <v>0.30730000000000002</v>
      </c>
      <c r="L494">
        <v>0.27300000000000002</v>
      </c>
      <c r="M494">
        <v>1.47</v>
      </c>
      <c r="N494">
        <v>1.22</v>
      </c>
      <c r="O494">
        <v>48.8</v>
      </c>
      <c r="P494">
        <v>23.6</v>
      </c>
      <c r="Q494">
        <v>2</v>
      </c>
      <c r="R494">
        <v>2</v>
      </c>
      <c r="S494">
        <v>2.19</v>
      </c>
      <c r="T494">
        <v>1.68</v>
      </c>
      <c r="U494">
        <v>1.79</v>
      </c>
      <c r="V494">
        <v>0.7</v>
      </c>
      <c r="W494">
        <v>2.1</v>
      </c>
      <c r="X494">
        <v>2.1</v>
      </c>
    </row>
    <row r="495" spans="2:24" hidden="1" x14ac:dyDescent="0.35">
      <c r="B495">
        <v>2017</v>
      </c>
      <c r="C495" s="1">
        <v>43057</v>
      </c>
      <c r="D495">
        <v>2411</v>
      </c>
      <c r="E495" t="s">
        <v>23</v>
      </c>
      <c r="F495" t="s">
        <v>38</v>
      </c>
      <c r="G495" t="s">
        <v>44</v>
      </c>
      <c r="H495">
        <v>55.89</v>
      </c>
      <c r="I495">
        <v>47.23</v>
      </c>
      <c r="J495">
        <v>0.52310000000000001</v>
      </c>
      <c r="K495">
        <v>0.1857</v>
      </c>
      <c r="L495">
        <v>0.2913</v>
      </c>
      <c r="M495">
        <v>1.41</v>
      </c>
      <c r="N495">
        <v>0.72</v>
      </c>
      <c r="O495">
        <v>38.9</v>
      </c>
      <c r="P495">
        <v>42.5</v>
      </c>
      <c r="Q495">
        <v>4</v>
      </c>
      <c r="R495">
        <v>0</v>
      </c>
      <c r="S495">
        <v>1.49</v>
      </c>
      <c r="T495">
        <v>1.26</v>
      </c>
      <c r="U495">
        <v>1.05</v>
      </c>
      <c r="V495">
        <v>2.33</v>
      </c>
      <c r="W495">
        <v>3.85</v>
      </c>
      <c r="X495">
        <v>0</v>
      </c>
    </row>
    <row r="496" spans="2:24" hidden="1" x14ac:dyDescent="0.35">
      <c r="B496">
        <v>2017</v>
      </c>
      <c r="C496" s="1">
        <v>43057</v>
      </c>
      <c r="D496">
        <v>2411</v>
      </c>
      <c r="E496" t="s">
        <v>23</v>
      </c>
      <c r="F496" t="s">
        <v>31</v>
      </c>
      <c r="G496" t="s">
        <v>42</v>
      </c>
      <c r="H496">
        <v>54.66</v>
      </c>
      <c r="I496">
        <v>81.62</v>
      </c>
      <c r="J496">
        <v>0.18060000000000001</v>
      </c>
      <c r="K496">
        <v>0.57820000000000005</v>
      </c>
      <c r="L496">
        <v>0.2412</v>
      </c>
      <c r="M496">
        <v>0.91</v>
      </c>
      <c r="N496">
        <v>1.83</v>
      </c>
      <c r="O496">
        <v>42.4</v>
      </c>
      <c r="P496">
        <v>64.400000000000006</v>
      </c>
      <c r="Q496">
        <v>0</v>
      </c>
      <c r="R496">
        <v>4</v>
      </c>
      <c r="S496">
        <v>0.75</v>
      </c>
      <c r="T496">
        <v>1.3</v>
      </c>
      <c r="U496">
        <v>0.86</v>
      </c>
      <c r="V496">
        <v>2.2000000000000002</v>
      </c>
      <c r="W496">
        <v>0</v>
      </c>
      <c r="X496">
        <v>4.2</v>
      </c>
    </row>
    <row r="497" spans="2:24" hidden="1" x14ac:dyDescent="0.35">
      <c r="B497">
        <v>2017</v>
      </c>
      <c r="C497" s="1">
        <v>43057</v>
      </c>
      <c r="D497">
        <v>2411</v>
      </c>
      <c r="E497" t="s">
        <v>23</v>
      </c>
      <c r="F497" t="s">
        <v>25</v>
      </c>
      <c r="G497" t="s">
        <v>36</v>
      </c>
      <c r="H497">
        <v>63.07</v>
      </c>
      <c r="I497">
        <v>90.88</v>
      </c>
      <c r="J497">
        <v>0.1343</v>
      </c>
      <c r="K497">
        <v>0.68189999999999995</v>
      </c>
      <c r="L497">
        <v>0.1837</v>
      </c>
      <c r="M497">
        <v>1.01</v>
      </c>
      <c r="N497">
        <v>2.4700000000000002</v>
      </c>
      <c r="O497">
        <v>11.3</v>
      </c>
      <c r="P497">
        <v>63.4</v>
      </c>
      <c r="Q497">
        <v>0</v>
      </c>
      <c r="R497">
        <v>2</v>
      </c>
      <c r="S497">
        <v>0.17</v>
      </c>
      <c r="T497">
        <v>2.0499999999999998</v>
      </c>
      <c r="U497">
        <v>0.23</v>
      </c>
      <c r="V497">
        <v>1.96</v>
      </c>
      <c r="W497">
        <v>0</v>
      </c>
      <c r="X497">
        <v>2.1</v>
      </c>
    </row>
    <row r="498" spans="2:24" hidden="1" x14ac:dyDescent="0.35">
      <c r="B498">
        <v>2017</v>
      </c>
      <c r="C498" s="1">
        <v>43057</v>
      </c>
      <c r="D498">
        <v>2411</v>
      </c>
      <c r="E498" t="s">
        <v>23</v>
      </c>
      <c r="F498" t="s">
        <v>41</v>
      </c>
      <c r="G498" t="s">
        <v>34</v>
      </c>
      <c r="H498">
        <v>81.77</v>
      </c>
      <c r="I498">
        <v>60.58</v>
      </c>
      <c r="J498">
        <v>0.68940000000000001</v>
      </c>
      <c r="K498">
        <v>0.1124</v>
      </c>
      <c r="L498">
        <v>0.1983</v>
      </c>
      <c r="M498">
        <v>2.15</v>
      </c>
      <c r="N498">
        <v>0.74</v>
      </c>
      <c r="O498">
        <v>62.4</v>
      </c>
      <c r="P498">
        <v>23.3</v>
      </c>
      <c r="Q498">
        <v>3</v>
      </c>
      <c r="R498">
        <v>0</v>
      </c>
      <c r="S498">
        <v>2.36</v>
      </c>
      <c r="T498">
        <v>0.7</v>
      </c>
      <c r="U498">
        <v>1.77</v>
      </c>
      <c r="V498">
        <v>0.71</v>
      </c>
      <c r="W498">
        <v>3.15</v>
      </c>
      <c r="X498">
        <v>0</v>
      </c>
    </row>
    <row r="499" spans="2:24" hidden="1" x14ac:dyDescent="0.35">
      <c r="B499">
        <v>2017</v>
      </c>
      <c r="C499" s="1">
        <v>43057</v>
      </c>
      <c r="D499">
        <v>2411</v>
      </c>
      <c r="E499" t="s">
        <v>23</v>
      </c>
      <c r="F499" t="s">
        <v>32</v>
      </c>
      <c r="G499" t="s">
        <v>33</v>
      </c>
      <c r="H499">
        <v>59.79</v>
      </c>
      <c r="I499">
        <v>53.54</v>
      </c>
      <c r="J499">
        <v>0.49730000000000002</v>
      </c>
      <c r="K499">
        <v>0.20569999999999999</v>
      </c>
      <c r="L499">
        <v>0.29709999999999998</v>
      </c>
      <c r="M499">
        <v>1.36</v>
      </c>
      <c r="N499">
        <v>0.77</v>
      </c>
      <c r="O499">
        <v>7.7</v>
      </c>
      <c r="P499">
        <v>48.8</v>
      </c>
      <c r="Q499">
        <v>2</v>
      </c>
      <c r="R499">
        <v>0</v>
      </c>
      <c r="S499">
        <v>1.63</v>
      </c>
      <c r="T499">
        <v>0.47</v>
      </c>
      <c r="U499">
        <v>1.57</v>
      </c>
      <c r="V499">
        <v>0.89</v>
      </c>
      <c r="W499">
        <v>2.1</v>
      </c>
      <c r="X499">
        <v>0</v>
      </c>
    </row>
    <row r="500" spans="2:24" hidden="1" x14ac:dyDescent="0.35">
      <c r="B500">
        <v>2017</v>
      </c>
      <c r="C500" s="1">
        <v>43057</v>
      </c>
      <c r="D500">
        <v>2411</v>
      </c>
      <c r="E500" t="s">
        <v>23</v>
      </c>
      <c r="F500" t="s">
        <v>39</v>
      </c>
      <c r="G500" t="s">
        <v>46</v>
      </c>
      <c r="H500">
        <v>83.93</v>
      </c>
      <c r="I500">
        <v>54.28</v>
      </c>
      <c r="J500">
        <v>0.8095</v>
      </c>
      <c r="K500">
        <v>3.85E-2</v>
      </c>
      <c r="L500">
        <v>0.15210000000000001</v>
      </c>
      <c r="M500">
        <v>2.25</v>
      </c>
      <c r="N500">
        <v>0.31</v>
      </c>
      <c r="O500">
        <v>66.599999999999994</v>
      </c>
      <c r="P500">
        <v>23.4</v>
      </c>
      <c r="Q500">
        <v>4</v>
      </c>
      <c r="R500">
        <v>1</v>
      </c>
      <c r="S500">
        <v>2.92</v>
      </c>
      <c r="T500">
        <v>1.1299999999999999</v>
      </c>
      <c r="U500">
        <v>2.65</v>
      </c>
      <c r="V500">
        <v>1.28</v>
      </c>
      <c r="W500">
        <v>4.2</v>
      </c>
      <c r="X500">
        <v>1.05</v>
      </c>
    </row>
    <row r="501" spans="2:24" hidden="1" x14ac:dyDescent="0.35">
      <c r="B501">
        <v>2017</v>
      </c>
      <c r="C501" s="1">
        <v>43058</v>
      </c>
      <c r="D501">
        <v>2411</v>
      </c>
      <c r="E501" t="s">
        <v>23</v>
      </c>
      <c r="F501" t="s">
        <v>35</v>
      </c>
      <c r="G501" t="s">
        <v>43</v>
      </c>
      <c r="H501">
        <v>59.31</v>
      </c>
      <c r="I501">
        <v>54.97</v>
      </c>
      <c r="J501">
        <v>0.49370000000000003</v>
      </c>
      <c r="K501">
        <v>0.25469999999999998</v>
      </c>
      <c r="L501">
        <v>0.25169999999999998</v>
      </c>
      <c r="M501">
        <v>1.74</v>
      </c>
      <c r="N501">
        <v>1.19</v>
      </c>
      <c r="O501">
        <v>16.399999999999999</v>
      </c>
      <c r="P501">
        <v>45.5</v>
      </c>
      <c r="Q501">
        <v>2</v>
      </c>
      <c r="R501">
        <v>0</v>
      </c>
      <c r="S501">
        <v>1.33</v>
      </c>
      <c r="T501">
        <v>1.81</v>
      </c>
      <c r="U501">
        <v>1.54</v>
      </c>
      <c r="V501">
        <v>1.1499999999999999</v>
      </c>
      <c r="W501">
        <v>2.1</v>
      </c>
      <c r="X501">
        <v>0</v>
      </c>
    </row>
    <row r="502" spans="2:24" hidden="1" x14ac:dyDescent="0.35">
      <c r="B502">
        <v>2017</v>
      </c>
      <c r="C502" s="1">
        <v>43059</v>
      </c>
      <c r="D502">
        <v>2411</v>
      </c>
      <c r="E502" t="s">
        <v>23</v>
      </c>
      <c r="F502" t="s">
        <v>45</v>
      </c>
      <c r="G502" t="s">
        <v>27</v>
      </c>
      <c r="H502">
        <v>52.36</v>
      </c>
      <c r="I502">
        <v>59.22</v>
      </c>
      <c r="J502">
        <v>0.37030000000000002</v>
      </c>
      <c r="K502">
        <v>0.33639999999999998</v>
      </c>
      <c r="L502">
        <v>0.29330000000000001</v>
      </c>
      <c r="M502">
        <v>1.24</v>
      </c>
      <c r="N502">
        <v>1.17</v>
      </c>
      <c r="O502">
        <v>32.4</v>
      </c>
      <c r="P502">
        <v>27.9</v>
      </c>
      <c r="Q502">
        <v>2</v>
      </c>
      <c r="R502">
        <v>2</v>
      </c>
      <c r="S502">
        <v>0.64</v>
      </c>
      <c r="T502">
        <v>1.26</v>
      </c>
      <c r="U502">
        <v>1.1499999999999999</v>
      </c>
      <c r="V502">
        <v>1.56</v>
      </c>
      <c r="W502">
        <v>2.1</v>
      </c>
      <c r="X502">
        <v>2.1</v>
      </c>
    </row>
    <row r="503" spans="2:24" hidden="1" x14ac:dyDescent="0.35">
      <c r="B503">
        <v>2017</v>
      </c>
      <c r="C503" s="1">
        <v>43063</v>
      </c>
      <c r="D503">
        <v>2411</v>
      </c>
      <c r="E503" t="s">
        <v>23</v>
      </c>
      <c r="F503" t="s">
        <v>43</v>
      </c>
      <c r="G503" t="s">
        <v>25</v>
      </c>
      <c r="H503">
        <v>54.45</v>
      </c>
      <c r="I503">
        <v>61.92</v>
      </c>
      <c r="J503">
        <v>0.36880000000000002</v>
      </c>
      <c r="K503">
        <v>0.35809999999999997</v>
      </c>
      <c r="L503">
        <v>0.27310000000000001</v>
      </c>
      <c r="M503">
        <v>1.37</v>
      </c>
      <c r="N503">
        <v>1.35</v>
      </c>
      <c r="O503">
        <v>45.1</v>
      </c>
      <c r="P503">
        <v>15.8</v>
      </c>
      <c r="Q503">
        <v>1</v>
      </c>
      <c r="R503">
        <v>1</v>
      </c>
      <c r="S503">
        <v>0.98</v>
      </c>
      <c r="T503">
        <v>0.67</v>
      </c>
      <c r="U503">
        <v>1.41</v>
      </c>
      <c r="V503">
        <v>0.44</v>
      </c>
      <c r="W503">
        <v>1.05</v>
      </c>
      <c r="X503">
        <v>1.05</v>
      </c>
    </row>
    <row r="504" spans="2:24" hidden="1" x14ac:dyDescent="0.35">
      <c r="B504">
        <v>2017</v>
      </c>
      <c r="C504" s="1">
        <v>43064</v>
      </c>
      <c r="D504">
        <v>2411</v>
      </c>
      <c r="E504" t="s">
        <v>23</v>
      </c>
      <c r="F504" t="s">
        <v>39</v>
      </c>
      <c r="G504" t="s">
        <v>45</v>
      </c>
      <c r="H504">
        <v>83.67</v>
      </c>
      <c r="I504">
        <v>52.02</v>
      </c>
      <c r="J504">
        <v>0.82279999999999998</v>
      </c>
      <c r="K504">
        <v>3.4000000000000002E-2</v>
      </c>
      <c r="L504">
        <v>0.14319999999999999</v>
      </c>
      <c r="M504">
        <v>2.31</v>
      </c>
      <c r="N504">
        <v>0.3</v>
      </c>
      <c r="O504">
        <v>60.4</v>
      </c>
      <c r="P504">
        <v>25.1</v>
      </c>
      <c r="Q504">
        <v>1</v>
      </c>
      <c r="R504">
        <v>0</v>
      </c>
      <c r="S504">
        <v>1.83</v>
      </c>
      <c r="T504">
        <v>0.71</v>
      </c>
      <c r="U504">
        <v>1.73</v>
      </c>
      <c r="V504">
        <v>1.21</v>
      </c>
      <c r="W504">
        <v>1.05</v>
      </c>
      <c r="X504">
        <v>0</v>
      </c>
    </row>
    <row r="505" spans="2:24" hidden="1" x14ac:dyDescent="0.35">
      <c r="B505">
        <v>2017</v>
      </c>
      <c r="C505" s="1">
        <v>43064</v>
      </c>
      <c r="D505">
        <v>2411</v>
      </c>
      <c r="E505" t="s">
        <v>23</v>
      </c>
      <c r="F505" t="s">
        <v>29</v>
      </c>
      <c r="G505" t="s">
        <v>31</v>
      </c>
      <c r="H505">
        <v>83.88</v>
      </c>
      <c r="I505">
        <v>52.93</v>
      </c>
      <c r="J505">
        <v>0.81779999999999997</v>
      </c>
      <c r="K505">
        <v>3.4299999999999997E-2</v>
      </c>
      <c r="L505">
        <v>0.1479</v>
      </c>
      <c r="M505">
        <v>2.2599999999999998</v>
      </c>
      <c r="N505">
        <v>0.28999999999999998</v>
      </c>
      <c r="O505">
        <v>80.7</v>
      </c>
      <c r="P505">
        <v>39.1</v>
      </c>
      <c r="Q505">
        <v>1</v>
      </c>
      <c r="R505">
        <v>1</v>
      </c>
      <c r="S505">
        <v>2.0099999999999998</v>
      </c>
      <c r="T505">
        <v>0.71</v>
      </c>
      <c r="U505">
        <v>2.99</v>
      </c>
      <c r="V505">
        <v>0.24</v>
      </c>
      <c r="W505">
        <v>1.05</v>
      </c>
      <c r="X505">
        <v>1.05</v>
      </c>
    </row>
    <row r="506" spans="2:24" hidden="1" x14ac:dyDescent="0.35">
      <c r="B506">
        <v>2017</v>
      </c>
      <c r="C506" s="1">
        <v>43064</v>
      </c>
      <c r="D506">
        <v>2411</v>
      </c>
      <c r="E506" t="s">
        <v>23</v>
      </c>
      <c r="F506" t="s">
        <v>46</v>
      </c>
      <c r="G506" t="s">
        <v>35</v>
      </c>
      <c r="H506">
        <v>54.47</v>
      </c>
      <c r="I506">
        <v>59.81</v>
      </c>
      <c r="J506">
        <v>0.38879999999999998</v>
      </c>
      <c r="K506">
        <v>0.33169999999999999</v>
      </c>
      <c r="L506">
        <v>0.27950000000000003</v>
      </c>
      <c r="M506">
        <v>1.37</v>
      </c>
      <c r="N506">
        <v>1.24</v>
      </c>
      <c r="O506">
        <v>30.8</v>
      </c>
      <c r="P506">
        <v>7.5</v>
      </c>
      <c r="Q506">
        <v>0</v>
      </c>
      <c r="R506">
        <v>3</v>
      </c>
      <c r="S506">
        <v>0.96</v>
      </c>
      <c r="T506">
        <v>2.3199999999999998</v>
      </c>
      <c r="U506">
        <v>2.06</v>
      </c>
      <c r="V506">
        <v>1.27</v>
      </c>
      <c r="W506">
        <v>0</v>
      </c>
      <c r="X506">
        <v>3.15</v>
      </c>
    </row>
    <row r="507" spans="2:24" hidden="1" x14ac:dyDescent="0.35">
      <c r="B507">
        <v>2017</v>
      </c>
      <c r="C507" s="1">
        <v>43064</v>
      </c>
      <c r="D507">
        <v>2411</v>
      </c>
      <c r="E507" t="s">
        <v>23</v>
      </c>
      <c r="F507" t="s">
        <v>30</v>
      </c>
      <c r="G507" t="s">
        <v>27</v>
      </c>
      <c r="H507">
        <v>57.19</v>
      </c>
      <c r="I507">
        <v>59.56</v>
      </c>
      <c r="J507">
        <v>0.42149999999999999</v>
      </c>
      <c r="K507">
        <v>0.3105</v>
      </c>
      <c r="L507">
        <v>0.26800000000000002</v>
      </c>
      <c r="M507">
        <v>1.51</v>
      </c>
      <c r="N507">
        <v>1.26</v>
      </c>
      <c r="O507">
        <v>43.2</v>
      </c>
      <c r="P507">
        <v>23.1</v>
      </c>
      <c r="Q507">
        <v>2</v>
      </c>
      <c r="R507">
        <v>1</v>
      </c>
      <c r="S507">
        <v>1.5</v>
      </c>
      <c r="T507">
        <v>0.7</v>
      </c>
      <c r="U507">
        <v>1.3</v>
      </c>
      <c r="V507">
        <v>1.17</v>
      </c>
      <c r="W507">
        <v>2.1</v>
      </c>
      <c r="X507">
        <v>1.05</v>
      </c>
    </row>
    <row r="508" spans="2:24" hidden="1" x14ac:dyDescent="0.35">
      <c r="B508">
        <v>2017</v>
      </c>
      <c r="C508" s="1">
        <v>43064</v>
      </c>
      <c r="D508">
        <v>2411</v>
      </c>
      <c r="E508" t="s">
        <v>23</v>
      </c>
      <c r="F508" t="s">
        <v>33</v>
      </c>
      <c r="G508" t="s">
        <v>38</v>
      </c>
      <c r="H508">
        <v>52.37</v>
      </c>
      <c r="I508">
        <v>57.02</v>
      </c>
      <c r="J508">
        <v>0.39179999999999998</v>
      </c>
      <c r="K508">
        <v>0.3135</v>
      </c>
      <c r="L508">
        <v>0.29470000000000002</v>
      </c>
      <c r="M508">
        <v>1.27</v>
      </c>
      <c r="N508">
        <v>1.1000000000000001</v>
      </c>
      <c r="O508">
        <v>49.3</v>
      </c>
      <c r="P508">
        <v>25.3</v>
      </c>
      <c r="Q508">
        <v>0</v>
      </c>
      <c r="R508">
        <v>0</v>
      </c>
      <c r="S508">
        <v>0.93</v>
      </c>
      <c r="T508">
        <v>0.56000000000000005</v>
      </c>
      <c r="U508">
        <v>0.98</v>
      </c>
      <c r="V508">
        <v>0.89</v>
      </c>
      <c r="W508">
        <v>0</v>
      </c>
      <c r="X508">
        <v>0</v>
      </c>
    </row>
    <row r="509" spans="2:24" hidden="1" x14ac:dyDescent="0.35">
      <c r="B509">
        <v>2017</v>
      </c>
      <c r="C509" s="1">
        <v>43064</v>
      </c>
      <c r="D509">
        <v>2411</v>
      </c>
      <c r="E509" t="s">
        <v>23</v>
      </c>
      <c r="F509" t="s">
        <v>41</v>
      </c>
      <c r="G509" t="s">
        <v>42</v>
      </c>
      <c r="H509">
        <v>82.48</v>
      </c>
      <c r="I509">
        <v>84.01</v>
      </c>
      <c r="J509">
        <v>0.42509999999999998</v>
      </c>
      <c r="K509">
        <v>0.33239999999999997</v>
      </c>
      <c r="L509">
        <v>0.24249999999999999</v>
      </c>
      <c r="M509">
        <v>1.78</v>
      </c>
      <c r="N509">
        <v>1.55</v>
      </c>
      <c r="O509">
        <v>77.400000000000006</v>
      </c>
      <c r="P509">
        <v>63.6</v>
      </c>
      <c r="Q509">
        <v>1</v>
      </c>
      <c r="R509">
        <v>1</v>
      </c>
      <c r="S509">
        <v>1.45</v>
      </c>
      <c r="T509">
        <v>0.92</v>
      </c>
      <c r="U509">
        <v>1.99</v>
      </c>
      <c r="V509">
        <v>1.83</v>
      </c>
      <c r="W509">
        <v>1.05</v>
      </c>
      <c r="X509">
        <v>1.05</v>
      </c>
    </row>
    <row r="510" spans="2:24" hidden="1" x14ac:dyDescent="0.35">
      <c r="B510">
        <v>2017</v>
      </c>
      <c r="C510" s="1">
        <v>43065</v>
      </c>
      <c r="D510">
        <v>2411</v>
      </c>
      <c r="E510" t="s">
        <v>23</v>
      </c>
      <c r="F510" t="s">
        <v>34</v>
      </c>
      <c r="G510" t="s">
        <v>28</v>
      </c>
      <c r="H510">
        <v>59.69</v>
      </c>
      <c r="I510">
        <v>57.44</v>
      </c>
      <c r="J510">
        <v>0.46729999999999999</v>
      </c>
      <c r="K510">
        <v>0.26079999999999998</v>
      </c>
      <c r="L510">
        <v>0.27179999999999999</v>
      </c>
      <c r="M510">
        <v>1.53</v>
      </c>
      <c r="N510">
        <v>1.08</v>
      </c>
      <c r="O510">
        <v>32.200000000000003</v>
      </c>
      <c r="P510">
        <v>23.8</v>
      </c>
      <c r="Q510">
        <v>4</v>
      </c>
      <c r="R510">
        <v>1</v>
      </c>
      <c r="S510">
        <v>2.64</v>
      </c>
      <c r="T510">
        <v>0.22</v>
      </c>
      <c r="U510">
        <v>1.62</v>
      </c>
      <c r="V510">
        <v>0.5</v>
      </c>
      <c r="W510">
        <v>3.76</v>
      </c>
      <c r="X510">
        <v>1.05</v>
      </c>
    </row>
    <row r="511" spans="2:24" hidden="1" x14ac:dyDescent="0.35">
      <c r="B511">
        <v>2017</v>
      </c>
      <c r="C511" s="1">
        <v>43065</v>
      </c>
      <c r="D511">
        <v>2411</v>
      </c>
      <c r="E511" t="s">
        <v>23</v>
      </c>
      <c r="F511" t="s">
        <v>32</v>
      </c>
      <c r="G511" t="s">
        <v>40</v>
      </c>
      <c r="H511">
        <v>60.94</v>
      </c>
      <c r="I511">
        <v>79.260000000000005</v>
      </c>
      <c r="J511">
        <v>0.25480000000000003</v>
      </c>
      <c r="K511">
        <v>0.4819</v>
      </c>
      <c r="L511">
        <v>0.26329999999999998</v>
      </c>
      <c r="M511">
        <v>1.1100000000000001</v>
      </c>
      <c r="N511">
        <v>1.62</v>
      </c>
      <c r="O511">
        <v>9.3000000000000007</v>
      </c>
      <c r="P511">
        <v>60.4</v>
      </c>
      <c r="Q511">
        <v>0</v>
      </c>
      <c r="R511">
        <v>1</v>
      </c>
      <c r="S511">
        <v>0.4</v>
      </c>
      <c r="T511">
        <v>1.92</v>
      </c>
      <c r="U511">
        <v>0.61</v>
      </c>
      <c r="V511">
        <v>2.36</v>
      </c>
      <c r="W511">
        <v>0</v>
      </c>
      <c r="X511">
        <v>1.05</v>
      </c>
    </row>
    <row r="512" spans="2:24" hidden="1" x14ac:dyDescent="0.35">
      <c r="B512">
        <v>2017</v>
      </c>
      <c r="C512" s="1">
        <v>43065</v>
      </c>
      <c r="D512">
        <v>2411</v>
      </c>
      <c r="E512" t="s">
        <v>23</v>
      </c>
      <c r="F512" t="s">
        <v>44</v>
      </c>
      <c r="G512" t="s">
        <v>36</v>
      </c>
      <c r="H512">
        <v>46.05</v>
      </c>
      <c r="I512">
        <v>90.79</v>
      </c>
      <c r="J512">
        <v>6.0499999999999998E-2</v>
      </c>
      <c r="K512">
        <v>0.79949999999999999</v>
      </c>
      <c r="L512">
        <v>0.14000000000000001</v>
      </c>
      <c r="M512">
        <v>0.6</v>
      </c>
      <c r="N512">
        <v>2.64</v>
      </c>
      <c r="O512">
        <v>38.1</v>
      </c>
      <c r="P512">
        <v>73.900000000000006</v>
      </c>
      <c r="Q512">
        <v>1</v>
      </c>
      <c r="R512">
        <v>2</v>
      </c>
      <c r="S512">
        <v>0.59</v>
      </c>
      <c r="T512">
        <v>3.07</v>
      </c>
      <c r="U512">
        <v>0.56000000000000005</v>
      </c>
      <c r="V512">
        <v>2.06</v>
      </c>
      <c r="W512">
        <v>1.05</v>
      </c>
      <c r="X512">
        <v>2.1</v>
      </c>
    </row>
    <row r="513" spans="2:24" hidden="1" x14ac:dyDescent="0.35">
      <c r="B513">
        <v>2017</v>
      </c>
      <c r="C513" s="1">
        <v>43067</v>
      </c>
      <c r="D513">
        <v>2411</v>
      </c>
      <c r="E513" t="s">
        <v>23</v>
      </c>
      <c r="F513" t="s">
        <v>25</v>
      </c>
      <c r="G513" t="s">
        <v>29</v>
      </c>
      <c r="H513">
        <v>61.65</v>
      </c>
      <c r="I513">
        <v>83.21</v>
      </c>
      <c r="J513">
        <v>0.2104</v>
      </c>
      <c r="K513">
        <v>0.53520000000000001</v>
      </c>
      <c r="L513">
        <v>0.25440000000000002</v>
      </c>
      <c r="M513">
        <v>0.98</v>
      </c>
      <c r="N513">
        <v>1.71</v>
      </c>
      <c r="O513">
        <v>24.7</v>
      </c>
      <c r="P513">
        <v>24.7</v>
      </c>
      <c r="Q513">
        <v>2</v>
      </c>
      <c r="R513">
        <v>1</v>
      </c>
      <c r="S513">
        <v>0.84</v>
      </c>
      <c r="T513">
        <v>2.9</v>
      </c>
      <c r="U513">
        <v>0.6</v>
      </c>
      <c r="V513">
        <v>2.2999999999999998</v>
      </c>
      <c r="W513">
        <v>2.1</v>
      </c>
      <c r="X513">
        <v>1.05</v>
      </c>
    </row>
    <row r="514" spans="2:24" hidden="1" x14ac:dyDescent="0.35">
      <c r="B514">
        <v>2017</v>
      </c>
      <c r="C514" s="1">
        <v>43067</v>
      </c>
      <c r="D514">
        <v>2411</v>
      </c>
      <c r="E514" t="s">
        <v>23</v>
      </c>
      <c r="F514" t="s">
        <v>45</v>
      </c>
      <c r="G514" t="s">
        <v>30</v>
      </c>
      <c r="H514">
        <v>52.86</v>
      </c>
      <c r="I514">
        <v>57.74</v>
      </c>
      <c r="J514">
        <v>0.3881</v>
      </c>
      <c r="K514">
        <v>0.31169999999999998</v>
      </c>
      <c r="L514">
        <v>0.30020000000000002</v>
      </c>
      <c r="M514">
        <v>1.23</v>
      </c>
      <c r="N514">
        <v>1.07</v>
      </c>
      <c r="O514">
        <v>28.7</v>
      </c>
      <c r="P514">
        <v>28.7</v>
      </c>
      <c r="Q514">
        <v>0</v>
      </c>
      <c r="R514">
        <v>0</v>
      </c>
      <c r="S514">
        <v>0.41</v>
      </c>
      <c r="T514">
        <v>0.69</v>
      </c>
      <c r="U514">
        <v>0.75</v>
      </c>
      <c r="V514">
        <v>0.56999999999999995</v>
      </c>
      <c r="W514">
        <v>0</v>
      </c>
      <c r="X514">
        <v>0</v>
      </c>
    </row>
    <row r="515" spans="2:24" hidden="1" x14ac:dyDescent="0.35">
      <c r="B515">
        <v>2017</v>
      </c>
      <c r="C515" s="1">
        <v>43067</v>
      </c>
      <c r="D515">
        <v>2411</v>
      </c>
      <c r="E515" t="s">
        <v>23</v>
      </c>
      <c r="F515" t="s">
        <v>31</v>
      </c>
      <c r="G515" t="s">
        <v>46</v>
      </c>
      <c r="H515">
        <v>53.94</v>
      </c>
      <c r="I515">
        <v>52.42</v>
      </c>
      <c r="J515">
        <v>0.44979999999999998</v>
      </c>
      <c r="K515">
        <v>0.24909999999999999</v>
      </c>
      <c r="L515">
        <v>0.30109999999999998</v>
      </c>
      <c r="M515">
        <v>1.3</v>
      </c>
      <c r="N515">
        <v>0.89</v>
      </c>
      <c r="O515">
        <v>36.200000000000003</v>
      </c>
      <c r="P515">
        <v>36.200000000000003</v>
      </c>
      <c r="Q515">
        <v>2</v>
      </c>
      <c r="R515">
        <v>2</v>
      </c>
      <c r="S515">
        <v>1.01</v>
      </c>
      <c r="T515">
        <v>1.1399999999999999</v>
      </c>
      <c r="U515">
        <v>0.91</v>
      </c>
      <c r="V515">
        <v>1.64</v>
      </c>
      <c r="W515">
        <v>2.1</v>
      </c>
      <c r="X515">
        <v>2.1</v>
      </c>
    </row>
    <row r="516" spans="2:24" hidden="1" x14ac:dyDescent="0.35">
      <c r="B516">
        <v>2017</v>
      </c>
      <c r="C516" s="1">
        <v>43067</v>
      </c>
      <c r="D516">
        <v>2411</v>
      </c>
      <c r="E516" t="s">
        <v>23</v>
      </c>
      <c r="F516" t="s">
        <v>35</v>
      </c>
      <c r="G516" t="s">
        <v>39</v>
      </c>
      <c r="H516">
        <v>61.87</v>
      </c>
      <c r="I516">
        <v>83.06</v>
      </c>
      <c r="J516">
        <v>0.21190000000000001</v>
      </c>
      <c r="K516">
        <v>0.54620000000000002</v>
      </c>
      <c r="L516">
        <v>0.2419</v>
      </c>
      <c r="M516">
        <v>1.06</v>
      </c>
      <c r="N516">
        <v>1.85</v>
      </c>
      <c r="O516">
        <v>25.6</v>
      </c>
      <c r="P516">
        <v>25.6</v>
      </c>
      <c r="Q516">
        <v>2</v>
      </c>
      <c r="R516">
        <v>4</v>
      </c>
      <c r="S516">
        <v>1.35</v>
      </c>
      <c r="T516">
        <v>1.23</v>
      </c>
      <c r="U516">
        <v>1.62</v>
      </c>
      <c r="V516">
        <v>1.61</v>
      </c>
      <c r="W516">
        <v>2.1</v>
      </c>
      <c r="X516">
        <v>3.78</v>
      </c>
    </row>
    <row r="517" spans="2:24" hidden="1" x14ac:dyDescent="0.35">
      <c r="B517">
        <v>2017</v>
      </c>
      <c r="C517" s="1">
        <v>43068</v>
      </c>
      <c r="D517">
        <v>2411</v>
      </c>
      <c r="E517" t="s">
        <v>23</v>
      </c>
      <c r="F517" t="s">
        <v>38</v>
      </c>
      <c r="G517" t="s">
        <v>32</v>
      </c>
      <c r="H517">
        <v>57.19</v>
      </c>
      <c r="I517">
        <v>59.75</v>
      </c>
      <c r="J517">
        <v>0.4088</v>
      </c>
      <c r="K517">
        <v>0.28420000000000001</v>
      </c>
      <c r="L517">
        <v>0.307</v>
      </c>
      <c r="M517">
        <v>1.22</v>
      </c>
      <c r="N517">
        <v>0.97</v>
      </c>
      <c r="O517">
        <v>13</v>
      </c>
      <c r="P517">
        <v>13</v>
      </c>
      <c r="Q517">
        <v>1</v>
      </c>
      <c r="R517">
        <v>2</v>
      </c>
      <c r="S517">
        <v>1.07</v>
      </c>
      <c r="T517">
        <v>1</v>
      </c>
      <c r="U517">
        <v>1.44</v>
      </c>
      <c r="V517">
        <v>1.1299999999999999</v>
      </c>
      <c r="W517">
        <v>1.05</v>
      </c>
      <c r="X517">
        <v>2.1</v>
      </c>
    </row>
    <row r="518" spans="2:24" hidden="1" x14ac:dyDescent="0.35">
      <c r="B518">
        <v>2017</v>
      </c>
      <c r="C518" s="1">
        <v>43068</v>
      </c>
      <c r="D518">
        <v>2411</v>
      </c>
      <c r="E518" t="s">
        <v>23</v>
      </c>
      <c r="F518" t="s">
        <v>40</v>
      </c>
      <c r="G518" t="s">
        <v>44</v>
      </c>
      <c r="H518">
        <v>80.11</v>
      </c>
      <c r="I518">
        <v>46.69</v>
      </c>
      <c r="J518">
        <v>0.8266</v>
      </c>
      <c r="K518">
        <v>3.7999999999999999E-2</v>
      </c>
      <c r="L518">
        <v>0.13539999999999999</v>
      </c>
      <c r="M518">
        <v>2.4500000000000002</v>
      </c>
      <c r="N518">
        <v>0.36</v>
      </c>
      <c r="O518">
        <v>37.9</v>
      </c>
      <c r="P518">
        <v>37.9</v>
      </c>
      <c r="Q518">
        <v>5</v>
      </c>
      <c r="R518">
        <v>0</v>
      </c>
      <c r="S518">
        <v>3.78</v>
      </c>
      <c r="T518">
        <v>0.52</v>
      </c>
      <c r="U518">
        <v>3.02</v>
      </c>
      <c r="V518">
        <v>0.64</v>
      </c>
      <c r="W518">
        <v>4.7699999999999996</v>
      </c>
      <c r="X518">
        <v>0</v>
      </c>
    </row>
    <row r="519" spans="2:24" hidden="1" x14ac:dyDescent="0.35">
      <c r="B519">
        <v>2017</v>
      </c>
      <c r="C519" s="1">
        <v>43068</v>
      </c>
      <c r="D519">
        <v>2411</v>
      </c>
      <c r="E519" t="s">
        <v>23</v>
      </c>
      <c r="F519" t="s">
        <v>42</v>
      </c>
      <c r="G519" t="s">
        <v>33</v>
      </c>
      <c r="H519">
        <v>84</v>
      </c>
      <c r="I519">
        <v>52.24</v>
      </c>
      <c r="J519">
        <v>0.8256</v>
      </c>
      <c r="K519">
        <v>3.9300000000000002E-2</v>
      </c>
      <c r="L519">
        <v>0.1351</v>
      </c>
      <c r="M519">
        <v>2.4700000000000002</v>
      </c>
      <c r="N519">
        <v>0.38</v>
      </c>
      <c r="O519">
        <v>41.6</v>
      </c>
      <c r="P519">
        <v>41.6</v>
      </c>
      <c r="Q519">
        <v>1</v>
      </c>
      <c r="R519">
        <v>0</v>
      </c>
      <c r="S519">
        <v>1.9</v>
      </c>
      <c r="T519">
        <v>0.06</v>
      </c>
      <c r="U519">
        <v>1.91</v>
      </c>
      <c r="V519">
        <v>0.6</v>
      </c>
      <c r="W519">
        <v>1.05</v>
      </c>
      <c r="X519">
        <v>0</v>
      </c>
    </row>
    <row r="520" spans="2:24" hidden="1" x14ac:dyDescent="0.35">
      <c r="B520">
        <v>2017</v>
      </c>
      <c r="C520" s="1">
        <v>43068</v>
      </c>
      <c r="D520">
        <v>2411</v>
      </c>
      <c r="E520" t="s">
        <v>23</v>
      </c>
      <c r="F520" t="s">
        <v>36</v>
      </c>
      <c r="G520" t="s">
        <v>34</v>
      </c>
      <c r="H520">
        <v>90.49</v>
      </c>
      <c r="I520">
        <v>61.73</v>
      </c>
      <c r="J520">
        <v>0.84019999999999995</v>
      </c>
      <c r="K520">
        <v>3.8600000000000002E-2</v>
      </c>
      <c r="L520">
        <v>0.12130000000000001</v>
      </c>
      <c r="M520">
        <v>2.68</v>
      </c>
      <c r="N520">
        <v>0.43</v>
      </c>
      <c r="O520">
        <v>30.5</v>
      </c>
      <c r="P520">
        <v>30.5</v>
      </c>
      <c r="Q520">
        <v>2</v>
      </c>
      <c r="R520">
        <v>1</v>
      </c>
      <c r="S520">
        <v>1.79</v>
      </c>
      <c r="T520">
        <v>1.66</v>
      </c>
      <c r="U520">
        <v>2.98</v>
      </c>
      <c r="V520">
        <v>1.44</v>
      </c>
      <c r="W520">
        <v>2.1</v>
      </c>
      <c r="X520">
        <v>1.05</v>
      </c>
    </row>
    <row r="521" spans="2:24" hidden="1" x14ac:dyDescent="0.35">
      <c r="B521">
        <v>2017</v>
      </c>
      <c r="C521" s="1">
        <v>43068</v>
      </c>
      <c r="D521">
        <v>2411</v>
      </c>
      <c r="E521" t="s">
        <v>23</v>
      </c>
      <c r="F521" t="s">
        <v>28</v>
      </c>
      <c r="G521" t="s">
        <v>43</v>
      </c>
      <c r="H521">
        <v>55.28</v>
      </c>
      <c r="I521">
        <v>54.73</v>
      </c>
      <c r="J521">
        <v>0.45450000000000002</v>
      </c>
      <c r="K521">
        <v>0.2893</v>
      </c>
      <c r="L521">
        <v>0.25619999999999998</v>
      </c>
      <c r="M521">
        <v>1.67</v>
      </c>
      <c r="N521">
        <v>1.28</v>
      </c>
      <c r="O521">
        <v>30.7</v>
      </c>
      <c r="P521">
        <v>30.7</v>
      </c>
      <c r="Q521">
        <v>4</v>
      </c>
      <c r="R521">
        <v>0</v>
      </c>
      <c r="S521">
        <v>2.15</v>
      </c>
      <c r="T521">
        <v>1.1000000000000001</v>
      </c>
      <c r="U521">
        <v>0.94</v>
      </c>
      <c r="V521">
        <v>1.55</v>
      </c>
      <c r="W521">
        <v>4.01</v>
      </c>
      <c r="X521">
        <v>0</v>
      </c>
    </row>
    <row r="522" spans="2:24" hidden="1" x14ac:dyDescent="0.35">
      <c r="B522">
        <v>2017</v>
      </c>
      <c r="C522" s="1">
        <v>43068</v>
      </c>
      <c r="D522">
        <v>2411</v>
      </c>
      <c r="E522" t="s">
        <v>23</v>
      </c>
      <c r="F522" t="s">
        <v>27</v>
      </c>
      <c r="G522" t="s">
        <v>41</v>
      </c>
      <c r="H522">
        <v>59</v>
      </c>
      <c r="I522">
        <v>82.36</v>
      </c>
      <c r="J522">
        <v>0.20230000000000001</v>
      </c>
      <c r="K522">
        <v>0.58030000000000004</v>
      </c>
      <c r="L522">
        <v>0.21740000000000001</v>
      </c>
      <c r="M522">
        <v>1.2</v>
      </c>
      <c r="N522">
        <v>2.15</v>
      </c>
      <c r="O522">
        <v>25.3</v>
      </c>
      <c r="P522">
        <v>25.3</v>
      </c>
      <c r="Q522">
        <v>0</v>
      </c>
      <c r="R522">
        <v>3</v>
      </c>
      <c r="S522">
        <v>0.91</v>
      </c>
      <c r="T522">
        <v>2.8</v>
      </c>
      <c r="U522">
        <v>1.0900000000000001</v>
      </c>
      <c r="V522">
        <v>1.55</v>
      </c>
      <c r="W522">
        <v>0</v>
      </c>
      <c r="X522">
        <v>2.65</v>
      </c>
    </row>
    <row r="523" spans="2:24" hidden="1" x14ac:dyDescent="0.35">
      <c r="B523">
        <v>2017</v>
      </c>
      <c r="C523" s="1">
        <v>43071</v>
      </c>
      <c r="D523">
        <v>2411</v>
      </c>
      <c r="E523" t="s">
        <v>23</v>
      </c>
      <c r="F523" t="s">
        <v>42</v>
      </c>
      <c r="G523" t="s">
        <v>46</v>
      </c>
      <c r="H523">
        <v>83.79</v>
      </c>
      <c r="I523">
        <v>53.22</v>
      </c>
      <c r="J523">
        <v>0.82069999999999999</v>
      </c>
      <c r="K523">
        <v>4.58E-2</v>
      </c>
      <c r="L523">
        <v>0.13339999999999999</v>
      </c>
      <c r="M523">
        <v>2.57</v>
      </c>
      <c r="N523">
        <v>0.46</v>
      </c>
      <c r="O523">
        <v>51.7</v>
      </c>
      <c r="P523">
        <v>28.4</v>
      </c>
      <c r="Q523">
        <v>3</v>
      </c>
      <c r="R523">
        <v>1</v>
      </c>
      <c r="S523">
        <v>3.39</v>
      </c>
      <c r="T523">
        <v>0.52</v>
      </c>
      <c r="U523">
        <v>3.62</v>
      </c>
      <c r="V523">
        <v>0.47</v>
      </c>
      <c r="W523">
        <v>3.06</v>
      </c>
      <c r="X523">
        <v>1.05</v>
      </c>
    </row>
    <row r="524" spans="2:24" hidden="1" x14ac:dyDescent="0.35">
      <c r="B524">
        <v>2017</v>
      </c>
      <c r="C524" s="1">
        <v>43071</v>
      </c>
      <c r="D524">
        <v>2411</v>
      </c>
      <c r="E524" t="s">
        <v>23</v>
      </c>
      <c r="F524" t="s">
        <v>31</v>
      </c>
      <c r="G524" t="s">
        <v>30</v>
      </c>
      <c r="H524">
        <v>53.11</v>
      </c>
      <c r="I524">
        <v>58.09</v>
      </c>
      <c r="J524">
        <v>0.38700000000000001</v>
      </c>
      <c r="K524">
        <v>0.3115</v>
      </c>
      <c r="L524">
        <v>0.30149999999999999</v>
      </c>
      <c r="M524">
        <v>1.22</v>
      </c>
      <c r="N524">
        <v>1.06</v>
      </c>
      <c r="O524">
        <v>54.6</v>
      </c>
      <c r="P524">
        <v>46</v>
      </c>
      <c r="Q524">
        <v>0</v>
      </c>
      <c r="R524">
        <v>0</v>
      </c>
      <c r="S524">
        <v>1.65</v>
      </c>
      <c r="T524">
        <v>0.77</v>
      </c>
      <c r="U524">
        <v>2.4</v>
      </c>
      <c r="V524">
        <v>1.57</v>
      </c>
      <c r="W524">
        <v>0</v>
      </c>
      <c r="X524">
        <v>0</v>
      </c>
    </row>
    <row r="525" spans="2:24" hidden="1" x14ac:dyDescent="0.35">
      <c r="B525">
        <v>2017</v>
      </c>
      <c r="C525" s="1">
        <v>43071</v>
      </c>
      <c r="D525">
        <v>2411</v>
      </c>
      <c r="E525" t="s">
        <v>23</v>
      </c>
      <c r="F525" t="s">
        <v>45</v>
      </c>
      <c r="G525" t="s">
        <v>41</v>
      </c>
      <c r="H525">
        <v>52.54</v>
      </c>
      <c r="I525">
        <v>83.18</v>
      </c>
      <c r="J525">
        <v>0.15329999999999999</v>
      </c>
      <c r="K525">
        <v>0.62019999999999997</v>
      </c>
      <c r="L525">
        <v>0.22650000000000001</v>
      </c>
      <c r="M525">
        <v>0.85</v>
      </c>
      <c r="N525">
        <v>1.95</v>
      </c>
      <c r="O525">
        <v>26.8</v>
      </c>
      <c r="P525">
        <v>75.900000000000006</v>
      </c>
      <c r="Q525">
        <v>1</v>
      </c>
      <c r="R525">
        <v>5</v>
      </c>
      <c r="S525">
        <v>1.79</v>
      </c>
      <c r="T525">
        <v>2.34</v>
      </c>
      <c r="U525">
        <v>0.65</v>
      </c>
      <c r="V525">
        <v>1.73</v>
      </c>
      <c r="W525">
        <v>1.05</v>
      </c>
      <c r="X525">
        <v>4.32</v>
      </c>
    </row>
    <row r="526" spans="2:24" hidden="1" x14ac:dyDescent="0.35">
      <c r="B526">
        <v>2017</v>
      </c>
      <c r="C526" s="1">
        <v>43071</v>
      </c>
      <c r="D526">
        <v>2411</v>
      </c>
      <c r="E526" t="s">
        <v>23</v>
      </c>
      <c r="F526" t="s">
        <v>28</v>
      </c>
      <c r="G526" t="s">
        <v>44</v>
      </c>
      <c r="H526">
        <v>57.16</v>
      </c>
      <c r="I526">
        <v>44.99</v>
      </c>
      <c r="J526">
        <v>0.57250000000000001</v>
      </c>
      <c r="K526">
        <v>0.17799999999999999</v>
      </c>
      <c r="L526">
        <v>0.2495</v>
      </c>
      <c r="M526">
        <v>1.74</v>
      </c>
      <c r="N526">
        <v>0.86</v>
      </c>
      <c r="O526">
        <v>31.4</v>
      </c>
      <c r="P526">
        <v>50</v>
      </c>
      <c r="Q526">
        <v>2</v>
      </c>
      <c r="R526">
        <v>0</v>
      </c>
      <c r="S526">
        <v>0.84</v>
      </c>
      <c r="T526">
        <v>0.24</v>
      </c>
      <c r="U526">
        <v>1.1299999999999999</v>
      </c>
      <c r="V526">
        <v>0.63</v>
      </c>
      <c r="W526">
        <v>2.02</v>
      </c>
      <c r="X526">
        <v>0</v>
      </c>
    </row>
    <row r="527" spans="2:24" hidden="1" x14ac:dyDescent="0.35">
      <c r="B527">
        <v>2017</v>
      </c>
      <c r="C527" s="1">
        <v>43071</v>
      </c>
      <c r="D527">
        <v>2411</v>
      </c>
      <c r="E527" t="s">
        <v>23</v>
      </c>
      <c r="F527" t="s">
        <v>27</v>
      </c>
      <c r="G527" t="s">
        <v>33</v>
      </c>
      <c r="H527">
        <v>57.76</v>
      </c>
      <c r="I527">
        <v>52.42</v>
      </c>
      <c r="J527">
        <v>0.495</v>
      </c>
      <c r="K527">
        <v>0.22470000000000001</v>
      </c>
      <c r="L527">
        <v>0.2802</v>
      </c>
      <c r="M527">
        <v>1.48</v>
      </c>
      <c r="N527">
        <v>0.9</v>
      </c>
      <c r="O527">
        <v>33.9</v>
      </c>
      <c r="P527">
        <v>55.3</v>
      </c>
      <c r="Q527">
        <v>2</v>
      </c>
      <c r="R527">
        <v>1</v>
      </c>
      <c r="S527">
        <v>1.24</v>
      </c>
      <c r="T527">
        <v>0.34</v>
      </c>
      <c r="U527">
        <v>1.48</v>
      </c>
      <c r="V527">
        <v>0.51</v>
      </c>
      <c r="W527">
        <v>2.1</v>
      </c>
      <c r="X527">
        <v>1.05</v>
      </c>
    </row>
    <row r="528" spans="2:24" hidden="1" x14ac:dyDescent="0.35">
      <c r="B528">
        <v>2017</v>
      </c>
      <c r="C528" s="1">
        <v>43071</v>
      </c>
      <c r="D528">
        <v>2411</v>
      </c>
      <c r="E528" t="s">
        <v>23</v>
      </c>
      <c r="F528" t="s">
        <v>25</v>
      </c>
      <c r="G528" t="s">
        <v>32</v>
      </c>
      <c r="H528">
        <v>62.21</v>
      </c>
      <c r="I528">
        <v>60.57</v>
      </c>
      <c r="J528">
        <v>0.45300000000000001</v>
      </c>
      <c r="K528">
        <v>0.25280000000000002</v>
      </c>
      <c r="L528">
        <v>0.29420000000000002</v>
      </c>
      <c r="M528">
        <v>1.35</v>
      </c>
      <c r="N528">
        <v>0.93</v>
      </c>
      <c r="O528">
        <v>8.3000000000000007</v>
      </c>
      <c r="P528">
        <v>5.5</v>
      </c>
      <c r="Q528">
        <v>1</v>
      </c>
      <c r="R528">
        <v>0</v>
      </c>
      <c r="S528">
        <v>1.18</v>
      </c>
      <c r="T528">
        <v>1.22</v>
      </c>
      <c r="U528">
        <v>1.22</v>
      </c>
      <c r="V528">
        <v>1.74</v>
      </c>
      <c r="W528">
        <v>1.05</v>
      </c>
      <c r="X528">
        <v>0</v>
      </c>
    </row>
    <row r="529" spans="2:24" hidden="1" x14ac:dyDescent="0.35">
      <c r="B529">
        <v>2017</v>
      </c>
      <c r="C529" s="1">
        <v>43071</v>
      </c>
      <c r="D529">
        <v>2411</v>
      </c>
      <c r="E529" t="s">
        <v>23</v>
      </c>
      <c r="F529" t="s">
        <v>35</v>
      </c>
      <c r="G529" t="s">
        <v>29</v>
      </c>
      <c r="H529">
        <v>62.27</v>
      </c>
      <c r="I529">
        <v>82.89</v>
      </c>
      <c r="J529">
        <v>0.2167</v>
      </c>
      <c r="K529">
        <v>0.54579999999999995</v>
      </c>
      <c r="L529">
        <v>0.2374</v>
      </c>
      <c r="M529">
        <v>1.1200000000000001</v>
      </c>
      <c r="N529">
        <v>1.9</v>
      </c>
      <c r="O529">
        <v>5.2</v>
      </c>
      <c r="P529">
        <v>57.6</v>
      </c>
      <c r="Q529">
        <v>1</v>
      </c>
      <c r="R529">
        <v>1</v>
      </c>
      <c r="S529">
        <v>0.28999999999999998</v>
      </c>
      <c r="T529">
        <v>1.0900000000000001</v>
      </c>
      <c r="U529">
        <v>1.37</v>
      </c>
      <c r="V529">
        <v>0.56000000000000005</v>
      </c>
      <c r="W529">
        <v>1.05</v>
      </c>
      <c r="X529">
        <v>1.05</v>
      </c>
    </row>
    <row r="530" spans="2:24" hidden="1" x14ac:dyDescent="0.35">
      <c r="B530">
        <v>2017</v>
      </c>
      <c r="C530" s="1">
        <v>43071</v>
      </c>
      <c r="D530">
        <v>2411</v>
      </c>
      <c r="E530" t="s">
        <v>23</v>
      </c>
      <c r="F530" t="s">
        <v>40</v>
      </c>
      <c r="G530" t="s">
        <v>39</v>
      </c>
      <c r="H530">
        <v>81.459999999999994</v>
      </c>
      <c r="I530">
        <v>82.94</v>
      </c>
      <c r="J530">
        <v>0.4194</v>
      </c>
      <c r="K530">
        <v>0.3221</v>
      </c>
      <c r="L530">
        <v>0.25850000000000001</v>
      </c>
      <c r="M530">
        <v>1.6</v>
      </c>
      <c r="N530">
        <v>1.37</v>
      </c>
      <c r="O530">
        <v>76.400000000000006</v>
      </c>
      <c r="P530">
        <v>65</v>
      </c>
      <c r="Q530">
        <v>1</v>
      </c>
      <c r="R530">
        <v>3</v>
      </c>
      <c r="S530">
        <v>5.41</v>
      </c>
      <c r="T530">
        <v>1.88</v>
      </c>
      <c r="U530">
        <v>6.58</v>
      </c>
      <c r="V530">
        <v>1.38</v>
      </c>
      <c r="W530">
        <v>1.05</v>
      </c>
      <c r="X530">
        <v>3.15</v>
      </c>
    </row>
    <row r="531" spans="2:24" hidden="1" x14ac:dyDescent="0.35">
      <c r="B531">
        <v>2017</v>
      </c>
      <c r="C531" s="1">
        <v>43072</v>
      </c>
      <c r="D531">
        <v>2411</v>
      </c>
      <c r="E531" t="s">
        <v>23</v>
      </c>
      <c r="F531" t="s">
        <v>38</v>
      </c>
      <c r="G531" t="s">
        <v>34</v>
      </c>
      <c r="H531">
        <v>56.35</v>
      </c>
      <c r="I531">
        <v>63.25</v>
      </c>
      <c r="J531">
        <v>0.37009999999999998</v>
      </c>
      <c r="K531">
        <v>0.3392</v>
      </c>
      <c r="L531">
        <v>0.29070000000000001</v>
      </c>
      <c r="M531">
        <v>1.25</v>
      </c>
      <c r="N531">
        <v>1.19</v>
      </c>
      <c r="O531">
        <v>32.799999999999997</v>
      </c>
      <c r="P531">
        <v>14.1</v>
      </c>
      <c r="Q531">
        <v>1</v>
      </c>
      <c r="R531">
        <v>1</v>
      </c>
      <c r="S531">
        <v>0.83</v>
      </c>
      <c r="T531">
        <v>1.31</v>
      </c>
      <c r="U531">
        <v>1.54</v>
      </c>
      <c r="V531">
        <v>1.61</v>
      </c>
      <c r="W531">
        <v>1.05</v>
      </c>
      <c r="X531">
        <v>1.05</v>
      </c>
    </row>
    <row r="532" spans="2:24" hidden="1" x14ac:dyDescent="0.35">
      <c r="B532">
        <v>2017</v>
      </c>
      <c r="C532" s="1">
        <v>43072</v>
      </c>
      <c r="D532">
        <v>2411</v>
      </c>
      <c r="E532" t="s">
        <v>23</v>
      </c>
      <c r="F532" t="s">
        <v>36</v>
      </c>
      <c r="G532" t="s">
        <v>43</v>
      </c>
      <c r="H532">
        <v>89.8</v>
      </c>
      <c r="I532">
        <v>52.86</v>
      </c>
      <c r="J532">
        <v>0.89319999999999999</v>
      </c>
      <c r="K532">
        <v>2.4299999999999999E-2</v>
      </c>
      <c r="L532">
        <v>8.2400000000000001E-2</v>
      </c>
      <c r="M532">
        <v>3.21</v>
      </c>
      <c r="N532">
        <v>0.42</v>
      </c>
      <c r="O532">
        <v>63.8</v>
      </c>
      <c r="P532">
        <v>45.6</v>
      </c>
      <c r="Q532">
        <v>2</v>
      </c>
      <c r="R532">
        <v>1</v>
      </c>
      <c r="S532">
        <v>2.41</v>
      </c>
      <c r="T532">
        <v>0.48</v>
      </c>
      <c r="U532">
        <v>3.72</v>
      </c>
      <c r="V532">
        <v>0.44</v>
      </c>
      <c r="W532">
        <v>2.1</v>
      </c>
      <c r="X532">
        <v>1.05</v>
      </c>
    </row>
    <row r="533" spans="2:24" hidden="1" x14ac:dyDescent="0.35">
      <c r="B533">
        <v>2017</v>
      </c>
      <c r="C533" s="1">
        <v>43078</v>
      </c>
      <c r="D533">
        <v>2411</v>
      </c>
      <c r="E533" t="s">
        <v>23</v>
      </c>
      <c r="F533" t="s">
        <v>43</v>
      </c>
      <c r="G533" t="s">
        <v>42</v>
      </c>
      <c r="H533">
        <v>53.61</v>
      </c>
      <c r="I533">
        <v>84.31</v>
      </c>
      <c r="J533">
        <v>0.1454</v>
      </c>
      <c r="K533">
        <v>0.65749999999999997</v>
      </c>
      <c r="L533">
        <v>0.1971</v>
      </c>
      <c r="M533">
        <v>0.99</v>
      </c>
      <c r="N533">
        <v>2.2999999999999998</v>
      </c>
      <c r="O533">
        <v>45.6</v>
      </c>
      <c r="P533">
        <v>55.8</v>
      </c>
      <c r="Q533">
        <v>1</v>
      </c>
      <c r="R533">
        <v>0</v>
      </c>
      <c r="S533">
        <v>0.28000000000000003</v>
      </c>
      <c r="T533">
        <v>1.1499999999999999</v>
      </c>
      <c r="U533">
        <v>0.55000000000000004</v>
      </c>
      <c r="V533">
        <v>2.81</v>
      </c>
      <c r="W533">
        <v>1.05</v>
      </c>
      <c r="X533">
        <v>0</v>
      </c>
    </row>
    <row r="534" spans="2:24" hidden="1" x14ac:dyDescent="0.35">
      <c r="B534">
        <v>2017</v>
      </c>
      <c r="C534" s="1">
        <v>43078</v>
      </c>
      <c r="D534">
        <v>2411</v>
      </c>
      <c r="E534" t="s">
        <v>23</v>
      </c>
      <c r="F534" t="s">
        <v>30</v>
      </c>
      <c r="G534" t="s">
        <v>38</v>
      </c>
      <c r="H534">
        <v>57.79</v>
      </c>
      <c r="I534">
        <v>56.09</v>
      </c>
      <c r="J534">
        <v>0.45710000000000001</v>
      </c>
      <c r="K534">
        <v>0.25719999999999998</v>
      </c>
      <c r="L534">
        <v>0.28570000000000001</v>
      </c>
      <c r="M534">
        <v>1.41</v>
      </c>
      <c r="N534">
        <v>0.99</v>
      </c>
      <c r="O534">
        <v>47.1</v>
      </c>
      <c r="P534">
        <v>32.799999999999997</v>
      </c>
      <c r="Q534">
        <v>2</v>
      </c>
      <c r="R534">
        <v>2</v>
      </c>
      <c r="S534">
        <v>4.0999999999999996</v>
      </c>
      <c r="T534">
        <v>1.1399999999999999</v>
      </c>
      <c r="U534">
        <v>2.87</v>
      </c>
      <c r="V534">
        <v>1.37</v>
      </c>
      <c r="W534">
        <v>2.1</v>
      </c>
      <c r="X534">
        <v>2.1</v>
      </c>
    </row>
    <row r="535" spans="2:24" hidden="1" x14ac:dyDescent="0.35">
      <c r="B535">
        <v>2017</v>
      </c>
      <c r="C535" s="1">
        <v>43078</v>
      </c>
      <c r="D535">
        <v>2411</v>
      </c>
      <c r="E535" t="s">
        <v>23</v>
      </c>
      <c r="F535" t="s">
        <v>33</v>
      </c>
      <c r="G535" t="s">
        <v>31</v>
      </c>
      <c r="H535">
        <v>51.93</v>
      </c>
      <c r="I535">
        <v>53.41</v>
      </c>
      <c r="J535">
        <v>0.4153</v>
      </c>
      <c r="K535">
        <v>0.26329999999999998</v>
      </c>
      <c r="L535">
        <v>0.32140000000000002</v>
      </c>
      <c r="M535">
        <v>1.1499999999999999</v>
      </c>
      <c r="N535">
        <v>0.85</v>
      </c>
      <c r="O535">
        <v>58.1</v>
      </c>
      <c r="P535">
        <v>47.1</v>
      </c>
      <c r="Q535">
        <v>1</v>
      </c>
      <c r="R535">
        <v>0</v>
      </c>
      <c r="S535">
        <v>0.97</v>
      </c>
      <c r="T535">
        <v>0.32</v>
      </c>
      <c r="U535">
        <v>1.05</v>
      </c>
      <c r="V535">
        <v>0.56999999999999995</v>
      </c>
      <c r="W535">
        <v>1.05</v>
      </c>
      <c r="X535">
        <v>0</v>
      </c>
    </row>
    <row r="536" spans="2:24" hidden="1" x14ac:dyDescent="0.35">
      <c r="B536">
        <v>2017</v>
      </c>
      <c r="C536" s="1">
        <v>43078</v>
      </c>
      <c r="D536">
        <v>2411</v>
      </c>
      <c r="E536" t="s">
        <v>23</v>
      </c>
      <c r="F536" t="s">
        <v>44</v>
      </c>
      <c r="G536" t="s">
        <v>45</v>
      </c>
      <c r="H536">
        <v>44.44</v>
      </c>
      <c r="I536">
        <v>51.9</v>
      </c>
      <c r="J536">
        <v>0.35620000000000002</v>
      </c>
      <c r="K536">
        <v>0.314</v>
      </c>
      <c r="L536">
        <v>0.32979999999999998</v>
      </c>
      <c r="M536">
        <v>1.02</v>
      </c>
      <c r="N536">
        <v>0.94</v>
      </c>
      <c r="O536">
        <v>56.9</v>
      </c>
      <c r="P536">
        <v>41</v>
      </c>
      <c r="Q536">
        <v>2</v>
      </c>
      <c r="R536">
        <v>0</v>
      </c>
      <c r="S536">
        <v>1.89</v>
      </c>
      <c r="T536">
        <v>0.37</v>
      </c>
      <c r="U536">
        <v>1.67</v>
      </c>
      <c r="V536">
        <v>0.3</v>
      </c>
      <c r="W536">
        <v>2.1</v>
      </c>
      <c r="X536">
        <v>0</v>
      </c>
    </row>
    <row r="537" spans="2:24" hidden="1" x14ac:dyDescent="0.35">
      <c r="B537">
        <v>2017</v>
      </c>
      <c r="C537" s="1">
        <v>43078</v>
      </c>
      <c r="D537">
        <v>2411</v>
      </c>
      <c r="E537" t="s">
        <v>23</v>
      </c>
      <c r="F537" t="s">
        <v>29</v>
      </c>
      <c r="G537" t="s">
        <v>27</v>
      </c>
      <c r="H537">
        <v>82.78</v>
      </c>
      <c r="I537">
        <v>58.26</v>
      </c>
      <c r="J537">
        <v>0.77310000000000001</v>
      </c>
      <c r="K537">
        <v>6.6799999999999998E-2</v>
      </c>
      <c r="L537">
        <v>0.16009999999999999</v>
      </c>
      <c r="M537">
        <v>2.39</v>
      </c>
      <c r="N537">
        <v>0.55000000000000004</v>
      </c>
      <c r="O537">
        <v>45.1</v>
      </c>
      <c r="P537">
        <v>14.3</v>
      </c>
      <c r="Q537">
        <v>5</v>
      </c>
      <c r="R537">
        <v>1</v>
      </c>
      <c r="S537">
        <v>2.83</v>
      </c>
      <c r="T537">
        <v>0.82</v>
      </c>
      <c r="U537">
        <v>2.4</v>
      </c>
      <c r="V537">
        <v>0.83</v>
      </c>
      <c r="W537">
        <v>5.15</v>
      </c>
      <c r="X537">
        <v>1.05</v>
      </c>
    </row>
    <row r="538" spans="2:24" hidden="1" x14ac:dyDescent="0.35">
      <c r="B538">
        <v>2017</v>
      </c>
      <c r="C538" s="1">
        <v>43078</v>
      </c>
      <c r="D538">
        <v>2411</v>
      </c>
      <c r="E538" t="s">
        <v>23</v>
      </c>
      <c r="F538" t="s">
        <v>32</v>
      </c>
      <c r="G538" t="s">
        <v>35</v>
      </c>
      <c r="H538">
        <v>60.6</v>
      </c>
      <c r="I538">
        <v>62.77</v>
      </c>
      <c r="J538">
        <v>0.42059999999999997</v>
      </c>
      <c r="K538">
        <v>0.29299999999999998</v>
      </c>
      <c r="L538">
        <v>0.28639999999999999</v>
      </c>
      <c r="M538">
        <v>1.37</v>
      </c>
      <c r="N538">
        <v>1.0900000000000001</v>
      </c>
      <c r="O538">
        <v>3.6</v>
      </c>
      <c r="P538">
        <v>1.9</v>
      </c>
      <c r="Q538">
        <v>1</v>
      </c>
      <c r="R538">
        <v>0</v>
      </c>
      <c r="S538">
        <v>0.41</v>
      </c>
      <c r="T538">
        <v>1.1299999999999999</v>
      </c>
      <c r="U538">
        <v>1.41</v>
      </c>
      <c r="V538">
        <v>1.52</v>
      </c>
      <c r="W538">
        <v>0.84</v>
      </c>
      <c r="X538">
        <v>0</v>
      </c>
    </row>
    <row r="539" spans="2:24" hidden="1" x14ac:dyDescent="0.35">
      <c r="B539">
        <v>2017</v>
      </c>
      <c r="C539" s="1">
        <v>43078</v>
      </c>
      <c r="D539">
        <v>2411</v>
      </c>
      <c r="E539" t="s">
        <v>23</v>
      </c>
      <c r="F539" t="s">
        <v>46</v>
      </c>
      <c r="G539" t="s">
        <v>25</v>
      </c>
      <c r="H539">
        <v>52.95</v>
      </c>
      <c r="I539">
        <v>62.15</v>
      </c>
      <c r="J539">
        <v>0.3498</v>
      </c>
      <c r="K539">
        <v>0.3669</v>
      </c>
      <c r="L539">
        <v>0.2833</v>
      </c>
      <c r="M539">
        <v>1.26</v>
      </c>
      <c r="N539">
        <v>1.3</v>
      </c>
      <c r="O539">
        <v>37.799999999999997</v>
      </c>
      <c r="P539">
        <v>4.9000000000000004</v>
      </c>
      <c r="Q539">
        <v>2</v>
      </c>
      <c r="R539">
        <v>3</v>
      </c>
      <c r="S539">
        <v>0.93</v>
      </c>
      <c r="T539">
        <v>0.52</v>
      </c>
      <c r="U539">
        <v>0.89</v>
      </c>
      <c r="V539">
        <v>1.1000000000000001</v>
      </c>
      <c r="W539">
        <v>2.1</v>
      </c>
      <c r="X539">
        <v>3.15</v>
      </c>
    </row>
    <row r="540" spans="2:24" hidden="1" x14ac:dyDescent="0.35">
      <c r="B540">
        <v>2017</v>
      </c>
      <c r="C540" s="1">
        <v>43079</v>
      </c>
      <c r="D540">
        <v>2411</v>
      </c>
      <c r="E540" t="s">
        <v>23</v>
      </c>
      <c r="F540" t="s">
        <v>34</v>
      </c>
      <c r="G540" t="s">
        <v>40</v>
      </c>
      <c r="H540">
        <v>63.49</v>
      </c>
      <c r="I540">
        <v>83.74</v>
      </c>
      <c r="J540">
        <v>0.2283</v>
      </c>
      <c r="K540">
        <v>0.53759999999999997</v>
      </c>
      <c r="L540">
        <v>0.2341</v>
      </c>
      <c r="M540">
        <v>1.2</v>
      </c>
      <c r="N540">
        <v>1.95</v>
      </c>
      <c r="O540">
        <v>10.9</v>
      </c>
      <c r="P540">
        <v>69.599999999999994</v>
      </c>
      <c r="Q540">
        <v>1</v>
      </c>
      <c r="R540">
        <v>1</v>
      </c>
      <c r="S540">
        <v>1.29</v>
      </c>
      <c r="T540">
        <v>0.78</v>
      </c>
      <c r="U540">
        <v>0.64</v>
      </c>
      <c r="V540">
        <v>4.3099999999999996</v>
      </c>
      <c r="W540">
        <v>1.05</v>
      </c>
      <c r="X540">
        <v>1.05</v>
      </c>
    </row>
    <row r="541" spans="2:24" hidden="1" x14ac:dyDescent="0.35">
      <c r="B541">
        <v>2017</v>
      </c>
      <c r="C541" s="1">
        <v>43079</v>
      </c>
      <c r="D541">
        <v>2411</v>
      </c>
      <c r="E541" t="s">
        <v>23</v>
      </c>
      <c r="F541" t="s">
        <v>41</v>
      </c>
      <c r="G541" t="s">
        <v>28</v>
      </c>
      <c r="H541">
        <v>85.45</v>
      </c>
      <c r="I541">
        <v>58.88</v>
      </c>
      <c r="J541">
        <v>0.80389999999999995</v>
      </c>
      <c r="K541">
        <v>6.59E-2</v>
      </c>
      <c r="L541">
        <v>0.13020000000000001</v>
      </c>
      <c r="M541">
        <v>2.9</v>
      </c>
      <c r="N541">
        <v>0.74</v>
      </c>
      <c r="O541">
        <v>77.3</v>
      </c>
      <c r="P541">
        <v>10.7</v>
      </c>
      <c r="Q541">
        <v>1</v>
      </c>
      <c r="R541">
        <v>1</v>
      </c>
      <c r="S541">
        <v>1.94</v>
      </c>
      <c r="T541">
        <v>0.83</v>
      </c>
      <c r="U541">
        <v>3.19</v>
      </c>
      <c r="V541">
        <v>0.18</v>
      </c>
      <c r="W541">
        <v>1.05</v>
      </c>
      <c r="X541">
        <v>1.05</v>
      </c>
    </row>
    <row r="542" spans="2:24" hidden="1" x14ac:dyDescent="0.35">
      <c r="B542">
        <v>2017</v>
      </c>
      <c r="C542" s="1">
        <v>43079</v>
      </c>
      <c r="D542">
        <v>2411</v>
      </c>
      <c r="E542" t="s">
        <v>23</v>
      </c>
      <c r="F542" t="s">
        <v>39</v>
      </c>
      <c r="G542" t="s">
        <v>36</v>
      </c>
      <c r="H542">
        <v>82.58</v>
      </c>
      <c r="I542">
        <v>89.17</v>
      </c>
      <c r="J542">
        <v>0.34329999999999999</v>
      </c>
      <c r="K542">
        <v>0.40899999999999997</v>
      </c>
      <c r="L542">
        <v>0.2477</v>
      </c>
      <c r="M542">
        <v>1.53</v>
      </c>
      <c r="N542">
        <v>1.69</v>
      </c>
      <c r="O542">
        <v>56.6</v>
      </c>
      <c r="P542">
        <v>87</v>
      </c>
      <c r="Q542">
        <v>1</v>
      </c>
      <c r="R542">
        <v>2</v>
      </c>
      <c r="S542">
        <v>1.86</v>
      </c>
      <c r="T542">
        <v>2</v>
      </c>
      <c r="U542">
        <v>0.56999999999999995</v>
      </c>
      <c r="V542">
        <v>2.16</v>
      </c>
      <c r="W542">
        <v>1.05</v>
      </c>
      <c r="X542">
        <v>2.1</v>
      </c>
    </row>
    <row r="543" spans="2:24" hidden="1" x14ac:dyDescent="0.35">
      <c r="B543">
        <v>2017</v>
      </c>
      <c r="C543" s="1">
        <v>43081</v>
      </c>
      <c r="D543">
        <v>2411</v>
      </c>
      <c r="E543" t="s">
        <v>23</v>
      </c>
      <c r="F543" t="s">
        <v>32</v>
      </c>
      <c r="G543" t="s">
        <v>27</v>
      </c>
      <c r="H543">
        <v>60.54</v>
      </c>
      <c r="I543">
        <v>57.43</v>
      </c>
      <c r="J543">
        <v>0.47349999999999998</v>
      </c>
      <c r="K543">
        <v>0.24510000000000001</v>
      </c>
      <c r="L543">
        <v>0.28139999999999998</v>
      </c>
      <c r="M543">
        <v>1.46</v>
      </c>
      <c r="N543">
        <v>0.97</v>
      </c>
      <c r="O543">
        <v>9.6</v>
      </c>
      <c r="P543">
        <v>9.6</v>
      </c>
      <c r="Q543">
        <v>1</v>
      </c>
      <c r="R543">
        <v>0</v>
      </c>
      <c r="S543">
        <v>0.42</v>
      </c>
      <c r="T543">
        <v>1.1000000000000001</v>
      </c>
      <c r="U543">
        <v>1.26</v>
      </c>
      <c r="V543">
        <v>1.48</v>
      </c>
      <c r="W543">
        <v>1.05</v>
      </c>
      <c r="X543">
        <v>0</v>
      </c>
    </row>
    <row r="544" spans="2:24" hidden="1" x14ac:dyDescent="0.35">
      <c r="B544">
        <v>2017</v>
      </c>
      <c r="C544" s="1">
        <v>43081</v>
      </c>
      <c r="D544">
        <v>2411</v>
      </c>
      <c r="E544" t="s">
        <v>23</v>
      </c>
      <c r="F544" t="s">
        <v>30</v>
      </c>
      <c r="G544" t="s">
        <v>35</v>
      </c>
      <c r="H544">
        <v>58.57</v>
      </c>
      <c r="I544">
        <v>62.8</v>
      </c>
      <c r="J544">
        <v>0.4017</v>
      </c>
      <c r="K544">
        <v>0.32650000000000001</v>
      </c>
      <c r="L544">
        <v>0.27179999999999999</v>
      </c>
      <c r="M544">
        <v>1.45</v>
      </c>
      <c r="N544">
        <v>1.28</v>
      </c>
      <c r="O544">
        <v>18.7</v>
      </c>
      <c r="P544">
        <v>18.7</v>
      </c>
      <c r="Q544">
        <v>2</v>
      </c>
      <c r="R544">
        <v>1</v>
      </c>
      <c r="S544">
        <v>1.34</v>
      </c>
      <c r="T544">
        <v>1.23</v>
      </c>
      <c r="U544">
        <v>0.94</v>
      </c>
      <c r="V544">
        <v>0.75</v>
      </c>
      <c r="W544">
        <v>1.68</v>
      </c>
      <c r="X544">
        <v>1.05</v>
      </c>
    </row>
    <row r="545" spans="2:24" hidden="1" x14ac:dyDescent="0.35">
      <c r="B545">
        <v>2017</v>
      </c>
      <c r="C545" s="1">
        <v>43081</v>
      </c>
      <c r="D545">
        <v>2411</v>
      </c>
      <c r="E545" t="s">
        <v>23</v>
      </c>
      <c r="F545" t="s">
        <v>44</v>
      </c>
      <c r="G545" t="s">
        <v>42</v>
      </c>
      <c r="H545">
        <v>46.7</v>
      </c>
      <c r="I545">
        <v>83.85</v>
      </c>
      <c r="J545">
        <v>0.11269999999999999</v>
      </c>
      <c r="K545">
        <v>0.68679999999999997</v>
      </c>
      <c r="L545">
        <v>0.20050000000000001</v>
      </c>
      <c r="M545">
        <v>0.73</v>
      </c>
      <c r="N545">
        <v>2.13</v>
      </c>
      <c r="O545">
        <v>36.1</v>
      </c>
      <c r="P545">
        <v>36.1</v>
      </c>
      <c r="Q545">
        <v>1</v>
      </c>
      <c r="R545">
        <v>3</v>
      </c>
      <c r="S545">
        <v>0.54</v>
      </c>
      <c r="T545">
        <v>1.81</v>
      </c>
      <c r="U545">
        <v>0.52</v>
      </c>
      <c r="V545">
        <v>1.59</v>
      </c>
      <c r="W545">
        <v>1.05</v>
      </c>
      <c r="X545">
        <v>3.15</v>
      </c>
    </row>
    <row r="546" spans="2:24" hidden="1" x14ac:dyDescent="0.35">
      <c r="B546">
        <v>2017</v>
      </c>
      <c r="C546" s="1">
        <v>43082</v>
      </c>
      <c r="D546">
        <v>2411</v>
      </c>
      <c r="E546" t="s">
        <v>23</v>
      </c>
      <c r="F546" t="s">
        <v>33</v>
      </c>
      <c r="G546" t="s">
        <v>36</v>
      </c>
      <c r="H546">
        <v>52.61</v>
      </c>
      <c r="I546">
        <v>89.57</v>
      </c>
      <c r="J546">
        <v>9.7000000000000003E-2</v>
      </c>
      <c r="K546">
        <v>0.72189999999999999</v>
      </c>
      <c r="L546">
        <v>0.18110000000000001</v>
      </c>
      <c r="M546">
        <v>0.71</v>
      </c>
      <c r="N546">
        <v>2.2999999999999998</v>
      </c>
      <c r="O546">
        <v>37.5</v>
      </c>
      <c r="P546">
        <v>37.5</v>
      </c>
      <c r="Q546">
        <v>0</v>
      </c>
      <c r="R546">
        <v>4</v>
      </c>
      <c r="S546">
        <v>0.4</v>
      </c>
      <c r="T546">
        <v>3.1</v>
      </c>
      <c r="U546">
        <v>0.57999999999999996</v>
      </c>
      <c r="V546">
        <v>2.4500000000000002</v>
      </c>
      <c r="W546">
        <v>0</v>
      </c>
      <c r="X546">
        <v>3.82</v>
      </c>
    </row>
    <row r="547" spans="2:24" hidden="1" x14ac:dyDescent="0.35">
      <c r="B547">
        <v>2017</v>
      </c>
      <c r="C547" s="1">
        <v>43082</v>
      </c>
      <c r="D547">
        <v>2411</v>
      </c>
      <c r="E547" t="s">
        <v>23</v>
      </c>
      <c r="F547" t="s">
        <v>46</v>
      </c>
      <c r="G547" t="s">
        <v>28</v>
      </c>
      <c r="H547">
        <v>52.53</v>
      </c>
      <c r="I547">
        <v>59.46</v>
      </c>
      <c r="J547">
        <v>0.37580000000000002</v>
      </c>
      <c r="K547">
        <v>0.35709999999999997</v>
      </c>
      <c r="L547">
        <v>0.2671</v>
      </c>
      <c r="M547">
        <v>1.44</v>
      </c>
      <c r="N547">
        <v>1.4</v>
      </c>
      <c r="O547">
        <v>21.5</v>
      </c>
      <c r="P547">
        <v>21.5</v>
      </c>
      <c r="Q547">
        <v>0</v>
      </c>
      <c r="R547">
        <v>1</v>
      </c>
      <c r="S547">
        <v>0.79</v>
      </c>
      <c r="T547">
        <v>1.33</v>
      </c>
      <c r="U547">
        <v>1.29</v>
      </c>
      <c r="V547">
        <v>0.88</v>
      </c>
      <c r="W547">
        <v>0</v>
      </c>
      <c r="X547">
        <v>1.05</v>
      </c>
    </row>
    <row r="548" spans="2:24" hidden="1" x14ac:dyDescent="0.35">
      <c r="B548">
        <v>2017</v>
      </c>
      <c r="C548" s="1">
        <v>43082</v>
      </c>
      <c r="D548">
        <v>2411</v>
      </c>
      <c r="E548" t="s">
        <v>23</v>
      </c>
      <c r="F548" t="s">
        <v>34</v>
      </c>
      <c r="G548" t="s">
        <v>25</v>
      </c>
      <c r="H548">
        <v>63.34</v>
      </c>
      <c r="I548">
        <v>62.55</v>
      </c>
      <c r="J548">
        <v>0.45019999999999999</v>
      </c>
      <c r="K548">
        <v>0.26790000000000003</v>
      </c>
      <c r="L548">
        <v>0.28189999999999998</v>
      </c>
      <c r="M548">
        <v>1.43</v>
      </c>
      <c r="N548">
        <v>1.04</v>
      </c>
      <c r="O548">
        <v>7.1</v>
      </c>
      <c r="P548">
        <v>7.1</v>
      </c>
      <c r="Q548">
        <v>1</v>
      </c>
      <c r="R548">
        <v>4</v>
      </c>
      <c r="S548">
        <v>1.36</v>
      </c>
      <c r="T548">
        <v>1.98</v>
      </c>
      <c r="U548">
        <v>1.37</v>
      </c>
      <c r="V548">
        <v>1.06</v>
      </c>
      <c r="W548">
        <v>1.05</v>
      </c>
      <c r="X548">
        <v>4.2</v>
      </c>
    </row>
    <row r="549" spans="2:24" hidden="1" x14ac:dyDescent="0.35">
      <c r="B549">
        <v>2017</v>
      </c>
      <c r="C549" s="1">
        <v>43082</v>
      </c>
      <c r="D549">
        <v>2411</v>
      </c>
      <c r="E549" t="s">
        <v>23</v>
      </c>
      <c r="F549" t="s">
        <v>43</v>
      </c>
      <c r="G549" t="s">
        <v>40</v>
      </c>
      <c r="H549">
        <v>54.15</v>
      </c>
      <c r="I549">
        <v>83.8</v>
      </c>
      <c r="J549">
        <v>0.15559999999999999</v>
      </c>
      <c r="K549">
        <v>0.64970000000000006</v>
      </c>
      <c r="L549">
        <v>0.19470000000000001</v>
      </c>
      <c r="M549">
        <v>1.0900000000000001</v>
      </c>
      <c r="N549">
        <v>2.38</v>
      </c>
      <c r="O549">
        <v>33.6</v>
      </c>
      <c r="P549">
        <v>33.6</v>
      </c>
      <c r="Q549">
        <v>0</v>
      </c>
      <c r="R549">
        <v>0</v>
      </c>
      <c r="S549">
        <v>0.41</v>
      </c>
      <c r="T549">
        <v>1.17</v>
      </c>
      <c r="U549">
        <v>1.06</v>
      </c>
      <c r="V549">
        <v>4.21</v>
      </c>
      <c r="W549">
        <v>0</v>
      </c>
      <c r="X549">
        <v>0</v>
      </c>
    </row>
    <row r="550" spans="2:24" hidden="1" x14ac:dyDescent="0.35">
      <c r="B550">
        <v>2017</v>
      </c>
      <c r="C550" s="1">
        <v>43082</v>
      </c>
      <c r="D550">
        <v>2411</v>
      </c>
      <c r="E550" t="s">
        <v>23</v>
      </c>
      <c r="F550" t="s">
        <v>41</v>
      </c>
      <c r="G550" t="s">
        <v>31</v>
      </c>
      <c r="H550">
        <v>85</v>
      </c>
      <c r="I550">
        <v>52.77</v>
      </c>
      <c r="J550">
        <v>0.8327</v>
      </c>
      <c r="K550">
        <v>4.0399999999999998E-2</v>
      </c>
      <c r="L550">
        <v>0.12690000000000001</v>
      </c>
      <c r="M550">
        <v>2.61</v>
      </c>
      <c r="N550">
        <v>0.42</v>
      </c>
      <c r="O550">
        <v>38.799999999999997</v>
      </c>
      <c r="P550">
        <v>38.799999999999997</v>
      </c>
      <c r="Q550">
        <v>0</v>
      </c>
      <c r="R550">
        <v>0</v>
      </c>
      <c r="S550">
        <v>1.73</v>
      </c>
      <c r="T550">
        <v>0.36</v>
      </c>
      <c r="U550">
        <v>1.92</v>
      </c>
      <c r="V550">
        <v>0.62</v>
      </c>
      <c r="W550">
        <v>0</v>
      </c>
      <c r="X550">
        <v>0</v>
      </c>
    </row>
    <row r="551" spans="2:24" hidden="1" x14ac:dyDescent="0.35">
      <c r="B551">
        <v>2017</v>
      </c>
      <c r="C551" s="1">
        <v>43082</v>
      </c>
      <c r="D551">
        <v>2411</v>
      </c>
      <c r="E551" t="s">
        <v>23</v>
      </c>
      <c r="F551" t="s">
        <v>39</v>
      </c>
      <c r="G551" t="s">
        <v>38</v>
      </c>
      <c r="H551">
        <v>82</v>
      </c>
      <c r="I551">
        <v>55.3</v>
      </c>
      <c r="J551">
        <v>0.7863</v>
      </c>
      <c r="K551">
        <v>6.3500000000000001E-2</v>
      </c>
      <c r="L551">
        <v>0.1502</v>
      </c>
      <c r="M551">
        <v>2.5</v>
      </c>
      <c r="N551">
        <v>0.56999999999999995</v>
      </c>
      <c r="O551">
        <v>29.6</v>
      </c>
      <c r="P551">
        <v>29.6</v>
      </c>
      <c r="Q551">
        <v>1</v>
      </c>
      <c r="R551">
        <v>0</v>
      </c>
      <c r="S551">
        <v>1.25</v>
      </c>
      <c r="T551">
        <v>0.78</v>
      </c>
      <c r="U551">
        <v>1.63</v>
      </c>
      <c r="V551">
        <v>1.36</v>
      </c>
      <c r="W551">
        <v>1.05</v>
      </c>
      <c r="X551">
        <v>0</v>
      </c>
    </row>
    <row r="552" spans="2:24" hidden="1" x14ac:dyDescent="0.35">
      <c r="B552">
        <v>2017</v>
      </c>
      <c r="C552" s="1">
        <v>43082</v>
      </c>
      <c r="D552">
        <v>2411</v>
      </c>
      <c r="E552" t="s">
        <v>23</v>
      </c>
      <c r="F552" t="s">
        <v>29</v>
      </c>
      <c r="G552" t="s">
        <v>45</v>
      </c>
      <c r="H552">
        <v>83.47</v>
      </c>
      <c r="I552">
        <v>49.58</v>
      </c>
      <c r="J552">
        <v>0.83819999999999995</v>
      </c>
      <c r="K552">
        <v>2.9700000000000001E-2</v>
      </c>
      <c r="L552">
        <v>0.1321</v>
      </c>
      <c r="M552">
        <v>2.4</v>
      </c>
      <c r="N552">
        <v>0.28000000000000003</v>
      </c>
      <c r="O552">
        <v>32</v>
      </c>
      <c r="P552">
        <v>32</v>
      </c>
      <c r="Q552">
        <v>2</v>
      </c>
      <c r="R552">
        <v>0</v>
      </c>
      <c r="S552">
        <v>2.2200000000000002</v>
      </c>
      <c r="T552">
        <v>0.47</v>
      </c>
      <c r="U552">
        <v>1.66</v>
      </c>
      <c r="V552">
        <v>0.77</v>
      </c>
      <c r="W552">
        <v>1.66</v>
      </c>
      <c r="X552">
        <v>0</v>
      </c>
    </row>
    <row r="553" spans="2:24" hidden="1" x14ac:dyDescent="0.35">
      <c r="B553">
        <v>2017</v>
      </c>
      <c r="C553" s="1">
        <v>43085</v>
      </c>
      <c r="D553">
        <v>2411</v>
      </c>
      <c r="E553" t="s">
        <v>23</v>
      </c>
      <c r="F553" t="s">
        <v>25</v>
      </c>
      <c r="G553" t="s">
        <v>30</v>
      </c>
      <c r="H553">
        <v>64.91</v>
      </c>
      <c r="I553">
        <v>58.91</v>
      </c>
      <c r="J553">
        <v>0.50760000000000005</v>
      </c>
      <c r="K553">
        <v>0.23019999999999999</v>
      </c>
      <c r="L553">
        <v>0.26229999999999998</v>
      </c>
      <c r="M553">
        <v>1.64</v>
      </c>
      <c r="N553">
        <v>1.02</v>
      </c>
      <c r="O553">
        <v>3.9</v>
      </c>
      <c r="P553">
        <v>36.299999999999997</v>
      </c>
      <c r="Q553">
        <v>0</v>
      </c>
      <c r="R553">
        <v>3</v>
      </c>
      <c r="S553">
        <v>0.76</v>
      </c>
      <c r="T553">
        <v>1.93</v>
      </c>
      <c r="U553">
        <v>1.57</v>
      </c>
      <c r="V553">
        <v>1.73</v>
      </c>
      <c r="W553">
        <v>0</v>
      </c>
      <c r="X553">
        <v>2.52</v>
      </c>
    </row>
    <row r="554" spans="2:24" hidden="1" x14ac:dyDescent="0.35">
      <c r="B554">
        <v>2017</v>
      </c>
      <c r="C554" s="1">
        <v>43085</v>
      </c>
      <c r="D554">
        <v>2411</v>
      </c>
      <c r="E554" t="s">
        <v>23</v>
      </c>
      <c r="F554" t="s">
        <v>40</v>
      </c>
      <c r="G554" t="s">
        <v>46</v>
      </c>
      <c r="H554">
        <v>83.9</v>
      </c>
      <c r="I554">
        <v>51.79</v>
      </c>
      <c r="J554">
        <v>0.83350000000000002</v>
      </c>
      <c r="K554">
        <v>4.5699999999999998E-2</v>
      </c>
      <c r="L554">
        <v>0.12089999999999999</v>
      </c>
      <c r="M554">
        <v>2.79</v>
      </c>
      <c r="N554">
        <v>0.52</v>
      </c>
      <c r="O554">
        <v>74.3</v>
      </c>
      <c r="P554">
        <v>42.7</v>
      </c>
      <c r="Q554">
        <v>1</v>
      </c>
      <c r="R554">
        <v>0</v>
      </c>
      <c r="S554">
        <v>1.97</v>
      </c>
      <c r="T554">
        <v>0.35</v>
      </c>
      <c r="U554">
        <v>4.1500000000000004</v>
      </c>
      <c r="V554">
        <v>0.86</v>
      </c>
      <c r="W554">
        <v>1.05</v>
      </c>
      <c r="X554">
        <v>0</v>
      </c>
    </row>
    <row r="555" spans="2:24" hidden="1" x14ac:dyDescent="0.35">
      <c r="B555">
        <v>2017</v>
      </c>
      <c r="C555" s="1">
        <v>43085</v>
      </c>
      <c r="D555">
        <v>2411</v>
      </c>
      <c r="E555" t="s">
        <v>23</v>
      </c>
      <c r="F555" t="s">
        <v>45</v>
      </c>
      <c r="G555" t="s">
        <v>32</v>
      </c>
      <c r="H555">
        <v>49.79</v>
      </c>
      <c r="I555">
        <v>60.33</v>
      </c>
      <c r="J555">
        <v>0.3261</v>
      </c>
      <c r="K555">
        <v>0.33879999999999999</v>
      </c>
      <c r="L555">
        <v>0.33510000000000001</v>
      </c>
      <c r="M555">
        <v>0.95</v>
      </c>
      <c r="N555">
        <v>0.97</v>
      </c>
      <c r="O555">
        <v>46.8</v>
      </c>
      <c r="P555">
        <v>5.3</v>
      </c>
      <c r="Q555">
        <v>0</v>
      </c>
      <c r="R555">
        <v>0</v>
      </c>
      <c r="S555">
        <v>1.62</v>
      </c>
      <c r="T555">
        <v>1.06</v>
      </c>
      <c r="U555">
        <v>1.06</v>
      </c>
      <c r="V555">
        <v>1.41</v>
      </c>
      <c r="W555">
        <v>0</v>
      </c>
      <c r="X555">
        <v>0</v>
      </c>
    </row>
    <row r="556" spans="2:24" hidden="1" x14ac:dyDescent="0.35">
      <c r="B556">
        <v>2017</v>
      </c>
      <c r="C556" s="1">
        <v>43085</v>
      </c>
      <c r="D556">
        <v>2411</v>
      </c>
      <c r="E556" t="s">
        <v>23</v>
      </c>
      <c r="F556" t="s">
        <v>35</v>
      </c>
      <c r="G556" t="s">
        <v>44</v>
      </c>
      <c r="H556">
        <v>62.45</v>
      </c>
      <c r="I556">
        <v>46.6</v>
      </c>
      <c r="J556">
        <v>0.60519999999999996</v>
      </c>
      <c r="K556">
        <v>0.14879999999999999</v>
      </c>
      <c r="L556">
        <v>0.24610000000000001</v>
      </c>
      <c r="M556">
        <v>1.74</v>
      </c>
      <c r="N556">
        <v>0.73</v>
      </c>
      <c r="O556">
        <v>5.6</v>
      </c>
      <c r="P556">
        <v>45.1</v>
      </c>
      <c r="Q556">
        <v>1</v>
      </c>
      <c r="R556">
        <v>4</v>
      </c>
      <c r="S556">
        <v>0.56999999999999995</v>
      </c>
      <c r="T556">
        <v>2.6</v>
      </c>
      <c r="U556">
        <v>1.2</v>
      </c>
      <c r="V556">
        <v>1</v>
      </c>
      <c r="W556">
        <v>1.05</v>
      </c>
      <c r="X556">
        <v>3.5</v>
      </c>
    </row>
    <row r="557" spans="2:24" hidden="1" x14ac:dyDescent="0.35">
      <c r="B557">
        <v>2017</v>
      </c>
      <c r="C557" s="1">
        <v>43085</v>
      </c>
      <c r="D557">
        <v>2411</v>
      </c>
      <c r="E557" t="s">
        <v>23</v>
      </c>
      <c r="F557" t="s">
        <v>42</v>
      </c>
      <c r="G557" t="s">
        <v>34</v>
      </c>
      <c r="H557">
        <v>83.94</v>
      </c>
      <c r="I557">
        <v>61.07</v>
      </c>
      <c r="J557">
        <v>0.75860000000000005</v>
      </c>
      <c r="K557">
        <v>7.4300000000000005E-2</v>
      </c>
      <c r="L557">
        <v>0.1671</v>
      </c>
      <c r="M557">
        <v>2.35</v>
      </c>
      <c r="N557">
        <v>0.59</v>
      </c>
      <c r="O557">
        <v>61.2</v>
      </c>
      <c r="P557">
        <v>14.8</v>
      </c>
      <c r="Q557">
        <v>1</v>
      </c>
      <c r="R557">
        <v>0</v>
      </c>
      <c r="S557">
        <v>1.21</v>
      </c>
      <c r="T557">
        <v>0.7</v>
      </c>
      <c r="U557">
        <v>3.1</v>
      </c>
      <c r="V557">
        <v>0.78</v>
      </c>
      <c r="W557">
        <v>1.05</v>
      </c>
      <c r="X557">
        <v>0</v>
      </c>
    </row>
    <row r="558" spans="2:24" hidden="1" x14ac:dyDescent="0.35">
      <c r="B558">
        <v>2017</v>
      </c>
      <c r="C558" s="1">
        <v>43085</v>
      </c>
      <c r="D558">
        <v>2411</v>
      </c>
      <c r="E558" t="s">
        <v>23</v>
      </c>
      <c r="F558" t="s">
        <v>27</v>
      </c>
      <c r="G558" t="s">
        <v>43</v>
      </c>
      <c r="H558">
        <v>57.64</v>
      </c>
      <c r="I558">
        <v>53.81</v>
      </c>
      <c r="J558">
        <v>0.4854</v>
      </c>
      <c r="K558">
        <v>0.25230000000000002</v>
      </c>
      <c r="L558">
        <v>0.26219999999999999</v>
      </c>
      <c r="M558">
        <v>1.63</v>
      </c>
      <c r="N558">
        <v>1.1000000000000001</v>
      </c>
      <c r="O558">
        <v>31.9</v>
      </c>
      <c r="P558">
        <v>45</v>
      </c>
      <c r="Q558">
        <v>0</v>
      </c>
      <c r="R558">
        <v>3</v>
      </c>
      <c r="S558">
        <v>1.22</v>
      </c>
      <c r="T558">
        <v>2.38</v>
      </c>
      <c r="U558">
        <v>2.06</v>
      </c>
      <c r="V558">
        <v>1.79</v>
      </c>
      <c r="W558">
        <v>0</v>
      </c>
      <c r="X558">
        <v>2.61</v>
      </c>
    </row>
    <row r="559" spans="2:24" hidden="1" x14ac:dyDescent="0.35">
      <c r="B559">
        <v>2017</v>
      </c>
      <c r="C559" s="1">
        <v>43085</v>
      </c>
      <c r="D559">
        <v>2411</v>
      </c>
      <c r="E559" t="s">
        <v>23</v>
      </c>
      <c r="F559" t="s">
        <v>36</v>
      </c>
      <c r="G559" t="s">
        <v>29</v>
      </c>
      <c r="H559">
        <v>90.4</v>
      </c>
      <c r="I559">
        <v>83.3</v>
      </c>
      <c r="J559">
        <v>0.57010000000000005</v>
      </c>
      <c r="K559">
        <v>0.19850000000000001</v>
      </c>
      <c r="L559">
        <v>0.23139999999999999</v>
      </c>
      <c r="M559">
        <v>1.96</v>
      </c>
      <c r="N559">
        <v>1.07</v>
      </c>
      <c r="O559">
        <v>30.4</v>
      </c>
      <c r="P559">
        <v>73.900000000000006</v>
      </c>
      <c r="Q559">
        <v>4</v>
      </c>
      <c r="R559">
        <v>1</v>
      </c>
      <c r="S559">
        <v>3.93</v>
      </c>
      <c r="T559">
        <v>0.26</v>
      </c>
      <c r="U559">
        <v>1.76</v>
      </c>
      <c r="V559">
        <v>0.54</v>
      </c>
      <c r="W559">
        <v>3.44</v>
      </c>
      <c r="X559">
        <v>1.05</v>
      </c>
    </row>
    <row r="560" spans="2:24" hidden="1" x14ac:dyDescent="0.35">
      <c r="B560">
        <v>2017</v>
      </c>
      <c r="C560" s="1">
        <v>43086</v>
      </c>
      <c r="D560">
        <v>2411</v>
      </c>
      <c r="E560" t="s">
        <v>23</v>
      </c>
      <c r="F560" t="s">
        <v>31</v>
      </c>
      <c r="G560" t="s">
        <v>39</v>
      </c>
      <c r="H560">
        <v>53.5</v>
      </c>
      <c r="I560">
        <v>81.400000000000006</v>
      </c>
      <c r="J560">
        <v>0.17369999999999999</v>
      </c>
      <c r="K560">
        <v>0.57740000000000002</v>
      </c>
      <c r="L560">
        <v>0.24879999999999999</v>
      </c>
      <c r="M560">
        <v>0.84</v>
      </c>
      <c r="N560">
        <v>1.75</v>
      </c>
      <c r="O560">
        <v>47.3</v>
      </c>
      <c r="P560">
        <v>66.400000000000006</v>
      </c>
      <c r="Q560">
        <v>1</v>
      </c>
      <c r="R560">
        <v>2</v>
      </c>
      <c r="S560">
        <v>0.78</v>
      </c>
      <c r="T560">
        <v>0.49</v>
      </c>
      <c r="U560">
        <v>1.31</v>
      </c>
      <c r="V560">
        <v>1.03</v>
      </c>
      <c r="W560">
        <v>1.05</v>
      </c>
      <c r="X560">
        <v>2.1</v>
      </c>
    </row>
    <row r="561" spans="2:24" hidden="1" x14ac:dyDescent="0.35">
      <c r="B561">
        <v>2017</v>
      </c>
      <c r="C561" s="1">
        <v>43086</v>
      </c>
      <c r="D561">
        <v>2411</v>
      </c>
      <c r="E561" t="s">
        <v>23</v>
      </c>
      <c r="F561" t="s">
        <v>38</v>
      </c>
      <c r="G561" t="s">
        <v>41</v>
      </c>
      <c r="H561">
        <v>56.02</v>
      </c>
      <c r="I561">
        <v>84.38</v>
      </c>
      <c r="J561">
        <v>0.16189999999999999</v>
      </c>
      <c r="K561">
        <v>0.63029999999999997</v>
      </c>
      <c r="L561">
        <v>0.20780000000000001</v>
      </c>
      <c r="M561">
        <v>1.02</v>
      </c>
      <c r="N561">
        <v>2.2000000000000002</v>
      </c>
      <c r="O561">
        <v>30.7</v>
      </c>
      <c r="P561">
        <v>66.2</v>
      </c>
      <c r="Q561">
        <v>0</v>
      </c>
      <c r="R561">
        <v>4</v>
      </c>
      <c r="S561">
        <v>0.61</v>
      </c>
      <c r="T561">
        <v>3.09</v>
      </c>
      <c r="U561">
        <v>0.84</v>
      </c>
      <c r="V561">
        <v>3.01</v>
      </c>
      <c r="W561">
        <v>0</v>
      </c>
      <c r="X561">
        <v>4.2</v>
      </c>
    </row>
    <row r="562" spans="2:24" hidden="1" x14ac:dyDescent="0.35">
      <c r="B562">
        <v>2017</v>
      </c>
      <c r="C562" s="1">
        <v>43087</v>
      </c>
      <c r="D562">
        <v>2411</v>
      </c>
      <c r="E562" t="s">
        <v>23</v>
      </c>
      <c r="F562" t="s">
        <v>28</v>
      </c>
      <c r="G562" t="s">
        <v>33</v>
      </c>
      <c r="H562">
        <v>60.22</v>
      </c>
      <c r="I562">
        <v>51</v>
      </c>
      <c r="J562">
        <v>0.53420000000000001</v>
      </c>
      <c r="K562">
        <v>0.19239999999999999</v>
      </c>
      <c r="L562">
        <v>0.27339999999999998</v>
      </c>
      <c r="M562">
        <v>1.54</v>
      </c>
      <c r="N562">
        <v>0.81</v>
      </c>
      <c r="O562">
        <v>10.199999999999999</v>
      </c>
      <c r="P562">
        <v>57.3</v>
      </c>
      <c r="Q562">
        <v>3</v>
      </c>
      <c r="R562">
        <v>1</v>
      </c>
      <c r="S562">
        <v>2.14</v>
      </c>
      <c r="T562">
        <v>0.74</v>
      </c>
      <c r="U562">
        <v>0.85</v>
      </c>
      <c r="V562">
        <v>0.43</v>
      </c>
      <c r="W562">
        <v>3.07</v>
      </c>
      <c r="X562">
        <v>1.05</v>
      </c>
    </row>
    <row r="563" spans="2:24" hidden="1" x14ac:dyDescent="0.35">
      <c r="B563">
        <v>2017</v>
      </c>
      <c r="C563" s="1">
        <v>43091</v>
      </c>
      <c r="D563">
        <v>2411</v>
      </c>
      <c r="E563" t="s">
        <v>23</v>
      </c>
      <c r="F563" t="s">
        <v>40</v>
      </c>
      <c r="G563" t="s">
        <v>41</v>
      </c>
      <c r="H563">
        <v>83.86</v>
      </c>
      <c r="I563">
        <v>85.7</v>
      </c>
      <c r="J563">
        <v>0.42180000000000001</v>
      </c>
      <c r="K563">
        <v>0.33739999999999998</v>
      </c>
      <c r="L563">
        <v>0.24079999999999999</v>
      </c>
      <c r="M563">
        <v>1.8</v>
      </c>
      <c r="N563">
        <v>1.59</v>
      </c>
      <c r="O563">
        <v>88.5</v>
      </c>
      <c r="P563">
        <v>78.5</v>
      </c>
      <c r="Q563">
        <v>3</v>
      </c>
      <c r="R563">
        <v>3</v>
      </c>
      <c r="S563">
        <v>1.41</v>
      </c>
      <c r="T563">
        <v>2.42</v>
      </c>
      <c r="U563">
        <v>1.78</v>
      </c>
      <c r="V563">
        <v>2.2799999999999998</v>
      </c>
      <c r="W563">
        <v>3.15</v>
      </c>
      <c r="X563">
        <v>3.15</v>
      </c>
    </row>
    <row r="564" spans="2:24" hidden="1" x14ac:dyDescent="0.35">
      <c r="B564">
        <v>2017</v>
      </c>
      <c r="C564" s="1">
        <v>43092</v>
      </c>
      <c r="D564">
        <v>2411</v>
      </c>
      <c r="E564" t="s">
        <v>23</v>
      </c>
      <c r="F564" t="s">
        <v>28</v>
      </c>
      <c r="G564" t="s">
        <v>42</v>
      </c>
      <c r="H564">
        <v>61.04</v>
      </c>
      <c r="I564">
        <v>83.82</v>
      </c>
      <c r="J564">
        <v>0.19950000000000001</v>
      </c>
      <c r="K564">
        <v>0.57420000000000004</v>
      </c>
      <c r="L564">
        <v>0.2263</v>
      </c>
      <c r="M564">
        <v>1.1100000000000001</v>
      </c>
      <c r="N564">
        <v>2.0299999999999998</v>
      </c>
      <c r="O564">
        <v>2.2000000000000002</v>
      </c>
      <c r="P564">
        <v>55.2</v>
      </c>
      <c r="Q564">
        <v>0</v>
      </c>
      <c r="R564">
        <v>0</v>
      </c>
      <c r="S564">
        <v>0.37</v>
      </c>
      <c r="T564">
        <v>2.2599999999999998</v>
      </c>
      <c r="U564">
        <v>0.56000000000000005</v>
      </c>
      <c r="V564">
        <v>2.67</v>
      </c>
      <c r="W564">
        <v>0</v>
      </c>
      <c r="X564">
        <v>0</v>
      </c>
    </row>
    <row r="565" spans="2:24" hidden="1" x14ac:dyDescent="0.35">
      <c r="B565">
        <v>2017</v>
      </c>
      <c r="C565" s="1">
        <v>43092</v>
      </c>
      <c r="D565">
        <v>2411</v>
      </c>
      <c r="E565" t="s">
        <v>23</v>
      </c>
      <c r="F565" t="s">
        <v>34</v>
      </c>
      <c r="G565" t="s">
        <v>44</v>
      </c>
      <c r="H565">
        <v>61.11</v>
      </c>
      <c r="I565">
        <v>50.18</v>
      </c>
      <c r="J565">
        <v>0.55000000000000004</v>
      </c>
      <c r="K565">
        <v>0.1779</v>
      </c>
      <c r="L565">
        <v>0.27200000000000002</v>
      </c>
      <c r="M565">
        <v>1.55</v>
      </c>
      <c r="N565">
        <v>0.75</v>
      </c>
      <c r="O565">
        <v>33.799999999999997</v>
      </c>
      <c r="P565">
        <v>26.4</v>
      </c>
      <c r="Q565">
        <v>1</v>
      </c>
      <c r="R565">
        <v>1</v>
      </c>
      <c r="S565">
        <v>2.27</v>
      </c>
      <c r="T565">
        <v>1.05</v>
      </c>
      <c r="U565">
        <v>1.4</v>
      </c>
      <c r="V565">
        <v>1.07</v>
      </c>
      <c r="W565">
        <v>1.05</v>
      </c>
      <c r="X565">
        <v>1.05</v>
      </c>
    </row>
    <row r="566" spans="2:24" hidden="1" x14ac:dyDescent="0.35">
      <c r="B566">
        <v>2017</v>
      </c>
      <c r="C566" s="1">
        <v>43092</v>
      </c>
      <c r="D566">
        <v>2411</v>
      </c>
      <c r="E566" t="s">
        <v>23</v>
      </c>
      <c r="F566" t="s">
        <v>36</v>
      </c>
      <c r="G566" t="s">
        <v>38</v>
      </c>
      <c r="H566">
        <v>91.23</v>
      </c>
      <c r="I566">
        <v>53.98</v>
      </c>
      <c r="J566">
        <v>0.90110000000000001</v>
      </c>
      <c r="K566">
        <v>2.0500000000000001E-2</v>
      </c>
      <c r="L566">
        <v>7.8399999999999997E-2</v>
      </c>
      <c r="M566">
        <v>3.19</v>
      </c>
      <c r="N566">
        <v>0.36</v>
      </c>
      <c r="O566">
        <v>19</v>
      </c>
      <c r="P566">
        <v>39.6</v>
      </c>
      <c r="Q566">
        <v>4</v>
      </c>
      <c r="R566">
        <v>0</v>
      </c>
      <c r="S566">
        <v>1.44</v>
      </c>
      <c r="T566">
        <v>0.28000000000000003</v>
      </c>
      <c r="U566">
        <v>1.85</v>
      </c>
      <c r="V566">
        <v>0.56000000000000005</v>
      </c>
      <c r="W566">
        <v>3.6</v>
      </c>
      <c r="X566">
        <v>0</v>
      </c>
    </row>
    <row r="567" spans="2:24" hidden="1" x14ac:dyDescent="0.35">
      <c r="B567">
        <v>2017</v>
      </c>
      <c r="C567" s="1">
        <v>43092</v>
      </c>
      <c r="D567">
        <v>2411</v>
      </c>
      <c r="E567" t="s">
        <v>23</v>
      </c>
      <c r="F567" t="s">
        <v>33</v>
      </c>
      <c r="G567" t="s">
        <v>30</v>
      </c>
      <c r="H567">
        <v>50.19</v>
      </c>
      <c r="I567">
        <v>61.56</v>
      </c>
      <c r="J567">
        <v>0.3246</v>
      </c>
      <c r="K567">
        <v>0.3705</v>
      </c>
      <c r="L567">
        <v>0.3049</v>
      </c>
      <c r="M567">
        <v>1.08</v>
      </c>
      <c r="N567">
        <v>1.17</v>
      </c>
      <c r="O567">
        <v>52.2</v>
      </c>
      <c r="P567">
        <v>28.4</v>
      </c>
      <c r="Q567">
        <v>1</v>
      </c>
      <c r="R567">
        <v>1</v>
      </c>
      <c r="S567">
        <v>0.61</v>
      </c>
      <c r="T567">
        <v>1.19</v>
      </c>
      <c r="U567">
        <v>0.87</v>
      </c>
      <c r="V567">
        <v>2.16</v>
      </c>
      <c r="W567">
        <v>1.05</v>
      </c>
      <c r="X567">
        <v>1.05</v>
      </c>
    </row>
    <row r="568" spans="2:24" hidden="1" x14ac:dyDescent="0.35">
      <c r="B568">
        <v>2017</v>
      </c>
      <c r="C568" s="1">
        <v>43092</v>
      </c>
      <c r="D568">
        <v>2411</v>
      </c>
      <c r="E568" t="s">
        <v>23</v>
      </c>
      <c r="F568" t="s">
        <v>45</v>
      </c>
      <c r="G568" t="s">
        <v>35</v>
      </c>
      <c r="H568">
        <v>49.82</v>
      </c>
      <c r="I568">
        <v>58.74</v>
      </c>
      <c r="J568">
        <v>0.3503</v>
      </c>
      <c r="K568">
        <v>0.36020000000000002</v>
      </c>
      <c r="L568">
        <v>0.28949999999999998</v>
      </c>
      <c r="M568">
        <v>1.22</v>
      </c>
      <c r="N568">
        <v>1.24</v>
      </c>
      <c r="O568">
        <v>51.3</v>
      </c>
      <c r="P568">
        <v>13.4</v>
      </c>
      <c r="Q568">
        <v>1</v>
      </c>
      <c r="R568">
        <v>0</v>
      </c>
      <c r="S568">
        <v>1.82</v>
      </c>
      <c r="T568">
        <v>0.9</v>
      </c>
      <c r="U568">
        <v>1.94</v>
      </c>
      <c r="V568">
        <v>1.02</v>
      </c>
      <c r="W568">
        <v>1.05</v>
      </c>
      <c r="X568">
        <v>0</v>
      </c>
    </row>
    <row r="569" spans="2:24" hidden="1" x14ac:dyDescent="0.35">
      <c r="B569">
        <v>2017</v>
      </c>
      <c r="C569" s="1">
        <v>43092</v>
      </c>
      <c r="D569">
        <v>2411</v>
      </c>
      <c r="E569" t="s">
        <v>23</v>
      </c>
      <c r="F569" t="s">
        <v>27</v>
      </c>
      <c r="G569" t="s">
        <v>31</v>
      </c>
      <c r="H569">
        <v>55.17</v>
      </c>
      <c r="I569">
        <v>54.13</v>
      </c>
      <c r="J569">
        <v>0.45169999999999999</v>
      </c>
      <c r="K569">
        <v>0.26169999999999999</v>
      </c>
      <c r="L569">
        <v>0.28660000000000002</v>
      </c>
      <c r="M569">
        <v>1.4</v>
      </c>
      <c r="N569">
        <v>1</v>
      </c>
      <c r="O569">
        <v>47.8</v>
      </c>
      <c r="P569">
        <v>52.6</v>
      </c>
      <c r="Q569">
        <v>3</v>
      </c>
      <c r="R569">
        <v>1</v>
      </c>
      <c r="S569">
        <v>1.65</v>
      </c>
      <c r="T569">
        <v>2.2200000000000002</v>
      </c>
      <c r="U569">
        <v>0.92</v>
      </c>
      <c r="V569">
        <v>2.38</v>
      </c>
      <c r="W569">
        <v>2.63</v>
      </c>
      <c r="X569">
        <v>1.05</v>
      </c>
    </row>
    <row r="570" spans="2:24" hidden="1" x14ac:dyDescent="0.35">
      <c r="B570">
        <v>2017</v>
      </c>
      <c r="C570" s="1">
        <v>43092</v>
      </c>
      <c r="D570">
        <v>2411</v>
      </c>
      <c r="E570" t="s">
        <v>23</v>
      </c>
      <c r="F570" t="s">
        <v>43</v>
      </c>
      <c r="G570" t="s">
        <v>46</v>
      </c>
      <c r="H570">
        <v>56.24</v>
      </c>
      <c r="I570">
        <v>51.76</v>
      </c>
      <c r="J570">
        <v>0.48799999999999999</v>
      </c>
      <c r="K570">
        <v>0.2382</v>
      </c>
      <c r="L570">
        <v>0.27379999999999999</v>
      </c>
      <c r="M570">
        <v>1.53</v>
      </c>
      <c r="N570">
        <v>0.98</v>
      </c>
      <c r="O570">
        <v>39.4</v>
      </c>
      <c r="P570">
        <v>53.2</v>
      </c>
      <c r="Q570">
        <v>2</v>
      </c>
      <c r="R570">
        <v>3</v>
      </c>
      <c r="S570">
        <v>2.23</v>
      </c>
      <c r="T570">
        <v>2</v>
      </c>
      <c r="U570">
        <v>2.1800000000000002</v>
      </c>
      <c r="V570">
        <v>0.55000000000000004</v>
      </c>
      <c r="W570">
        <v>2.1</v>
      </c>
      <c r="X570">
        <v>3.15</v>
      </c>
    </row>
    <row r="571" spans="2:24" hidden="1" x14ac:dyDescent="0.35">
      <c r="B571">
        <v>2017</v>
      </c>
      <c r="C571" s="1">
        <v>43092</v>
      </c>
      <c r="D571">
        <v>2411</v>
      </c>
      <c r="E571" t="s">
        <v>23</v>
      </c>
      <c r="F571" t="s">
        <v>32</v>
      </c>
      <c r="G571" t="s">
        <v>29</v>
      </c>
      <c r="H571">
        <v>60.32</v>
      </c>
      <c r="I571">
        <v>82.23</v>
      </c>
      <c r="J571">
        <v>0.21440000000000001</v>
      </c>
      <c r="K571">
        <v>0.50729999999999997</v>
      </c>
      <c r="L571">
        <v>0.27829999999999999</v>
      </c>
      <c r="M571">
        <v>0.87</v>
      </c>
      <c r="N571">
        <v>1.5</v>
      </c>
      <c r="O571">
        <v>6.1</v>
      </c>
      <c r="P571">
        <v>59.7</v>
      </c>
      <c r="Q571">
        <v>0</v>
      </c>
      <c r="R571">
        <v>3</v>
      </c>
      <c r="S571">
        <v>0.22</v>
      </c>
      <c r="T571">
        <v>3.73</v>
      </c>
      <c r="U571">
        <v>0.93</v>
      </c>
      <c r="V571">
        <v>1.47</v>
      </c>
      <c r="W571">
        <v>0</v>
      </c>
      <c r="X571">
        <v>2.94</v>
      </c>
    </row>
    <row r="572" spans="2:24" hidden="1" x14ac:dyDescent="0.35">
      <c r="B572">
        <v>2017</v>
      </c>
      <c r="C572" s="1">
        <v>43092</v>
      </c>
      <c r="D572">
        <v>2411</v>
      </c>
      <c r="E572" t="s">
        <v>23</v>
      </c>
      <c r="F572" t="s">
        <v>25</v>
      </c>
      <c r="G572" t="s">
        <v>39</v>
      </c>
      <c r="H572">
        <v>62.3</v>
      </c>
      <c r="I572">
        <v>80.930000000000007</v>
      </c>
      <c r="J572">
        <v>0.2429</v>
      </c>
      <c r="K572">
        <v>0.5111</v>
      </c>
      <c r="L572">
        <v>0.246</v>
      </c>
      <c r="M572">
        <v>1.18</v>
      </c>
      <c r="N572">
        <v>1.81</v>
      </c>
      <c r="O572">
        <v>1.4</v>
      </c>
      <c r="P572">
        <v>53.5</v>
      </c>
      <c r="Q572">
        <v>2</v>
      </c>
      <c r="R572">
        <v>2</v>
      </c>
      <c r="S572">
        <v>1.77</v>
      </c>
      <c r="T572">
        <v>1.93</v>
      </c>
      <c r="U572">
        <v>1.03</v>
      </c>
      <c r="V572">
        <v>2.16</v>
      </c>
      <c r="W572">
        <v>2.1</v>
      </c>
      <c r="X572">
        <v>2.1</v>
      </c>
    </row>
    <row r="573" spans="2:24" hidden="1" x14ac:dyDescent="0.35">
      <c r="B573">
        <v>2017</v>
      </c>
      <c r="C573" s="1">
        <v>43095</v>
      </c>
      <c r="D573">
        <v>2411</v>
      </c>
      <c r="E573" t="s">
        <v>23</v>
      </c>
      <c r="F573" t="s">
        <v>29</v>
      </c>
      <c r="G573" t="s">
        <v>34</v>
      </c>
      <c r="H573">
        <v>83.79</v>
      </c>
      <c r="I573">
        <v>60.58</v>
      </c>
      <c r="J573">
        <v>0.76019999999999999</v>
      </c>
      <c r="K573">
        <v>6.9099999999999995E-2</v>
      </c>
      <c r="L573">
        <v>0.17069999999999999</v>
      </c>
      <c r="M573">
        <v>2.27</v>
      </c>
      <c r="N573">
        <v>0.52</v>
      </c>
      <c r="O573">
        <v>26.3</v>
      </c>
      <c r="P573">
        <v>26.3</v>
      </c>
      <c r="Q573">
        <v>5</v>
      </c>
      <c r="R573">
        <v>2</v>
      </c>
      <c r="S573">
        <v>3.29</v>
      </c>
      <c r="T573">
        <v>0.79</v>
      </c>
      <c r="U573">
        <v>2.2799999999999998</v>
      </c>
      <c r="V573">
        <v>1.31</v>
      </c>
      <c r="W573">
        <v>5.25</v>
      </c>
      <c r="X573">
        <v>2.1</v>
      </c>
    </row>
    <row r="574" spans="2:24" hidden="1" x14ac:dyDescent="0.35">
      <c r="B574">
        <v>2017</v>
      </c>
      <c r="C574" s="1">
        <v>43095</v>
      </c>
      <c r="D574">
        <v>2411</v>
      </c>
      <c r="E574" t="s">
        <v>23</v>
      </c>
      <c r="F574" t="s">
        <v>44</v>
      </c>
      <c r="G574" t="s">
        <v>27</v>
      </c>
      <c r="H574">
        <v>50.71</v>
      </c>
      <c r="I574">
        <v>55.1</v>
      </c>
      <c r="J574">
        <v>0.39710000000000001</v>
      </c>
      <c r="K574">
        <v>0.32529999999999998</v>
      </c>
      <c r="L574">
        <v>0.27760000000000001</v>
      </c>
      <c r="M574">
        <v>1.39</v>
      </c>
      <c r="N574">
        <v>1.24</v>
      </c>
      <c r="O574">
        <v>27.5</v>
      </c>
      <c r="P574">
        <v>27.5</v>
      </c>
      <c r="Q574">
        <v>1</v>
      </c>
      <c r="R574">
        <v>1</v>
      </c>
      <c r="S574">
        <v>1.83</v>
      </c>
      <c r="T574">
        <v>1.47</v>
      </c>
      <c r="U574">
        <v>1.1200000000000001</v>
      </c>
      <c r="V574">
        <v>1.31</v>
      </c>
      <c r="W574">
        <v>1.05</v>
      </c>
      <c r="X574">
        <v>1.05</v>
      </c>
    </row>
    <row r="575" spans="2:24" hidden="1" x14ac:dyDescent="0.35">
      <c r="B575">
        <v>2017</v>
      </c>
      <c r="C575" s="1">
        <v>43095</v>
      </c>
      <c r="D575">
        <v>2411</v>
      </c>
      <c r="E575" t="s">
        <v>23</v>
      </c>
      <c r="F575" t="s">
        <v>31</v>
      </c>
      <c r="G575" t="s">
        <v>28</v>
      </c>
      <c r="H575">
        <v>54.15</v>
      </c>
      <c r="I575">
        <v>60.34</v>
      </c>
      <c r="J575">
        <v>0.37690000000000001</v>
      </c>
      <c r="K575">
        <v>0.32819999999999999</v>
      </c>
      <c r="L575">
        <v>0.29499999999999998</v>
      </c>
      <c r="M575">
        <v>1.24</v>
      </c>
      <c r="N575">
        <v>1.1399999999999999</v>
      </c>
      <c r="O575">
        <v>22.3</v>
      </c>
      <c r="P575">
        <v>22.3</v>
      </c>
      <c r="Q575">
        <v>0</v>
      </c>
      <c r="R575">
        <v>0</v>
      </c>
      <c r="S575">
        <v>1.1399999999999999</v>
      </c>
      <c r="T575">
        <v>0.46</v>
      </c>
      <c r="U575">
        <v>1.59</v>
      </c>
      <c r="V575">
        <v>0.56999999999999995</v>
      </c>
      <c r="W575">
        <v>0</v>
      </c>
      <c r="X575">
        <v>0</v>
      </c>
    </row>
    <row r="576" spans="2:24" hidden="1" x14ac:dyDescent="0.35">
      <c r="B576">
        <v>2017</v>
      </c>
      <c r="C576" s="1">
        <v>43095</v>
      </c>
      <c r="D576">
        <v>2411</v>
      </c>
      <c r="E576" t="s">
        <v>23</v>
      </c>
      <c r="F576" t="s">
        <v>38</v>
      </c>
      <c r="G576" t="s">
        <v>43</v>
      </c>
      <c r="H576">
        <v>53.76</v>
      </c>
      <c r="I576">
        <v>55.43</v>
      </c>
      <c r="J576">
        <v>0.4264</v>
      </c>
      <c r="K576">
        <v>0.29849999999999999</v>
      </c>
      <c r="L576">
        <v>0.2752</v>
      </c>
      <c r="M576">
        <v>1.46</v>
      </c>
      <c r="N576">
        <v>1.18</v>
      </c>
      <c r="O576">
        <v>37.799999999999997</v>
      </c>
      <c r="P576">
        <v>37.799999999999997</v>
      </c>
      <c r="Q576">
        <v>3</v>
      </c>
      <c r="R576">
        <v>3</v>
      </c>
      <c r="S576">
        <v>3.16</v>
      </c>
      <c r="T576">
        <v>2.1800000000000002</v>
      </c>
      <c r="U576">
        <v>3.03</v>
      </c>
      <c r="V576">
        <v>1.07</v>
      </c>
      <c r="W576">
        <v>3.15</v>
      </c>
      <c r="X576">
        <v>3.15</v>
      </c>
    </row>
    <row r="577" spans="2:24" hidden="1" x14ac:dyDescent="0.35">
      <c r="B577">
        <v>2017</v>
      </c>
      <c r="C577" s="1">
        <v>43095</v>
      </c>
      <c r="D577">
        <v>2411</v>
      </c>
      <c r="E577" t="s">
        <v>23</v>
      </c>
      <c r="F577" t="s">
        <v>42</v>
      </c>
      <c r="G577" t="s">
        <v>45</v>
      </c>
      <c r="H577">
        <v>84.11</v>
      </c>
      <c r="I577">
        <v>50.95</v>
      </c>
      <c r="J577">
        <v>0.83350000000000002</v>
      </c>
      <c r="K577">
        <v>2.93E-2</v>
      </c>
      <c r="L577">
        <v>0.1371</v>
      </c>
      <c r="M577">
        <v>2.34</v>
      </c>
      <c r="N577">
        <v>0.26</v>
      </c>
      <c r="O577">
        <v>32</v>
      </c>
      <c r="P577">
        <v>32</v>
      </c>
      <c r="Q577">
        <v>2</v>
      </c>
      <c r="R577">
        <v>0</v>
      </c>
      <c r="S577">
        <v>2.27</v>
      </c>
      <c r="T577">
        <v>0.56000000000000005</v>
      </c>
      <c r="U577">
        <v>3.73</v>
      </c>
      <c r="V577">
        <v>0.77</v>
      </c>
      <c r="W577">
        <v>2.1</v>
      </c>
      <c r="X577">
        <v>0</v>
      </c>
    </row>
    <row r="578" spans="2:24" hidden="1" x14ac:dyDescent="0.35">
      <c r="B578">
        <v>2017</v>
      </c>
      <c r="C578" s="1">
        <v>43095</v>
      </c>
      <c r="D578">
        <v>2411</v>
      </c>
      <c r="E578" t="s">
        <v>23</v>
      </c>
      <c r="F578" t="s">
        <v>39</v>
      </c>
      <c r="G578" t="s">
        <v>32</v>
      </c>
      <c r="H578">
        <v>80.599999999999994</v>
      </c>
      <c r="I578">
        <v>58.19</v>
      </c>
      <c r="J578">
        <v>0.68679999999999997</v>
      </c>
      <c r="K578">
        <v>9.8299999999999998E-2</v>
      </c>
      <c r="L578">
        <v>0.21490000000000001</v>
      </c>
      <c r="M578">
        <v>1.92</v>
      </c>
      <c r="N578">
        <v>0.56999999999999995</v>
      </c>
      <c r="O578">
        <v>20.8</v>
      </c>
      <c r="P578">
        <v>20.8</v>
      </c>
      <c r="Q578">
        <v>2</v>
      </c>
      <c r="R578">
        <v>2</v>
      </c>
      <c r="S578">
        <v>2.06</v>
      </c>
      <c r="T578">
        <v>0.72</v>
      </c>
      <c r="U578">
        <v>3.21</v>
      </c>
      <c r="V578">
        <v>0.99</v>
      </c>
      <c r="W578">
        <v>2.1</v>
      </c>
      <c r="X578">
        <v>2.1</v>
      </c>
    </row>
    <row r="579" spans="2:24" hidden="1" x14ac:dyDescent="0.35">
      <c r="B579">
        <v>2017</v>
      </c>
      <c r="C579" s="1">
        <v>43095</v>
      </c>
      <c r="D579">
        <v>2411</v>
      </c>
      <c r="E579" t="s">
        <v>23</v>
      </c>
      <c r="F579" t="s">
        <v>35</v>
      </c>
      <c r="G579" t="s">
        <v>25</v>
      </c>
      <c r="H579">
        <v>57.56</v>
      </c>
      <c r="I579">
        <v>62.86</v>
      </c>
      <c r="J579">
        <v>0.39269999999999999</v>
      </c>
      <c r="K579">
        <v>0.34749999999999998</v>
      </c>
      <c r="L579">
        <v>0.25969999999999999</v>
      </c>
      <c r="M579">
        <v>1.54</v>
      </c>
      <c r="N579">
        <v>1.43</v>
      </c>
      <c r="O579">
        <v>5.8</v>
      </c>
      <c r="P579">
        <v>5.8</v>
      </c>
      <c r="Q579">
        <v>2</v>
      </c>
      <c r="R579">
        <v>1</v>
      </c>
      <c r="S579">
        <v>1.42</v>
      </c>
      <c r="T579">
        <v>1.4</v>
      </c>
      <c r="U579">
        <v>1.26</v>
      </c>
      <c r="V579">
        <v>1.74</v>
      </c>
      <c r="W579">
        <v>2.1</v>
      </c>
      <c r="X579">
        <v>1.05</v>
      </c>
    </row>
    <row r="580" spans="2:24" hidden="1" x14ac:dyDescent="0.35">
      <c r="B580">
        <v>2017</v>
      </c>
      <c r="C580" s="1">
        <v>43095</v>
      </c>
      <c r="D580">
        <v>2411</v>
      </c>
      <c r="E580" t="s">
        <v>23</v>
      </c>
      <c r="F580" t="s">
        <v>41</v>
      </c>
      <c r="G580" t="s">
        <v>33</v>
      </c>
      <c r="H580">
        <v>86.14</v>
      </c>
      <c r="I580">
        <v>49.71</v>
      </c>
      <c r="J580">
        <v>0.8649</v>
      </c>
      <c r="K580">
        <v>2.7300000000000001E-2</v>
      </c>
      <c r="L580">
        <v>0.10780000000000001</v>
      </c>
      <c r="M580">
        <v>2.73</v>
      </c>
      <c r="N580">
        <v>0.33</v>
      </c>
      <c r="O580">
        <v>37.4</v>
      </c>
      <c r="P580">
        <v>37.4</v>
      </c>
      <c r="Q580">
        <v>5</v>
      </c>
      <c r="R580">
        <v>0</v>
      </c>
      <c r="S580">
        <v>2.84</v>
      </c>
      <c r="T580">
        <v>0.43</v>
      </c>
      <c r="U580">
        <v>2.65</v>
      </c>
      <c r="V580">
        <v>1.1100000000000001</v>
      </c>
      <c r="W580">
        <v>4.93</v>
      </c>
      <c r="X580">
        <v>0</v>
      </c>
    </row>
    <row r="581" spans="2:24" hidden="1" x14ac:dyDescent="0.35">
      <c r="B581">
        <v>2017</v>
      </c>
      <c r="C581" s="1">
        <v>43096</v>
      </c>
      <c r="D581">
        <v>2411</v>
      </c>
      <c r="E581" t="s">
        <v>23</v>
      </c>
      <c r="F581" t="s">
        <v>46</v>
      </c>
      <c r="G581" t="s">
        <v>36</v>
      </c>
      <c r="H581">
        <v>52.51</v>
      </c>
      <c r="I581">
        <v>91.28</v>
      </c>
      <c r="J581">
        <v>7.7700000000000005E-2</v>
      </c>
      <c r="K581">
        <v>0.78010000000000002</v>
      </c>
      <c r="L581">
        <v>0.14219999999999999</v>
      </c>
      <c r="M581">
        <v>0.79</v>
      </c>
      <c r="N581">
        <v>2.8</v>
      </c>
      <c r="O581">
        <v>20.5</v>
      </c>
      <c r="P581">
        <v>20.5</v>
      </c>
      <c r="Q581">
        <v>0</v>
      </c>
      <c r="R581">
        <v>1</v>
      </c>
      <c r="S581">
        <v>0.2</v>
      </c>
      <c r="T581">
        <v>2.48</v>
      </c>
      <c r="U581">
        <v>0.33</v>
      </c>
      <c r="V581">
        <v>2.63</v>
      </c>
      <c r="W581">
        <v>0</v>
      </c>
      <c r="X581">
        <v>1.05</v>
      </c>
    </row>
    <row r="582" spans="2:24" hidden="1" x14ac:dyDescent="0.35">
      <c r="B582">
        <v>2017</v>
      </c>
      <c r="C582" s="1">
        <v>43097</v>
      </c>
      <c r="D582">
        <v>2411</v>
      </c>
      <c r="E582" t="s">
        <v>23</v>
      </c>
      <c r="F582" t="s">
        <v>30</v>
      </c>
      <c r="G582" t="s">
        <v>40</v>
      </c>
      <c r="H582">
        <v>62.04</v>
      </c>
      <c r="I582">
        <v>83.64</v>
      </c>
      <c r="J582">
        <v>0.2152</v>
      </c>
      <c r="K582">
        <v>0.55630000000000002</v>
      </c>
      <c r="L582">
        <v>0.2286</v>
      </c>
      <c r="M582">
        <v>1.18</v>
      </c>
      <c r="N582">
        <v>2.0099999999999998</v>
      </c>
      <c r="O582">
        <v>24.1</v>
      </c>
      <c r="P582">
        <v>70.400000000000006</v>
      </c>
      <c r="Q582">
        <v>2</v>
      </c>
      <c r="R582">
        <v>3</v>
      </c>
      <c r="S582">
        <v>1.41</v>
      </c>
      <c r="T582">
        <v>2.11</v>
      </c>
      <c r="U582">
        <v>1.42</v>
      </c>
      <c r="V582">
        <v>2.94</v>
      </c>
      <c r="W582">
        <v>2.1</v>
      </c>
      <c r="X582">
        <v>3.15</v>
      </c>
    </row>
    <row r="583" spans="2:24" hidden="1" x14ac:dyDescent="0.35">
      <c r="B583">
        <v>2017</v>
      </c>
      <c r="C583" s="1">
        <v>43099</v>
      </c>
      <c r="D583">
        <v>2411</v>
      </c>
      <c r="E583" t="s">
        <v>23</v>
      </c>
      <c r="F583" t="s">
        <v>42</v>
      </c>
      <c r="G583" t="s">
        <v>27</v>
      </c>
      <c r="H583">
        <v>84.32</v>
      </c>
      <c r="I583">
        <v>55.25</v>
      </c>
      <c r="J583">
        <v>0.81820000000000004</v>
      </c>
      <c r="K583">
        <v>5.1700000000000003E-2</v>
      </c>
      <c r="L583">
        <v>0.13009999999999999</v>
      </c>
      <c r="M583">
        <v>2.71</v>
      </c>
      <c r="N583">
        <v>0.55000000000000004</v>
      </c>
      <c r="O583">
        <v>76.5</v>
      </c>
      <c r="P583">
        <v>29.4</v>
      </c>
      <c r="Q583">
        <v>5</v>
      </c>
      <c r="R583">
        <v>0</v>
      </c>
      <c r="S583">
        <v>3.06</v>
      </c>
      <c r="T583">
        <v>0.15</v>
      </c>
      <c r="U583">
        <v>1.69</v>
      </c>
      <c r="V583">
        <v>0.18</v>
      </c>
      <c r="W583">
        <v>4.71</v>
      </c>
      <c r="X583">
        <v>0</v>
      </c>
    </row>
    <row r="584" spans="2:24" hidden="1" x14ac:dyDescent="0.35">
      <c r="B584">
        <v>2017</v>
      </c>
      <c r="C584" s="1">
        <v>43099</v>
      </c>
      <c r="D584">
        <v>2411</v>
      </c>
      <c r="E584" t="s">
        <v>23</v>
      </c>
      <c r="F584" t="s">
        <v>46</v>
      </c>
      <c r="G584" t="s">
        <v>45</v>
      </c>
      <c r="H584">
        <v>51.93</v>
      </c>
      <c r="I584">
        <v>50.65</v>
      </c>
      <c r="J584">
        <v>0.44890000000000002</v>
      </c>
      <c r="K584">
        <v>0.2462</v>
      </c>
      <c r="L584">
        <v>0.3049</v>
      </c>
      <c r="M584">
        <v>1.28</v>
      </c>
      <c r="N584">
        <v>0.87</v>
      </c>
      <c r="O584">
        <v>58.8</v>
      </c>
      <c r="P584">
        <v>41.5</v>
      </c>
      <c r="Q584">
        <v>0</v>
      </c>
      <c r="R584">
        <v>0</v>
      </c>
      <c r="S584">
        <v>0.56999999999999995</v>
      </c>
      <c r="T584">
        <v>0.71</v>
      </c>
      <c r="U584">
        <v>1.27</v>
      </c>
      <c r="V584">
        <v>0.89</v>
      </c>
      <c r="W584">
        <v>0</v>
      </c>
      <c r="X584">
        <v>0</v>
      </c>
    </row>
    <row r="585" spans="2:24" hidden="1" x14ac:dyDescent="0.35">
      <c r="B585">
        <v>2017</v>
      </c>
      <c r="C585" s="1">
        <v>43099</v>
      </c>
      <c r="D585">
        <v>2411</v>
      </c>
      <c r="E585" t="s">
        <v>23</v>
      </c>
      <c r="F585" t="s">
        <v>41</v>
      </c>
      <c r="G585" t="s">
        <v>25</v>
      </c>
      <c r="H585">
        <v>86.8</v>
      </c>
      <c r="I585">
        <v>62.56</v>
      </c>
      <c r="J585">
        <v>0.78890000000000005</v>
      </c>
      <c r="K585">
        <v>7.1099999999999997E-2</v>
      </c>
      <c r="L585">
        <v>0.1401</v>
      </c>
      <c r="M585">
        <v>2.76</v>
      </c>
      <c r="N585">
        <v>0.73</v>
      </c>
      <c r="O585">
        <v>64.900000000000006</v>
      </c>
      <c r="P585">
        <v>0.6</v>
      </c>
      <c r="Q585">
        <v>2</v>
      </c>
      <c r="R585">
        <v>1</v>
      </c>
      <c r="S585">
        <v>2.82</v>
      </c>
      <c r="T585">
        <v>0.76</v>
      </c>
      <c r="U585">
        <v>2.41</v>
      </c>
      <c r="V585">
        <v>1.33</v>
      </c>
      <c r="W585">
        <v>2.1</v>
      </c>
      <c r="X585">
        <v>1.05</v>
      </c>
    </row>
    <row r="586" spans="2:24" hidden="1" x14ac:dyDescent="0.35">
      <c r="B586">
        <v>2017</v>
      </c>
      <c r="C586" s="1">
        <v>43099</v>
      </c>
      <c r="D586">
        <v>2411</v>
      </c>
      <c r="E586" t="s">
        <v>23</v>
      </c>
      <c r="F586" t="s">
        <v>44</v>
      </c>
      <c r="G586" t="s">
        <v>32</v>
      </c>
      <c r="H586">
        <v>50.58</v>
      </c>
      <c r="I586">
        <v>59.21</v>
      </c>
      <c r="J586">
        <v>0.34720000000000001</v>
      </c>
      <c r="K586">
        <v>0.33</v>
      </c>
      <c r="L586">
        <v>0.32269999999999999</v>
      </c>
      <c r="M586">
        <v>1.04</v>
      </c>
      <c r="N586">
        <v>1</v>
      </c>
      <c r="O586">
        <v>28.9</v>
      </c>
      <c r="P586">
        <v>1.5</v>
      </c>
      <c r="Q586">
        <v>0</v>
      </c>
      <c r="R586">
        <v>0</v>
      </c>
      <c r="S586">
        <v>0.09</v>
      </c>
      <c r="T586">
        <v>1.44</v>
      </c>
      <c r="U586">
        <v>0.6</v>
      </c>
      <c r="V586">
        <v>1.4</v>
      </c>
      <c r="W586">
        <v>0</v>
      </c>
      <c r="X586">
        <v>0</v>
      </c>
    </row>
    <row r="587" spans="2:24" hidden="1" x14ac:dyDescent="0.35">
      <c r="B587">
        <v>2017</v>
      </c>
      <c r="C587" s="1">
        <v>43099</v>
      </c>
      <c r="D587">
        <v>2411</v>
      </c>
      <c r="E587" t="s">
        <v>23</v>
      </c>
      <c r="F587" t="s">
        <v>35</v>
      </c>
      <c r="G587" t="s">
        <v>33</v>
      </c>
      <c r="H587">
        <v>57.88</v>
      </c>
      <c r="I587">
        <v>48.76</v>
      </c>
      <c r="J587">
        <v>0.53720000000000001</v>
      </c>
      <c r="K587">
        <v>0.19769999999999999</v>
      </c>
      <c r="L587">
        <v>0.2651</v>
      </c>
      <c r="M587">
        <v>1.61</v>
      </c>
      <c r="N587">
        <v>0.87</v>
      </c>
      <c r="O587">
        <v>9.6</v>
      </c>
      <c r="P587">
        <v>47.9</v>
      </c>
      <c r="Q587">
        <v>1</v>
      </c>
      <c r="R587">
        <v>2</v>
      </c>
      <c r="S587">
        <v>1.3</v>
      </c>
      <c r="T587">
        <v>1.45</v>
      </c>
      <c r="U587">
        <v>1.34</v>
      </c>
      <c r="V587">
        <v>0.77</v>
      </c>
      <c r="W587">
        <v>1.05</v>
      </c>
      <c r="X587">
        <v>2.1</v>
      </c>
    </row>
    <row r="588" spans="2:24" hidden="1" x14ac:dyDescent="0.35">
      <c r="B588">
        <v>2017</v>
      </c>
      <c r="C588" s="1">
        <v>43099</v>
      </c>
      <c r="D588">
        <v>2411</v>
      </c>
      <c r="E588" t="s">
        <v>23</v>
      </c>
      <c r="F588" t="s">
        <v>38</v>
      </c>
      <c r="G588" t="s">
        <v>28</v>
      </c>
      <c r="H588">
        <v>54.28</v>
      </c>
      <c r="I588">
        <v>60.05</v>
      </c>
      <c r="J588">
        <v>0.38600000000000001</v>
      </c>
      <c r="K588">
        <v>0.34029999999999999</v>
      </c>
      <c r="L588">
        <v>0.27360000000000001</v>
      </c>
      <c r="M588">
        <v>1.41</v>
      </c>
      <c r="N588">
        <v>1.3</v>
      </c>
      <c r="O588">
        <v>44.5</v>
      </c>
      <c r="P588">
        <v>2.7</v>
      </c>
      <c r="Q588">
        <v>2</v>
      </c>
      <c r="R588">
        <v>1</v>
      </c>
      <c r="S588">
        <v>1.77</v>
      </c>
      <c r="T588">
        <v>0.71</v>
      </c>
      <c r="U588">
        <v>2.41</v>
      </c>
      <c r="V588">
        <v>0.77</v>
      </c>
      <c r="W588">
        <v>2.1</v>
      </c>
      <c r="X588">
        <v>1.05</v>
      </c>
    </row>
    <row r="589" spans="2:24" hidden="1" x14ac:dyDescent="0.35">
      <c r="B589">
        <v>2017</v>
      </c>
      <c r="C589" s="1">
        <v>43099</v>
      </c>
      <c r="D589">
        <v>2411</v>
      </c>
      <c r="E589" t="s">
        <v>23</v>
      </c>
      <c r="F589" t="s">
        <v>39</v>
      </c>
      <c r="G589" t="s">
        <v>34</v>
      </c>
      <c r="H589">
        <v>79.94</v>
      </c>
      <c r="I589">
        <v>60.58</v>
      </c>
      <c r="J589">
        <v>0.67310000000000003</v>
      </c>
      <c r="K589">
        <v>0.128</v>
      </c>
      <c r="L589">
        <v>0.19889999999999999</v>
      </c>
      <c r="M589">
        <v>2.21</v>
      </c>
      <c r="N589">
        <v>0.85</v>
      </c>
      <c r="O589">
        <v>64</v>
      </c>
      <c r="P589">
        <v>24.7</v>
      </c>
      <c r="Q589">
        <v>0</v>
      </c>
      <c r="R589">
        <v>0</v>
      </c>
      <c r="S589">
        <v>1.88</v>
      </c>
      <c r="T589">
        <v>0.84</v>
      </c>
      <c r="U589">
        <v>2.08</v>
      </c>
      <c r="V589">
        <v>0.77</v>
      </c>
      <c r="W589">
        <v>0</v>
      </c>
      <c r="X589">
        <v>0</v>
      </c>
    </row>
    <row r="590" spans="2:24" hidden="1" x14ac:dyDescent="0.35">
      <c r="B590">
        <v>2017</v>
      </c>
      <c r="C590" s="1">
        <v>43100</v>
      </c>
      <c r="D590">
        <v>2411</v>
      </c>
      <c r="E590" t="s">
        <v>23</v>
      </c>
      <c r="F590" t="s">
        <v>30</v>
      </c>
      <c r="G590" t="s">
        <v>36</v>
      </c>
      <c r="H590">
        <v>62.21</v>
      </c>
      <c r="I590">
        <v>91.43</v>
      </c>
      <c r="J590">
        <v>0.1216</v>
      </c>
      <c r="K590">
        <v>0.69469999999999998</v>
      </c>
      <c r="L590">
        <v>0.18360000000000001</v>
      </c>
      <c r="M590">
        <v>0.9</v>
      </c>
      <c r="N590">
        <v>2.4</v>
      </c>
      <c r="O590">
        <v>21.3</v>
      </c>
      <c r="P590">
        <v>8</v>
      </c>
      <c r="Q590">
        <v>0</v>
      </c>
      <c r="R590">
        <v>0</v>
      </c>
      <c r="S590">
        <v>1.7</v>
      </c>
      <c r="T590">
        <v>1.47</v>
      </c>
      <c r="U590">
        <v>0.94</v>
      </c>
      <c r="V590">
        <v>1.76</v>
      </c>
      <c r="W590">
        <v>0</v>
      </c>
      <c r="X590">
        <v>0</v>
      </c>
    </row>
    <row r="591" spans="2:24" hidden="1" x14ac:dyDescent="0.35">
      <c r="B591">
        <v>2017</v>
      </c>
      <c r="C591" s="1">
        <v>43100</v>
      </c>
      <c r="D591">
        <v>2411</v>
      </c>
      <c r="E591" t="s">
        <v>23</v>
      </c>
      <c r="F591" t="s">
        <v>31</v>
      </c>
      <c r="G591" t="s">
        <v>40</v>
      </c>
      <c r="H591">
        <v>54.44</v>
      </c>
      <c r="I591">
        <v>83.65</v>
      </c>
      <c r="J591">
        <v>0.16289999999999999</v>
      </c>
      <c r="K591">
        <v>0.6149</v>
      </c>
      <c r="L591">
        <v>0.22220000000000001</v>
      </c>
      <c r="M591">
        <v>0.93</v>
      </c>
      <c r="N591">
        <v>2.02</v>
      </c>
      <c r="O591">
        <v>51.2</v>
      </c>
      <c r="P591">
        <v>74</v>
      </c>
      <c r="Q591">
        <v>1</v>
      </c>
      <c r="R591">
        <v>1</v>
      </c>
      <c r="S591">
        <v>1.55</v>
      </c>
      <c r="T591">
        <v>1.02</v>
      </c>
      <c r="U591">
        <v>1.1499999999999999</v>
      </c>
      <c r="V591">
        <v>2.6</v>
      </c>
      <c r="W591">
        <v>1.05</v>
      </c>
      <c r="X591">
        <v>1.05</v>
      </c>
    </row>
    <row r="592" spans="2:24" hidden="1" x14ac:dyDescent="0.35">
      <c r="B592">
        <v>2017</v>
      </c>
      <c r="C592" s="1">
        <v>43101</v>
      </c>
      <c r="D592">
        <v>2411</v>
      </c>
      <c r="E592" t="s">
        <v>23</v>
      </c>
      <c r="F592" t="s">
        <v>45</v>
      </c>
      <c r="G592" t="s">
        <v>38</v>
      </c>
      <c r="H592">
        <v>51.13</v>
      </c>
      <c r="I592">
        <v>55.54</v>
      </c>
      <c r="J592">
        <v>0.39019999999999999</v>
      </c>
      <c r="K592">
        <v>0.30580000000000002</v>
      </c>
      <c r="L592">
        <v>0.30399999999999999</v>
      </c>
      <c r="M592">
        <v>1.21</v>
      </c>
      <c r="N592">
        <v>1.03</v>
      </c>
      <c r="O592">
        <v>32.6</v>
      </c>
      <c r="P592">
        <v>32.6</v>
      </c>
      <c r="Q592">
        <v>2</v>
      </c>
      <c r="R592">
        <v>2</v>
      </c>
      <c r="S592">
        <v>2.4</v>
      </c>
      <c r="T592">
        <v>1.57</v>
      </c>
      <c r="U592">
        <v>1.52</v>
      </c>
      <c r="V592">
        <v>2.14</v>
      </c>
      <c r="W592">
        <v>2.1</v>
      </c>
      <c r="X592">
        <v>2.1</v>
      </c>
    </row>
    <row r="593" spans="2:24" hidden="1" x14ac:dyDescent="0.35">
      <c r="B593">
        <v>2017</v>
      </c>
      <c r="C593" s="1">
        <v>43101</v>
      </c>
      <c r="D593">
        <v>2411</v>
      </c>
      <c r="E593" t="s">
        <v>23</v>
      </c>
      <c r="F593" t="s">
        <v>25</v>
      </c>
      <c r="G593" t="s">
        <v>44</v>
      </c>
      <c r="H593">
        <v>63.07</v>
      </c>
      <c r="I593">
        <v>49.67</v>
      </c>
      <c r="J593">
        <v>0.58009999999999995</v>
      </c>
      <c r="K593">
        <v>0.16639999999999999</v>
      </c>
      <c r="L593">
        <v>0.25359999999999999</v>
      </c>
      <c r="M593">
        <v>1.7</v>
      </c>
      <c r="N593">
        <v>0.78</v>
      </c>
      <c r="O593">
        <v>12.2</v>
      </c>
      <c r="P593">
        <v>12.2</v>
      </c>
      <c r="Q593">
        <v>3</v>
      </c>
      <c r="R593">
        <v>0</v>
      </c>
      <c r="S593">
        <v>1.2</v>
      </c>
      <c r="T593">
        <v>0.28999999999999998</v>
      </c>
      <c r="U593">
        <v>1.4</v>
      </c>
      <c r="V593">
        <v>0.33</v>
      </c>
      <c r="W593">
        <v>2.63</v>
      </c>
      <c r="X593">
        <v>0</v>
      </c>
    </row>
    <row r="594" spans="2:24" hidden="1" x14ac:dyDescent="0.35">
      <c r="B594">
        <v>2017</v>
      </c>
      <c r="C594" s="1">
        <v>43101</v>
      </c>
      <c r="D594">
        <v>2411</v>
      </c>
      <c r="E594" t="s">
        <v>23</v>
      </c>
      <c r="F594" t="s">
        <v>32</v>
      </c>
      <c r="G594" t="s">
        <v>41</v>
      </c>
      <c r="H594">
        <v>60.12</v>
      </c>
      <c r="I594">
        <v>86.48</v>
      </c>
      <c r="J594">
        <v>0.1736</v>
      </c>
      <c r="K594">
        <v>0.59340000000000004</v>
      </c>
      <c r="L594">
        <v>0.23300000000000001</v>
      </c>
      <c r="M594">
        <v>0.92</v>
      </c>
      <c r="N594">
        <v>1.91</v>
      </c>
      <c r="O594">
        <v>17.5</v>
      </c>
      <c r="P594">
        <v>17.5</v>
      </c>
      <c r="Q594">
        <v>1</v>
      </c>
      <c r="R594">
        <v>2</v>
      </c>
      <c r="S594">
        <v>1.04</v>
      </c>
      <c r="T594">
        <v>1.48</v>
      </c>
      <c r="U594">
        <v>1.54</v>
      </c>
      <c r="V594">
        <v>2.17</v>
      </c>
      <c r="W594">
        <v>1.05</v>
      </c>
      <c r="X594">
        <v>2.1</v>
      </c>
    </row>
    <row r="595" spans="2:24" hidden="1" x14ac:dyDescent="0.35">
      <c r="B595">
        <v>2017</v>
      </c>
      <c r="C595" s="1">
        <v>43101</v>
      </c>
      <c r="D595">
        <v>2411</v>
      </c>
      <c r="E595" t="s">
        <v>23</v>
      </c>
      <c r="F595" t="s">
        <v>27</v>
      </c>
      <c r="G595" t="s">
        <v>46</v>
      </c>
      <c r="H595">
        <v>53.59</v>
      </c>
      <c r="I595">
        <v>51.53</v>
      </c>
      <c r="J595">
        <v>0.46789999999999998</v>
      </c>
      <c r="K595">
        <v>0.26519999999999999</v>
      </c>
      <c r="L595">
        <v>0.26690000000000003</v>
      </c>
      <c r="M595">
        <v>1.57</v>
      </c>
      <c r="N595">
        <v>1.1200000000000001</v>
      </c>
      <c r="O595">
        <v>41.4</v>
      </c>
      <c r="P595">
        <v>41.4</v>
      </c>
      <c r="Q595">
        <v>0</v>
      </c>
      <c r="R595">
        <v>1</v>
      </c>
      <c r="S595">
        <v>0.7</v>
      </c>
      <c r="T595">
        <v>1.89</v>
      </c>
      <c r="U595">
        <v>2.0099999999999998</v>
      </c>
      <c r="V595">
        <v>1.38</v>
      </c>
      <c r="W595">
        <v>0</v>
      </c>
      <c r="X595">
        <v>1.05</v>
      </c>
    </row>
    <row r="596" spans="2:24" hidden="1" x14ac:dyDescent="0.35">
      <c r="B596">
        <v>2017</v>
      </c>
      <c r="C596" s="1">
        <v>43101</v>
      </c>
      <c r="D596">
        <v>2411</v>
      </c>
      <c r="E596" t="s">
        <v>23</v>
      </c>
      <c r="F596" t="s">
        <v>28</v>
      </c>
      <c r="G596" t="s">
        <v>39</v>
      </c>
      <c r="H596">
        <v>58.82</v>
      </c>
      <c r="I596">
        <v>79.489999999999995</v>
      </c>
      <c r="J596">
        <v>0.23089999999999999</v>
      </c>
      <c r="K596">
        <v>0.52569999999999995</v>
      </c>
      <c r="L596">
        <v>0.24340000000000001</v>
      </c>
      <c r="M596">
        <v>1.1399999999999999</v>
      </c>
      <c r="N596">
        <v>1.84</v>
      </c>
      <c r="O596">
        <v>20.3</v>
      </c>
      <c r="P596">
        <v>20.3</v>
      </c>
      <c r="Q596">
        <v>0</v>
      </c>
      <c r="R596">
        <v>2</v>
      </c>
      <c r="S596">
        <v>1.19</v>
      </c>
      <c r="T596">
        <v>1.26</v>
      </c>
      <c r="U596">
        <v>1.8</v>
      </c>
      <c r="V596">
        <v>1.56</v>
      </c>
      <c r="W596">
        <v>0</v>
      </c>
      <c r="X596">
        <v>1.84</v>
      </c>
    </row>
    <row r="597" spans="2:24" hidden="1" x14ac:dyDescent="0.35">
      <c r="B597">
        <v>2017</v>
      </c>
      <c r="C597" s="1">
        <v>43102</v>
      </c>
      <c r="D597">
        <v>2411</v>
      </c>
      <c r="E597" t="s">
        <v>23</v>
      </c>
      <c r="F597" t="s">
        <v>33</v>
      </c>
      <c r="G597" t="s">
        <v>29</v>
      </c>
      <c r="H597">
        <v>50.13</v>
      </c>
      <c r="I597">
        <v>84.06</v>
      </c>
      <c r="J597">
        <v>0.12989999999999999</v>
      </c>
      <c r="K597">
        <v>0.65800000000000003</v>
      </c>
      <c r="L597">
        <v>0.21210000000000001</v>
      </c>
      <c r="M597">
        <v>0.78</v>
      </c>
      <c r="N597">
        <v>2.0499999999999998</v>
      </c>
      <c r="O597">
        <v>46.2</v>
      </c>
      <c r="P597">
        <v>73.7</v>
      </c>
      <c r="Q597">
        <v>0</v>
      </c>
      <c r="R597">
        <v>2</v>
      </c>
      <c r="S597">
        <v>0.4</v>
      </c>
      <c r="T597">
        <v>1.87</v>
      </c>
      <c r="U597">
        <v>0.71</v>
      </c>
      <c r="V597">
        <v>1.52</v>
      </c>
      <c r="W597">
        <v>0</v>
      </c>
      <c r="X597">
        <v>1.62</v>
      </c>
    </row>
    <row r="598" spans="2:24" hidden="1" x14ac:dyDescent="0.35">
      <c r="B598">
        <v>2017</v>
      </c>
      <c r="C598" s="1">
        <v>43102</v>
      </c>
      <c r="D598">
        <v>2411</v>
      </c>
      <c r="E598" t="s">
        <v>23</v>
      </c>
      <c r="F598" t="s">
        <v>34</v>
      </c>
      <c r="G598" t="s">
        <v>30</v>
      </c>
      <c r="H598">
        <v>60.97</v>
      </c>
      <c r="I598">
        <v>62.85</v>
      </c>
      <c r="J598">
        <v>0.42249999999999999</v>
      </c>
      <c r="K598">
        <v>0.29649999999999999</v>
      </c>
      <c r="L598">
        <v>0.28100000000000003</v>
      </c>
      <c r="M598">
        <v>1.41</v>
      </c>
      <c r="N598">
        <v>1.1299999999999999</v>
      </c>
      <c r="O598">
        <v>20.5</v>
      </c>
      <c r="P598">
        <v>20.5</v>
      </c>
      <c r="Q598">
        <v>1</v>
      </c>
      <c r="R598">
        <v>2</v>
      </c>
      <c r="S598">
        <v>0.51</v>
      </c>
      <c r="T598">
        <v>1.46</v>
      </c>
      <c r="U598">
        <v>1.2</v>
      </c>
      <c r="V598">
        <v>1.51</v>
      </c>
      <c r="W598">
        <v>1.05</v>
      </c>
      <c r="X598">
        <v>2.1</v>
      </c>
    </row>
    <row r="599" spans="2:24" hidden="1" x14ac:dyDescent="0.35">
      <c r="B599">
        <v>2017</v>
      </c>
      <c r="C599" s="1">
        <v>43102</v>
      </c>
      <c r="D599">
        <v>2411</v>
      </c>
      <c r="E599" t="s">
        <v>23</v>
      </c>
      <c r="F599" t="s">
        <v>43</v>
      </c>
      <c r="G599" t="s">
        <v>31</v>
      </c>
      <c r="H599">
        <v>54.82</v>
      </c>
      <c r="I599">
        <v>55.31</v>
      </c>
      <c r="J599">
        <v>0.43640000000000001</v>
      </c>
      <c r="K599">
        <v>0.27629999999999999</v>
      </c>
      <c r="L599">
        <v>0.28739999999999999</v>
      </c>
      <c r="M599">
        <v>1.38</v>
      </c>
      <c r="N599">
        <v>1.04</v>
      </c>
      <c r="O599">
        <v>51.9</v>
      </c>
      <c r="P599">
        <v>61.6</v>
      </c>
      <c r="Q599">
        <v>2</v>
      </c>
      <c r="R599">
        <v>1</v>
      </c>
      <c r="S599">
        <v>1.1100000000000001</v>
      </c>
      <c r="T599">
        <v>0.86</v>
      </c>
      <c r="U599">
        <v>1.9</v>
      </c>
      <c r="V599">
        <v>0.3</v>
      </c>
      <c r="W599">
        <v>2.1</v>
      </c>
      <c r="X599">
        <v>1.05</v>
      </c>
    </row>
    <row r="600" spans="2:24" hidden="1" x14ac:dyDescent="0.35">
      <c r="B600">
        <v>2017</v>
      </c>
      <c r="C600" s="1">
        <v>43102</v>
      </c>
      <c r="D600">
        <v>2411</v>
      </c>
      <c r="E600" t="s">
        <v>23</v>
      </c>
      <c r="F600" t="s">
        <v>36</v>
      </c>
      <c r="G600" t="s">
        <v>35</v>
      </c>
      <c r="H600">
        <v>91</v>
      </c>
      <c r="I600">
        <v>56.42</v>
      </c>
      <c r="J600">
        <v>0.89</v>
      </c>
      <c r="K600">
        <v>2.52E-2</v>
      </c>
      <c r="L600">
        <v>8.48E-2</v>
      </c>
      <c r="M600">
        <v>3.17</v>
      </c>
      <c r="N600">
        <v>0.42</v>
      </c>
      <c r="O600">
        <v>10.4</v>
      </c>
      <c r="P600">
        <v>8.1</v>
      </c>
      <c r="Q600">
        <v>3</v>
      </c>
      <c r="R600">
        <v>1</v>
      </c>
      <c r="S600">
        <v>2.95</v>
      </c>
      <c r="T600">
        <v>1.06</v>
      </c>
      <c r="U600">
        <v>1.78</v>
      </c>
      <c r="V600">
        <v>0.74</v>
      </c>
      <c r="W600">
        <v>3.15</v>
      </c>
      <c r="X600">
        <v>1.05</v>
      </c>
    </row>
    <row r="601" spans="2:24" hidden="1" x14ac:dyDescent="0.35">
      <c r="B601">
        <v>2017</v>
      </c>
      <c r="C601" s="1">
        <v>43103</v>
      </c>
      <c r="D601">
        <v>2411</v>
      </c>
      <c r="E601" t="s">
        <v>23</v>
      </c>
      <c r="F601" t="s">
        <v>40</v>
      </c>
      <c r="G601" t="s">
        <v>42</v>
      </c>
      <c r="H601">
        <v>83.02</v>
      </c>
      <c r="I601">
        <v>85.34</v>
      </c>
      <c r="J601">
        <v>0.40129999999999999</v>
      </c>
      <c r="K601">
        <v>0.35</v>
      </c>
      <c r="L601">
        <v>0.2487</v>
      </c>
      <c r="M601">
        <v>1.67</v>
      </c>
      <c r="N601">
        <v>1.54</v>
      </c>
      <c r="O601">
        <v>42.3</v>
      </c>
      <c r="P601">
        <v>36.1</v>
      </c>
      <c r="Q601">
        <v>2</v>
      </c>
      <c r="R601">
        <v>2</v>
      </c>
      <c r="S601">
        <v>1.46</v>
      </c>
      <c r="T601">
        <v>2.91</v>
      </c>
      <c r="U601">
        <v>2.81</v>
      </c>
      <c r="V601">
        <v>2.2000000000000002</v>
      </c>
      <c r="W601">
        <v>2.1</v>
      </c>
      <c r="X601">
        <v>2.1</v>
      </c>
    </row>
    <row r="602" spans="2:24" hidden="1" x14ac:dyDescent="0.35">
      <c r="B602">
        <v>2017</v>
      </c>
      <c r="C602" s="1">
        <v>43104</v>
      </c>
      <c r="D602">
        <v>2411</v>
      </c>
      <c r="E602" t="s">
        <v>23</v>
      </c>
      <c r="F602" t="s">
        <v>29</v>
      </c>
      <c r="G602" t="s">
        <v>43</v>
      </c>
      <c r="H602">
        <v>84.44</v>
      </c>
      <c r="I602">
        <v>55.62</v>
      </c>
      <c r="J602">
        <v>0.81659999999999999</v>
      </c>
      <c r="K602">
        <v>5.3699999999999998E-2</v>
      </c>
      <c r="L602">
        <v>0.12970000000000001</v>
      </c>
      <c r="M602">
        <v>2.74</v>
      </c>
      <c r="N602">
        <v>0.57999999999999996</v>
      </c>
      <c r="O602">
        <v>73.7</v>
      </c>
      <c r="P602">
        <v>30</v>
      </c>
      <c r="Q602">
        <v>1</v>
      </c>
      <c r="R602">
        <v>1</v>
      </c>
      <c r="S602">
        <v>1.85</v>
      </c>
      <c r="T602">
        <v>0.73</v>
      </c>
      <c r="U602">
        <v>2.75</v>
      </c>
      <c r="V602">
        <v>0.44</v>
      </c>
      <c r="W602">
        <v>1.05</v>
      </c>
      <c r="X602">
        <v>1.05</v>
      </c>
    </row>
    <row r="603" spans="2:24" hidden="1" x14ac:dyDescent="0.35">
      <c r="B603">
        <v>2017</v>
      </c>
      <c r="C603" s="1">
        <v>43113</v>
      </c>
      <c r="D603">
        <v>2411</v>
      </c>
      <c r="E603" t="s">
        <v>23</v>
      </c>
      <c r="F603" t="s">
        <v>35</v>
      </c>
      <c r="G603" t="s">
        <v>34</v>
      </c>
      <c r="H603">
        <v>57.42</v>
      </c>
      <c r="I603">
        <v>59.7</v>
      </c>
      <c r="J603">
        <v>0.42270000000000002</v>
      </c>
      <c r="K603">
        <v>0.31280000000000002</v>
      </c>
      <c r="L603">
        <v>0.26450000000000001</v>
      </c>
      <c r="M603">
        <v>1.55</v>
      </c>
      <c r="N603">
        <v>1.3</v>
      </c>
      <c r="O603">
        <v>16.3</v>
      </c>
      <c r="P603">
        <v>35.299999999999997</v>
      </c>
      <c r="Q603">
        <v>2</v>
      </c>
      <c r="R603">
        <v>2</v>
      </c>
      <c r="S603">
        <v>1.86</v>
      </c>
      <c r="T603">
        <v>0.85</v>
      </c>
      <c r="U603">
        <v>2.85</v>
      </c>
      <c r="V603">
        <v>1.1299999999999999</v>
      </c>
      <c r="W603">
        <v>2.1</v>
      </c>
      <c r="X603">
        <v>2.1</v>
      </c>
    </row>
    <row r="604" spans="2:24" hidden="1" x14ac:dyDescent="0.35">
      <c r="B604">
        <v>2017</v>
      </c>
      <c r="C604" s="1">
        <v>43113</v>
      </c>
      <c r="D604">
        <v>2411</v>
      </c>
      <c r="E604" t="s">
        <v>23</v>
      </c>
      <c r="F604" t="s">
        <v>46</v>
      </c>
      <c r="G604" t="s">
        <v>33</v>
      </c>
      <c r="H604">
        <v>52.78</v>
      </c>
      <c r="I604">
        <v>49.47</v>
      </c>
      <c r="J604">
        <v>0.46679999999999999</v>
      </c>
      <c r="K604">
        <v>0.2258</v>
      </c>
      <c r="L604">
        <v>0.30740000000000001</v>
      </c>
      <c r="M604">
        <v>1.28</v>
      </c>
      <c r="N604">
        <v>0.79</v>
      </c>
      <c r="O604">
        <v>54.7</v>
      </c>
      <c r="P604">
        <v>56.4</v>
      </c>
      <c r="Q604">
        <v>1</v>
      </c>
      <c r="R604">
        <v>1</v>
      </c>
      <c r="S604">
        <v>1.78</v>
      </c>
      <c r="T604">
        <v>0.81</v>
      </c>
      <c r="U604">
        <v>1.02</v>
      </c>
      <c r="V604">
        <v>1.58</v>
      </c>
      <c r="W604">
        <v>1.05</v>
      </c>
      <c r="X604">
        <v>1.05</v>
      </c>
    </row>
    <row r="605" spans="2:24" hidden="1" x14ac:dyDescent="0.35">
      <c r="B605">
        <v>2017</v>
      </c>
      <c r="C605" s="1">
        <v>43113</v>
      </c>
      <c r="D605">
        <v>2411</v>
      </c>
      <c r="E605" t="s">
        <v>23</v>
      </c>
      <c r="F605" t="s">
        <v>31</v>
      </c>
      <c r="G605" t="s">
        <v>45</v>
      </c>
      <c r="H605">
        <v>54.56</v>
      </c>
      <c r="I605">
        <v>51.04</v>
      </c>
      <c r="J605">
        <v>0.46200000000000002</v>
      </c>
      <c r="K605">
        <v>0.21390000000000001</v>
      </c>
      <c r="L605">
        <v>0.3241</v>
      </c>
      <c r="M605">
        <v>1.19</v>
      </c>
      <c r="N605">
        <v>0.71</v>
      </c>
      <c r="O605">
        <v>68.7</v>
      </c>
      <c r="P605">
        <v>49.8</v>
      </c>
      <c r="Q605">
        <v>2</v>
      </c>
      <c r="R605">
        <v>0</v>
      </c>
      <c r="S605">
        <v>1.34</v>
      </c>
      <c r="T605">
        <v>0.59</v>
      </c>
      <c r="U605">
        <v>1.45</v>
      </c>
      <c r="V605">
        <v>1.44</v>
      </c>
      <c r="W605">
        <v>2.1</v>
      </c>
      <c r="X605">
        <v>0</v>
      </c>
    </row>
    <row r="606" spans="2:24" hidden="1" x14ac:dyDescent="0.35">
      <c r="B606">
        <v>2017</v>
      </c>
      <c r="C606" s="1">
        <v>43113</v>
      </c>
      <c r="D606">
        <v>2411</v>
      </c>
      <c r="E606" t="s">
        <v>23</v>
      </c>
      <c r="F606" t="s">
        <v>44</v>
      </c>
      <c r="G606" t="s">
        <v>43</v>
      </c>
      <c r="H606">
        <v>48.44</v>
      </c>
      <c r="I606">
        <v>56.55</v>
      </c>
      <c r="J606">
        <v>0.35809999999999997</v>
      </c>
      <c r="K606">
        <v>0.3543</v>
      </c>
      <c r="L606">
        <v>0.28760000000000002</v>
      </c>
      <c r="M606">
        <v>1.25</v>
      </c>
      <c r="N606">
        <v>1.24</v>
      </c>
      <c r="O606">
        <v>45.4</v>
      </c>
      <c r="P606">
        <v>33.4</v>
      </c>
      <c r="Q606">
        <v>1</v>
      </c>
      <c r="R606">
        <v>4</v>
      </c>
      <c r="S606">
        <v>0.6</v>
      </c>
      <c r="T606">
        <v>0.79</v>
      </c>
      <c r="U606">
        <v>0.99</v>
      </c>
      <c r="V606">
        <v>0.78</v>
      </c>
      <c r="W606">
        <v>1.05</v>
      </c>
      <c r="X606">
        <v>4.2</v>
      </c>
    </row>
    <row r="607" spans="2:24" hidden="1" x14ac:dyDescent="0.35">
      <c r="B607">
        <v>2017</v>
      </c>
      <c r="C607" s="1">
        <v>43113</v>
      </c>
      <c r="D607">
        <v>2411</v>
      </c>
      <c r="E607" t="s">
        <v>23</v>
      </c>
      <c r="F607" t="s">
        <v>42</v>
      </c>
      <c r="G607" t="s">
        <v>25</v>
      </c>
      <c r="H607">
        <v>85.6</v>
      </c>
      <c r="I607">
        <v>64.31</v>
      </c>
      <c r="J607">
        <v>0.7571</v>
      </c>
      <c r="K607">
        <v>7.7899999999999997E-2</v>
      </c>
      <c r="L607">
        <v>0.1651</v>
      </c>
      <c r="M607">
        <v>2.4</v>
      </c>
      <c r="N607">
        <v>0.63</v>
      </c>
      <c r="O607">
        <v>59.9</v>
      </c>
      <c r="P607">
        <v>0.8</v>
      </c>
      <c r="Q607">
        <v>0</v>
      </c>
      <c r="R607">
        <v>0</v>
      </c>
      <c r="S607">
        <v>0.62</v>
      </c>
      <c r="T607">
        <v>1.47</v>
      </c>
      <c r="U607">
        <v>1.77</v>
      </c>
      <c r="V607">
        <v>1.55</v>
      </c>
      <c r="W607">
        <v>0</v>
      </c>
      <c r="X607">
        <v>0</v>
      </c>
    </row>
    <row r="608" spans="2:24" hidden="1" x14ac:dyDescent="0.35">
      <c r="B608">
        <v>2017</v>
      </c>
      <c r="C608" s="1">
        <v>43113</v>
      </c>
      <c r="D608">
        <v>2411</v>
      </c>
      <c r="E608" t="s">
        <v>23</v>
      </c>
      <c r="F608" t="s">
        <v>30</v>
      </c>
      <c r="G608" t="s">
        <v>32</v>
      </c>
      <c r="H608">
        <v>64.099999999999994</v>
      </c>
      <c r="I608">
        <v>60.47</v>
      </c>
      <c r="J608">
        <v>0.47049999999999997</v>
      </c>
      <c r="K608">
        <v>0.23</v>
      </c>
      <c r="L608">
        <v>0.29949999999999999</v>
      </c>
      <c r="M608">
        <v>1.33</v>
      </c>
      <c r="N608">
        <v>0.84</v>
      </c>
      <c r="O608">
        <v>17.7</v>
      </c>
      <c r="P608">
        <v>0.5</v>
      </c>
      <c r="Q608">
        <v>1</v>
      </c>
      <c r="R608">
        <v>0</v>
      </c>
      <c r="S608">
        <v>1.66</v>
      </c>
      <c r="T608">
        <v>0.67</v>
      </c>
      <c r="U608">
        <v>1.2</v>
      </c>
      <c r="V608">
        <v>2.23</v>
      </c>
      <c r="W608">
        <v>1.05</v>
      </c>
      <c r="X608">
        <v>0</v>
      </c>
    </row>
    <row r="609" spans="2:24" hidden="1" x14ac:dyDescent="0.35">
      <c r="B609">
        <v>2017</v>
      </c>
      <c r="C609" s="1">
        <v>43113</v>
      </c>
      <c r="D609">
        <v>2411</v>
      </c>
      <c r="E609" t="s">
        <v>23</v>
      </c>
      <c r="F609" t="s">
        <v>29</v>
      </c>
      <c r="G609" t="s">
        <v>28</v>
      </c>
      <c r="H609">
        <v>83.8</v>
      </c>
      <c r="I609">
        <v>58.39</v>
      </c>
      <c r="J609">
        <v>0.78129999999999999</v>
      </c>
      <c r="K609">
        <v>6.3299999999999995E-2</v>
      </c>
      <c r="L609">
        <v>0.15540000000000001</v>
      </c>
      <c r="M609">
        <v>2.4300000000000002</v>
      </c>
      <c r="N609">
        <v>0.54</v>
      </c>
      <c r="O609">
        <v>66.7</v>
      </c>
      <c r="P609">
        <v>3.8</v>
      </c>
      <c r="Q609">
        <v>4</v>
      </c>
      <c r="R609">
        <v>0</v>
      </c>
      <c r="S609">
        <v>4.6500000000000004</v>
      </c>
      <c r="T609">
        <v>0.43</v>
      </c>
      <c r="U609">
        <v>1.44</v>
      </c>
      <c r="V609">
        <v>0.7</v>
      </c>
      <c r="W609">
        <v>3.92</v>
      </c>
      <c r="X609">
        <v>0</v>
      </c>
    </row>
    <row r="610" spans="2:24" hidden="1" x14ac:dyDescent="0.35">
      <c r="B610">
        <v>2017</v>
      </c>
      <c r="C610" s="1">
        <v>43114</v>
      </c>
      <c r="D610">
        <v>2411</v>
      </c>
      <c r="E610" t="s">
        <v>23</v>
      </c>
      <c r="F610" t="s">
        <v>38</v>
      </c>
      <c r="G610" t="s">
        <v>40</v>
      </c>
      <c r="H610">
        <v>55.56</v>
      </c>
      <c r="I610">
        <v>82.93</v>
      </c>
      <c r="J610">
        <v>0.17230000000000001</v>
      </c>
      <c r="K610">
        <v>0.63349999999999995</v>
      </c>
      <c r="L610">
        <v>0.19409999999999999</v>
      </c>
      <c r="M610">
        <v>1.22</v>
      </c>
      <c r="N610">
        <v>2.4500000000000002</v>
      </c>
      <c r="O610">
        <v>34.200000000000003</v>
      </c>
      <c r="P610">
        <v>65.900000000000006</v>
      </c>
      <c r="Q610">
        <v>2</v>
      </c>
      <c r="R610">
        <v>1</v>
      </c>
      <c r="S610">
        <v>1.01</v>
      </c>
      <c r="T610">
        <v>1.0900000000000001</v>
      </c>
      <c r="U610">
        <v>1.54</v>
      </c>
      <c r="V610">
        <v>1.31</v>
      </c>
      <c r="W610">
        <v>2.1</v>
      </c>
      <c r="X610">
        <v>1.05</v>
      </c>
    </row>
    <row r="611" spans="2:24" hidden="1" x14ac:dyDescent="0.35">
      <c r="B611">
        <v>2017</v>
      </c>
      <c r="C611" s="1">
        <v>43114</v>
      </c>
      <c r="D611">
        <v>2411</v>
      </c>
      <c r="E611" t="s">
        <v>23</v>
      </c>
      <c r="F611" t="s">
        <v>41</v>
      </c>
      <c r="G611" t="s">
        <v>36</v>
      </c>
      <c r="H611">
        <v>86.29</v>
      </c>
      <c r="I611">
        <v>90.58</v>
      </c>
      <c r="J611">
        <v>0.35959999999999998</v>
      </c>
      <c r="K611">
        <v>0.39810000000000001</v>
      </c>
      <c r="L611">
        <v>0.2424</v>
      </c>
      <c r="M611">
        <v>1.64</v>
      </c>
      <c r="N611">
        <v>1.73</v>
      </c>
      <c r="O611">
        <v>53.1</v>
      </c>
      <c r="P611">
        <v>8.1999999999999993</v>
      </c>
      <c r="Q611">
        <v>4</v>
      </c>
      <c r="R611">
        <v>3</v>
      </c>
      <c r="S611">
        <v>0.82</v>
      </c>
      <c r="T611">
        <v>1.03</v>
      </c>
      <c r="U611">
        <v>1.29</v>
      </c>
      <c r="V611">
        <v>1.44</v>
      </c>
      <c r="W611">
        <v>4.2</v>
      </c>
      <c r="X611">
        <v>3.15</v>
      </c>
    </row>
    <row r="612" spans="2:24" hidden="1" x14ac:dyDescent="0.35">
      <c r="B612">
        <v>2017</v>
      </c>
      <c r="C612" s="1">
        <v>43115</v>
      </c>
      <c r="D612">
        <v>2411</v>
      </c>
      <c r="E612" t="s">
        <v>23</v>
      </c>
      <c r="F612" t="s">
        <v>39</v>
      </c>
      <c r="G612" t="s">
        <v>27</v>
      </c>
      <c r="H612">
        <v>79.760000000000005</v>
      </c>
      <c r="I612">
        <v>52.31</v>
      </c>
      <c r="J612">
        <v>0.78910000000000002</v>
      </c>
      <c r="K612">
        <v>6.6100000000000006E-2</v>
      </c>
      <c r="L612">
        <v>0.14480000000000001</v>
      </c>
      <c r="M612">
        <v>2.62</v>
      </c>
      <c r="N612">
        <v>0.63</v>
      </c>
      <c r="O612">
        <v>78.099999999999994</v>
      </c>
      <c r="P612">
        <v>48.9</v>
      </c>
      <c r="Q612">
        <v>3</v>
      </c>
      <c r="R612">
        <v>0</v>
      </c>
      <c r="S612">
        <v>1.84</v>
      </c>
      <c r="T612">
        <v>1.77</v>
      </c>
      <c r="U612">
        <v>2.0299999999999998</v>
      </c>
      <c r="V612">
        <v>1.3</v>
      </c>
      <c r="W612">
        <v>3.11</v>
      </c>
      <c r="X612">
        <v>0</v>
      </c>
    </row>
    <row r="613" spans="2:24" hidden="1" x14ac:dyDescent="0.35">
      <c r="B613">
        <v>2017</v>
      </c>
      <c r="C613" s="1">
        <v>43120</v>
      </c>
      <c r="D613">
        <v>2411</v>
      </c>
      <c r="E613" t="s">
        <v>23</v>
      </c>
      <c r="F613" t="s">
        <v>45</v>
      </c>
      <c r="G613" t="s">
        <v>42</v>
      </c>
      <c r="H613">
        <v>50.02</v>
      </c>
      <c r="I613">
        <v>84.59</v>
      </c>
      <c r="J613">
        <v>0.12379999999999999</v>
      </c>
      <c r="K613">
        <v>0.65749999999999997</v>
      </c>
      <c r="L613">
        <v>0.21870000000000001</v>
      </c>
      <c r="M613">
        <v>0.71</v>
      </c>
      <c r="N613">
        <v>1.96</v>
      </c>
      <c r="O613">
        <v>48.2</v>
      </c>
      <c r="P613">
        <v>73.400000000000006</v>
      </c>
      <c r="Q613">
        <v>0</v>
      </c>
      <c r="R613">
        <v>4</v>
      </c>
      <c r="S613">
        <v>0.94</v>
      </c>
      <c r="T613">
        <v>1.32</v>
      </c>
      <c r="U613">
        <v>1.79</v>
      </c>
      <c r="V613">
        <v>1.49</v>
      </c>
      <c r="W613">
        <v>0</v>
      </c>
      <c r="X613">
        <v>3.56</v>
      </c>
    </row>
    <row r="614" spans="2:24" hidden="1" x14ac:dyDescent="0.35">
      <c r="B614">
        <v>2017</v>
      </c>
      <c r="C614" s="1">
        <v>43120</v>
      </c>
      <c r="D614">
        <v>2411</v>
      </c>
      <c r="E614" t="s">
        <v>23</v>
      </c>
      <c r="F614" t="s">
        <v>43</v>
      </c>
      <c r="G614" t="s">
        <v>38</v>
      </c>
      <c r="H614">
        <v>58.33</v>
      </c>
      <c r="I614">
        <v>57.1</v>
      </c>
      <c r="J614">
        <v>0.46250000000000002</v>
      </c>
      <c r="K614">
        <v>0.28689999999999999</v>
      </c>
      <c r="L614">
        <v>0.25069999999999998</v>
      </c>
      <c r="M614">
        <v>1.73</v>
      </c>
      <c r="N614">
        <v>1.32</v>
      </c>
      <c r="O614">
        <v>18.399999999999999</v>
      </c>
      <c r="P614">
        <v>22.1</v>
      </c>
      <c r="Q614">
        <v>1</v>
      </c>
      <c r="R614">
        <v>1</v>
      </c>
      <c r="S614">
        <v>1.08</v>
      </c>
      <c r="T614">
        <v>0.47</v>
      </c>
      <c r="U614">
        <v>1.22</v>
      </c>
      <c r="V614">
        <v>0.69</v>
      </c>
      <c r="W614">
        <v>1.05</v>
      </c>
      <c r="X614">
        <v>1.05</v>
      </c>
    </row>
    <row r="615" spans="2:24" hidden="1" x14ac:dyDescent="0.35">
      <c r="B615">
        <v>2017</v>
      </c>
      <c r="C615" s="1">
        <v>43120</v>
      </c>
      <c r="D615">
        <v>2411</v>
      </c>
      <c r="E615" t="s">
        <v>23</v>
      </c>
      <c r="F615" t="s">
        <v>40</v>
      </c>
      <c r="G615" t="s">
        <v>30</v>
      </c>
      <c r="H615">
        <v>81.81</v>
      </c>
      <c r="I615">
        <v>64.12</v>
      </c>
      <c r="J615">
        <v>0.65990000000000004</v>
      </c>
      <c r="K615">
        <v>0.14180000000000001</v>
      </c>
      <c r="L615">
        <v>0.1983</v>
      </c>
      <c r="M615">
        <v>2.27</v>
      </c>
      <c r="N615">
        <v>0.95</v>
      </c>
      <c r="O615">
        <v>43.8</v>
      </c>
      <c r="P615">
        <v>6.5</v>
      </c>
      <c r="Q615">
        <v>4</v>
      </c>
      <c r="R615">
        <v>1</v>
      </c>
      <c r="S615">
        <v>2.98</v>
      </c>
      <c r="T615">
        <v>0.75</v>
      </c>
      <c r="U615">
        <v>3.99</v>
      </c>
      <c r="V615">
        <v>1.42</v>
      </c>
      <c r="W615">
        <v>4.2</v>
      </c>
      <c r="X615">
        <v>1.05</v>
      </c>
    </row>
    <row r="616" spans="2:24" hidden="1" x14ac:dyDescent="0.35">
      <c r="B616">
        <v>2017</v>
      </c>
      <c r="C616" s="1">
        <v>43120</v>
      </c>
      <c r="D616">
        <v>2411</v>
      </c>
      <c r="E616" t="s">
        <v>23</v>
      </c>
      <c r="F616" t="s">
        <v>32</v>
      </c>
      <c r="G616" t="s">
        <v>39</v>
      </c>
      <c r="H616">
        <v>60.44</v>
      </c>
      <c r="I616">
        <v>79.709999999999994</v>
      </c>
      <c r="J616">
        <v>0.2437</v>
      </c>
      <c r="K616">
        <v>0.4763</v>
      </c>
      <c r="L616">
        <v>0.28000000000000003</v>
      </c>
      <c r="M616">
        <v>0.97</v>
      </c>
      <c r="N616">
        <v>1.47</v>
      </c>
      <c r="O616">
        <v>0.5</v>
      </c>
      <c r="P616">
        <v>67.099999999999994</v>
      </c>
      <c r="Q616">
        <v>0</v>
      </c>
      <c r="R616">
        <v>1</v>
      </c>
      <c r="S616">
        <v>0.62</v>
      </c>
      <c r="T616">
        <v>0.76</v>
      </c>
      <c r="U616">
        <v>1.94</v>
      </c>
      <c r="V616">
        <v>1.32</v>
      </c>
      <c r="W616">
        <v>0</v>
      </c>
      <c r="X616">
        <v>1.05</v>
      </c>
    </row>
    <row r="617" spans="2:24" hidden="1" x14ac:dyDescent="0.35">
      <c r="B617">
        <v>2017</v>
      </c>
      <c r="C617" s="1">
        <v>43120</v>
      </c>
      <c r="D617">
        <v>2411</v>
      </c>
      <c r="E617" t="s">
        <v>23</v>
      </c>
      <c r="F617" t="s">
        <v>25</v>
      </c>
      <c r="G617" t="s">
        <v>35</v>
      </c>
      <c r="H617">
        <v>65.63</v>
      </c>
      <c r="I617">
        <v>57.93</v>
      </c>
      <c r="J617">
        <v>0.53339999999999999</v>
      </c>
      <c r="K617">
        <v>0.2253</v>
      </c>
      <c r="L617">
        <v>0.24129999999999999</v>
      </c>
      <c r="M617">
        <v>1.86</v>
      </c>
      <c r="N617">
        <v>1.1299999999999999</v>
      </c>
      <c r="O617">
        <v>0.4</v>
      </c>
      <c r="P617">
        <v>11.5</v>
      </c>
      <c r="Q617">
        <v>2</v>
      </c>
      <c r="R617">
        <v>0</v>
      </c>
      <c r="S617">
        <v>1.52</v>
      </c>
      <c r="T617">
        <v>1.03</v>
      </c>
      <c r="U617">
        <v>1.23</v>
      </c>
      <c r="V617">
        <v>0.95</v>
      </c>
      <c r="W617">
        <v>1.58</v>
      </c>
      <c r="X617">
        <v>0</v>
      </c>
    </row>
    <row r="618" spans="2:24" hidden="1" x14ac:dyDescent="0.35">
      <c r="B618">
        <v>2017</v>
      </c>
      <c r="C618" s="1">
        <v>43120</v>
      </c>
      <c r="D618">
        <v>2411</v>
      </c>
      <c r="E618" t="s">
        <v>23</v>
      </c>
      <c r="F618" t="s">
        <v>27</v>
      </c>
      <c r="G618" t="s">
        <v>44</v>
      </c>
      <c r="H618">
        <v>52.39</v>
      </c>
      <c r="I618">
        <v>46.71</v>
      </c>
      <c r="J618">
        <v>0.50429999999999997</v>
      </c>
      <c r="K618">
        <v>0.22559999999999999</v>
      </c>
      <c r="L618">
        <v>0.27010000000000001</v>
      </c>
      <c r="M618">
        <v>1.56</v>
      </c>
      <c r="N618">
        <v>0.96</v>
      </c>
      <c r="O618">
        <v>60.8</v>
      </c>
      <c r="P618">
        <v>59.5</v>
      </c>
      <c r="Q618">
        <v>2</v>
      </c>
      <c r="R618">
        <v>0</v>
      </c>
      <c r="S618">
        <v>0.99</v>
      </c>
      <c r="T618">
        <v>0.28000000000000003</v>
      </c>
      <c r="U618">
        <v>1.1100000000000001</v>
      </c>
      <c r="V618">
        <v>0.48</v>
      </c>
      <c r="W618">
        <v>2.1</v>
      </c>
      <c r="X618">
        <v>0</v>
      </c>
    </row>
    <row r="619" spans="2:24" hidden="1" x14ac:dyDescent="0.35">
      <c r="B619">
        <v>2017</v>
      </c>
      <c r="C619" s="1">
        <v>43120</v>
      </c>
      <c r="D619">
        <v>2411</v>
      </c>
      <c r="E619" t="s">
        <v>23</v>
      </c>
      <c r="F619" t="s">
        <v>28</v>
      </c>
      <c r="G619" t="s">
        <v>31</v>
      </c>
      <c r="H619">
        <v>56.9</v>
      </c>
      <c r="I619">
        <v>55.56</v>
      </c>
      <c r="J619">
        <v>0.45050000000000001</v>
      </c>
      <c r="K619">
        <v>0.25259999999999999</v>
      </c>
      <c r="L619">
        <v>0.2969</v>
      </c>
      <c r="M619">
        <v>1.33</v>
      </c>
      <c r="N619">
        <v>0.92</v>
      </c>
      <c r="O619">
        <v>10.7</v>
      </c>
      <c r="P619">
        <v>56.9</v>
      </c>
      <c r="Q619">
        <v>1</v>
      </c>
      <c r="R619">
        <v>1</v>
      </c>
      <c r="S619">
        <v>1.0900000000000001</v>
      </c>
      <c r="T619">
        <v>1.46</v>
      </c>
      <c r="U619">
        <v>1.68</v>
      </c>
      <c r="V619">
        <v>0.98</v>
      </c>
      <c r="W619">
        <v>1.05</v>
      </c>
      <c r="X619">
        <v>1.05</v>
      </c>
    </row>
    <row r="620" spans="2:24" hidden="1" x14ac:dyDescent="0.35">
      <c r="B620">
        <v>2017</v>
      </c>
      <c r="C620" s="1">
        <v>43120</v>
      </c>
      <c r="D620">
        <v>2411</v>
      </c>
      <c r="E620" t="s">
        <v>23</v>
      </c>
      <c r="F620" t="s">
        <v>36</v>
      </c>
      <c r="G620" t="s">
        <v>46</v>
      </c>
      <c r="H620">
        <v>90.38</v>
      </c>
      <c r="I620">
        <v>52.25</v>
      </c>
      <c r="J620">
        <v>0.89810000000000001</v>
      </c>
      <c r="K620">
        <v>1.7999999999999999E-2</v>
      </c>
      <c r="L620">
        <v>8.3799999999999999E-2</v>
      </c>
      <c r="M620">
        <v>2.99</v>
      </c>
      <c r="N620">
        <v>0.28000000000000003</v>
      </c>
      <c r="O620">
        <v>18.8</v>
      </c>
      <c r="P620">
        <v>44.1</v>
      </c>
      <c r="Q620">
        <v>3</v>
      </c>
      <c r="R620">
        <v>1</v>
      </c>
      <c r="S620">
        <v>2.75</v>
      </c>
      <c r="T620">
        <v>1.06</v>
      </c>
      <c r="U620">
        <v>4.0599999999999996</v>
      </c>
      <c r="V620">
        <v>0.37</v>
      </c>
      <c r="W620">
        <v>2.82</v>
      </c>
      <c r="X620">
        <v>1.05</v>
      </c>
    </row>
    <row r="621" spans="2:24" hidden="1" x14ac:dyDescent="0.35">
      <c r="B621">
        <v>2017</v>
      </c>
      <c r="C621" s="1">
        <v>43121</v>
      </c>
      <c r="D621">
        <v>2411</v>
      </c>
      <c r="E621" t="s">
        <v>23</v>
      </c>
      <c r="F621" t="s">
        <v>34</v>
      </c>
      <c r="G621" t="s">
        <v>29</v>
      </c>
      <c r="H621">
        <v>59.22</v>
      </c>
      <c r="I621">
        <v>84.81</v>
      </c>
      <c r="J621">
        <v>0.17699999999999999</v>
      </c>
      <c r="K621">
        <v>0.5988</v>
      </c>
      <c r="L621">
        <v>0.22420000000000001</v>
      </c>
      <c r="M621">
        <v>1</v>
      </c>
      <c r="N621">
        <v>2.02</v>
      </c>
      <c r="O621">
        <v>39.1</v>
      </c>
      <c r="P621">
        <v>78</v>
      </c>
      <c r="Q621">
        <v>1</v>
      </c>
      <c r="R621">
        <v>1</v>
      </c>
      <c r="S621">
        <v>1.21</v>
      </c>
      <c r="T621">
        <v>1.48</v>
      </c>
      <c r="U621">
        <v>0.59</v>
      </c>
      <c r="V621">
        <v>2.52</v>
      </c>
      <c r="W621">
        <v>1.05</v>
      </c>
      <c r="X621">
        <v>1.05</v>
      </c>
    </row>
    <row r="622" spans="2:24" hidden="1" x14ac:dyDescent="0.35">
      <c r="B622">
        <v>2017</v>
      </c>
      <c r="C622" s="1">
        <v>43122</v>
      </c>
      <c r="D622">
        <v>2411</v>
      </c>
      <c r="E622" t="s">
        <v>23</v>
      </c>
      <c r="F622" t="s">
        <v>33</v>
      </c>
      <c r="G622" t="s">
        <v>41</v>
      </c>
      <c r="H622">
        <v>49.97</v>
      </c>
      <c r="I622">
        <v>86.79</v>
      </c>
      <c r="J622">
        <v>0.1086</v>
      </c>
      <c r="K622">
        <v>0.71189999999999998</v>
      </c>
      <c r="L622">
        <v>0.17949999999999999</v>
      </c>
      <c r="M622">
        <v>0.82</v>
      </c>
      <c r="N622">
        <v>2.39</v>
      </c>
      <c r="O622">
        <v>59.2</v>
      </c>
      <c r="P622">
        <v>49.2</v>
      </c>
      <c r="Q622">
        <v>1</v>
      </c>
      <c r="R622">
        <v>0</v>
      </c>
      <c r="S622">
        <v>0.42</v>
      </c>
      <c r="T622">
        <v>2.2000000000000002</v>
      </c>
      <c r="U622">
        <v>0.22</v>
      </c>
      <c r="V622">
        <v>3.32</v>
      </c>
      <c r="W622">
        <v>1.05</v>
      </c>
      <c r="X622">
        <v>0</v>
      </c>
    </row>
    <row r="623" spans="2:24" hidden="1" x14ac:dyDescent="0.35">
      <c r="B623">
        <v>2017</v>
      </c>
      <c r="C623" s="1">
        <v>43130</v>
      </c>
      <c r="D623">
        <v>2411</v>
      </c>
      <c r="E623" t="s">
        <v>23</v>
      </c>
      <c r="F623" t="s">
        <v>33</v>
      </c>
      <c r="G623" t="s">
        <v>40</v>
      </c>
      <c r="H623">
        <v>50.42</v>
      </c>
      <c r="I623">
        <v>82.71</v>
      </c>
      <c r="J623">
        <v>0.14580000000000001</v>
      </c>
      <c r="K623">
        <v>0.64729999999999999</v>
      </c>
      <c r="L623">
        <v>0.2069</v>
      </c>
      <c r="M623">
        <v>0.92</v>
      </c>
      <c r="N623">
        <v>2.17</v>
      </c>
      <c r="O623">
        <v>55.4</v>
      </c>
      <c r="P623">
        <v>56</v>
      </c>
      <c r="Q623">
        <v>3</v>
      </c>
      <c r="R623">
        <v>1</v>
      </c>
      <c r="S623">
        <v>2.38</v>
      </c>
      <c r="T623">
        <v>1.17</v>
      </c>
      <c r="U623">
        <v>0.71</v>
      </c>
      <c r="V623">
        <v>2.79</v>
      </c>
      <c r="W623">
        <v>2.73</v>
      </c>
      <c r="X623">
        <v>1.05</v>
      </c>
    </row>
    <row r="624" spans="2:24" hidden="1" x14ac:dyDescent="0.35">
      <c r="B624">
        <v>2017</v>
      </c>
      <c r="C624" s="1">
        <v>43130</v>
      </c>
      <c r="D624">
        <v>2411</v>
      </c>
      <c r="E624" t="s">
        <v>23</v>
      </c>
      <c r="F624" t="s">
        <v>43</v>
      </c>
      <c r="G624" t="s">
        <v>30</v>
      </c>
      <c r="H624">
        <v>58.2</v>
      </c>
      <c r="I624">
        <v>63.1</v>
      </c>
      <c r="J624">
        <v>0.39479999999999998</v>
      </c>
      <c r="K624">
        <v>0.33829999999999999</v>
      </c>
      <c r="L624">
        <v>0.26690000000000003</v>
      </c>
      <c r="M624">
        <v>1.48</v>
      </c>
      <c r="N624">
        <v>1.35</v>
      </c>
      <c r="O624">
        <v>20</v>
      </c>
      <c r="P624">
        <v>12.1</v>
      </c>
      <c r="Q624">
        <v>1</v>
      </c>
      <c r="R624">
        <v>1</v>
      </c>
      <c r="S624">
        <v>1.1299999999999999</v>
      </c>
      <c r="T624">
        <v>0.76</v>
      </c>
      <c r="U624">
        <v>1.49</v>
      </c>
      <c r="V624">
        <v>1.33</v>
      </c>
      <c r="W624">
        <v>1.05</v>
      </c>
      <c r="X624">
        <v>1.05</v>
      </c>
    </row>
    <row r="625" spans="2:24" hidden="1" x14ac:dyDescent="0.35">
      <c r="B625">
        <v>2017</v>
      </c>
      <c r="C625" s="1">
        <v>43130</v>
      </c>
      <c r="D625">
        <v>2411</v>
      </c>
      <c r="E625" t="s">
        <v>23</v>
      </c>
      <c r="F625" t="s">
        <v>44</v>
      </c>
      <c r="G625" t="s">
        <v>41</v>
      </c>
      <c r="H625">
        <v>45.81</v>
      </c>
      <c r="I625">
        <v>86.44</v>
      </c>
      <c r="J625">
        <v>9.06E-2</v>
      </c>
      <c r="K625">
        <v>0.74560000000000004</v>
      </c>
      <c r="L625">
        <v>0.1638</v>
      </c>
      <c r="M625">
        <v>0.76</v>
      </c>
      <c r="N625">
        <v>2.52</v>
      </c>
      <c r="O625">
        <v>62</v>
      </c>
      <c r="P625">
        <v>56.7</v>
      </c>
      <c r="Q625">
        <v>0</v>
      </c>
      <c r="R625">
        <v>3</v>
      </c>
      <c r="S625">
        <v>0.39</v>
      </c>
      <c r="T625">
        <v>1.95</v>
      </c>
      <c r="U625">
        <v>0.44</v>
      </c>
      <c r="V625">
        <v>1.95</v>
      </c>
      <c r="W625">
        <v>0</v>
      </c>
      <c r="X625">
        <v>2.95</v>
      </c>
    </row>
    <row r="626" spans="2:24" hidden="1" x14ac:dyDescent="0.35">
      <c r="B626">
        <v>2017</v>
      </c>
      <c r="C626" s="1">
        <v>43131</v>
      </c>
      <c r="D626">
        <v>2411</v>
      </c>
      <c r="E626" t="s">
        <v>23</v>
      </c>
      <c r="F626" t="s">
        <v>42</v>
      </c>
      <c r="G626" t="s">
        <v>38</v>
      </c>
      <c r="H626">
        <v>84.98</v>
      </c>
      <c r="I626">
        <v>57.23</v>
      </c>
      <c r="J626">
        <v>0.80840000000000001</v>
      </c>
      <c r="K626">
        <v>5.3199999999999997E-2</v>
      </c>
      <c r="L626">
        <v>0.13850000000000001</v>
      </c>
      <c r="M626">
        <v>2.58</v>
      </c>
      <c r="N626">
        <v>0.52</v>
      </c>
      <c r="O626">
        <v>66.3</v>
      </c>
      <c r="P626">
        <v>14.9</v>
      </c>
      <c r="Q626">
        <v>0</v>
      </c>
      <c r="R626">
        <v>3</v>
      </c>
      <c r="S626">
        <v>1.35</v>
      </c>
      <c r="T626">
        <v>1.39</v>
      </c>
      <c r="U626">
        <v>2.1800000000000002</v>
      </c>
      <c r="V626">
        <v>0.48</v>
      </c>
      <c r="W626">
        <v>0</v>
      </c>
      <c r="X626">
        <v>3.15</v>
      </c>
    </row>
    <row r="627" spans="2:24" hidden="1" x14ac:dyDescent="0.35">
      <c r="B627">
        <v>2017</v>
      </c>
      <c r="C627" s="1">
        <v>43131</v>
      </c>
      <c r="D627">
        <v>2411</v>
      </c>
      <c r="E627" t="s">
        <v>23</v>
      </c>
      <c r="F627" t="s">
        <v>34</v>
      </c>
      <c r="G627" t="s">
        <v>45</v>
      </c>
      <c r="H627">
        <v>59.56</v>
      </c>
      <c r="I627">
        <v>49.47</v>
      </c>
      <c r="J627">
        <v>0.54149999999999998</v>
      </c>
      <c r="K627">
        <v>0.18340000000000001</v>
      </c>
      <c r="L627">
        <v>0.27500000000000002</v>
      </c>
      <c r="M627">
        <v>1.53</v>
      </c>
      <c r="N627">
        <v>0.77</v>
      </c>
      <c r="O627">
        <v>50</v>
      </c>
      <c r="P627">
        <v>61.8</v>
      </c>
      <c r="Q627">
        <v>1</v>
      </c>
      <c r="R627">
        <v>1</v>
      </c>
      <c r="S627">
        <v>1.2</v>
      </c>
      <c r="T627">
        <v>1.04</v>
      </c>
      <c r="U627">
        <v>1.98</v>
      </c>
      <c r="V627">
        <v>0.53</v>
      </c>
      <c r="W627">
        <v>1.05</v>
      </c>
      <c r="X627">
        <v>1.05</v>
      </c>
    </row>
    <row r="628" spans="2:24" hidden="1" x14ac:dyDescent="0.35">
      <c r="B628">
        <v>2017</v>
      </c>
      <c r="C628" s="1">
        <v>43131</v>
      </c>
      <c r="D628">
        <v>2411</v>
      </c>
      <c r="E628" t="s">
        <v>23</v>
      </c>
      <c r="F628" t="s">
        <v>46</v>
      </c>
      <c r="G628" t="s">
        <v>32</v>
      </c>
      <c r="H628">
        <v>52.98</v>
      </c>
      <c r="I628">
        <v>60.33</v>
      </c>
      <c r="J628">
        <v>0.35920000000000002</v>
      </c>
      <c r="K628">
        <v>0.31890000000000002</v>
      </c>
      <c r="L628">
        <v>0.32190000000000002</v>
      </c>
      <c r="M628">
        <v>1.06</v>
      </c>
      <c r="N628">
        <v>0.98</v>
      </c>
      <c r="O628">
        <v>53.6</v>
      </c>
      <c r="P628">
        <v>0.1</v>
      </c>
      <c r="Q628">
        <v>1</v>
      </c>
      <c r="R628">
        <v>1</v>
      </c>
      <c r="S628">
        <v>2.5</v>
      </c>
      <c r="T628">
        <v>0.93</v>
      </c>
      <c r="U628">
        <v>1.64</v>
      </c>
      <c r="V628">
        <v>1.53</v>
      </c>
      <c r="W628">
        <v>1.05</v>
      </c>
      <c r="X628">
        <v>1.05</v>
      </c>
    </row>
    <row r="629" spans="2:24" hidden="1" x14ac:dyDescent="0.35">
      <c r="B629">
        <v>2017</v>
      </c>
      <c r="C629" s="1">
        <v>43131</v>
      </c>
      <c r="D629">
        <v>2411</v>
      </c>
      <c r="E629" t="s">
        <v>23</v>
      </c>
      <c r="F629" t="s">
        <v>28</v>
      </c>
      <c r="G629" t="s">
        <v>25</v>
      </c>
      <c r="H629">
        <v>56.48</v>
      </c>
      <c r="I629">
        <v>66.05</v>
      </c>
      <c r="J629">
        <v>0.3458</v>
      </c>
      <c r="K629">
        <v>0.37759999999999999</v>
      </c>
      <c r="L629">
        <v>0.27660000000000001</v>
      </c>
      <c r="M629">
        <v>1.3</v>
      </c>
      <c r="N629">
        <v>1.37</v>
      </c>
      <c r="O629">
        <v>8.1</v>
      </c>
      <c r="P629">
        <v>0.1</v>
      </c>
      <c r="Q629">
        <v>2</v>
      </c>
      <c r="R629">
        <v>1</v>
      </c>
      <c r="S629">
        <v>1.82</v>
      </c>
      <c r="T629">
        <v>2.71</v>
      </c>
      <c r="U629">
        <v>1.19</v>
      </c>
      <c r="V629">
        <v>0.85</v>
      </c>
      <c r="W629">
        <v>2.1</v>
      </c>
      <c r="X629">
        <v>1.05</v>
      </c>
    </row>
    <row r="630" spans="2:24" hidden="1" x14ac:dyDescent="0.35">
      <c r="B630">
        <v>2017</v>
      </c>
      <c r="C630" s="1">
        <v>43131</v>
      </c>
      <c r="D630">
        <v>2411</v>
      </c>
      <c r="E630" t="s">
        <v>23</v>
      </c>
      <c r="F630" t="s">
        <v>36</v>
      </c>
      <c r="G630" t="s">
        <v>31</v>
      </c>
      <c r="H630">
        <v>90.09</v>
      </c>
      <c r="I630">
        <v>55.97</v>
      </c>
      <c r="J630">
        <v>0.86880000000000002</v>
      </c>
      <c r="K630">
        <v>2.4299999999999999E-2</v>
      </c>
      <c r="L630">
        <v>0.1069</v>
      </c>
      <c r="M630">
        <v>2.69</v>
      </c>
      <c r="N630">
        <v>0.28999999999999998</v>
      </c>
      <c r="O630">
        <v>7.9</v>
      </c>
      <c r="P630">
        <v>55.3</v>
      </c>
      <c r="Q630">
        <v>3</v>
      </c>
      <c r="R630">
        <v>0</v>
      </c>
      <c r="S630">
        <v>3.14</v>
      </c>
      <c r="T630">
        <v>0.12</v>
      </c>
      <c r="U630">
        <v>2.4700000000000002</v>
      </c>
      <c r="V630">
        <v>0.15</v>
      </c>
      <c r="W630">
        <v>2.66</v>
      </c>
      <c r="X630">
        <v>0</v>
      </c>
    </row>
    <row r="631" spans="2:24" hidden="1" x14ac:dyDescent="0.35">
      <c r="B631">
        <v>2017</v>
      </c>
      <c r="C631" s="1">
        <v>43131</v>
      </c>
      <c r="D631">
        <v>2411</v>
      </c>
      <c r="E631" t="s">
        <v>23</v>
      </c>
      <c r="F631" t="s">
        <v>27</v>
      </c>
      <c r="G631" t="s">
        <v>35</v>
      </c>
      <c r="H631">
        <v>53.41</v>
      </c>
      <c r="I631">
        <v>57.44</v>
      </c>
      <c r="J631">
        <v>0.40760000000000002</v>
      </c>
      <c r="K631">
        <v>0.33700000000000002</v>
      </c>
      <c r="L631">
        <v>0.2555</v>
      </c>
      <c r="M631">
        <v>1.61</v>
      </c>
      <c r="N631">
        <v>1.44</v>
      </c>
      <c r="O631">
        <v>57.7</v>
      </c>
      <c r="P631">
        <v>19.7</v>
      </c>
      <c r="Q631">
        <v>0</v>
      </c>
      <c r="R631">
        <v>0</v>
      </c>
      <c r="S631">
        <v>0.82</v>
      </c>
      <c r="T631">
        <v>0.87</v>
      </c>
      <c r="U631">
        <v>1.1000000000000001</v>
      </c>
      <c r="V631">
        <v>1.75</v>
      </c>
      <c r="W631">
        <v>0</v>
      </c>
      <c r="X631">
        <v>0</v>
      </c>
    </row>
    <row r="632" spans="2:24" hidden="1" x14ac:dyDescent="0.35">
      <c r="B632">
        <v>2017</v>
      </c>
      <c r="C632" s="1">
        <v>43131</v>
      </c>
      <c r="D632">
        <v>2411</v>
      </c>
      <c r="E632" t="s">
        <v>23</v>
      </c>
      <c r="F632" t="s">
        <v>29</v>
      </c>
      <c r="G632" t="s">
        <v>39</v>
      </c>
      <c r="H632">
        <v>84.56</v>
      </c>
      <c r="I632">
        <v>79.709999999999994</v>
      </c>
      <c r="J632">
        <v>0.52059999999999995</v>
      </c>
      <c r="K632">
        <v>0.23130000000000001</v>
      </c>
      <c r="L632">
        <v>0.248</v>
      </c>
      <c r="M632">
        <v>1.78</v>
      </c>
      <c r="N632">
        <v>1.1100000000000001</v>
      </c>
      <c r="O632">
        <v>83.9</v>
      </c>
      <c r="P632">
        <v>66.2</v>
      </c>
      <c r="Q632">
        <v>2</v>
      </c>
      <c r="R632">
        <v>0</v>
      </c>
      <c r="S632">
        <v>1.53</v>
      </c>
      <c r="T632">
        <v>0.49</v>
      </c>
      <c r="U632">
        <v>1.99</v>
      </c>
      <c r="V632">
        <v>0.84</v>
      </c>
      <c r="W632">
        <v>2.1</v>
      </c>
      <c r="X632">
        <v>0</v>
      </c>
    </row>
    <row r="633" spans="2:24" hidden="1" x14ac:dyDescent="0.35">
      <c r="B633">
        <v>2017</v>
      </c>
      <c r="C633" s="1">
        <v>43134</v>
      </c>
      <c r="D633">
        <v>2411</v>
      </c>
      <c r="E633" t="s">
        <v>23</v>
      </c>
      <c r="F633" t="s">
        <v>32</v>
      </c>
      <c r="G633" t="s">
        <v>36</v>
      </c>
      <c r="H633">
        <v>59.84</v>
      </c>
      <c r="I633">
        <v>90.45</v>
      </c>
      <c r="J633">
        <v>0.12590000000000001</v>
      </c>
      <c r="K633">
        <v>0.66290000000000004</v>
      </c>
      <c r="L633">
        <v>0.2112</v>
      </c>
      <c r="M633">
        <v>0.76</v>
      </c>
      <c r="N633">
        <v>2.0499999999999998</v>
      </c>
      <c r="O633">
        <v>0</v>
      </c>
      <c r="P633">
        <v>4.9000000000000004</v>
      </c>
      <c r="Q633">
        <v>1</v>
      </c>
      <c r="R633">
        <v>1</v>
      </c>
      <c r="S633">
        <v>1.1100000000000001</v>
      </c>
      <c r="T633">
        <v>2.4</v>
      </c>
      <c r="U633">
        <v>1.1399999999999999</v>
      </c>
      <c r="V633">
        <v>2.8</v>
      </c>
      <c r="W633">
        <v>1.05</v>
      </c>
      <c r="X633">
        <v>1.05</v>
      </c>
    </row>
    <row r="634" spans="2:24" hidden="1" x14ac:dyDescent="0.35">
      <c r="B634">
        <v>2017</v>
      </c>
      <c r="C634" s="1">
        <v>43134</v>
      </c>
      <c r="D634">
        <v>2411</v>
      </c>
      <c r="E634" t="s">
        <v>23</v>
      </c>
      <c r="F634" t="s">
        <v>31</v>
      </c>
      <c r="G634" t="s">
        <v>34</v>
      </c>
      <c r="H634">
        <v>55.2</v>
      </c>
      <c r="I634">
        <v>59.11</v>
      </c>
      <c r="J634">
        <v>0.39660000000000001</v>
      </c>
      <c r="K634">
        <v>0.29849999999999999</v>
      </c>
      <c r="L634">
        <v>0.3049</v>
      </c>
      <c r="M634">
        <v>1.21</v>
      </c>
      <c r="N634">
        <v>1.01</v>
      </c>
      <c r="O634">
        <v>70.5</v>
      </c>
      <c r="P634">
        <v>56.3</v>
      </c>
      <c r="Q634">
        <v>2</v>
      </c>
      <c r="R634">
        <v>3</v>
      </c>
      <c r="S634">
        <v>0.78</v>
      </c>
      <c r="T634">
        <v>0.91</v>
      </c>
      <c r="U634">
        <v>1.75</v>
      </c>
      <c r="V634">
        <v>1.65</v>
      </c>
      <c r="W634">
        <v>2.1</v>
      </c>
      <c r="X634">
        <v>3.15</v>
      </c>
    </row>
    <row r="635" spans="2:24" hidden="1" x14ac:dyDescent="0.35">
      <c r="B635">
        <v>2017</v>
      </c>
      <c r="C635" s="1">
        <v>43134</v>
      </c>
      <c r="D635">
        <v>2411</v>
      </c>
      <c r="E635" t="s">
        <v>23</v>
      </c>
      <c r="F635" t="s">
        <v>39</v>
      </c>
      <c r="G635" t="s">
        <v>44</v>
      </c>
      <c r="H635">
        <v>78.849999999999994</v>
      </c>
      <c r="I635">
        <v>44.87</v>
      </c>
      <c r="J635">
        <v>0.82679999999999998</v>
      </c>
      <c r="K635">
        <v>3.3000000000000002E-2</v>
      </c>
      <c r="L635">
        <v>0.14019999999999999</v>
      </c>
      <c r="M635">
        <v>2.34</v>
      </c>
      <c r="N635">
        <v>0.28999999999999998</v>
      </c>
      <c r="O635">
        <v>68.8</v>
      </c>
      <c r="P635">
        <v>72.5</v>
      </c>
      <c r="Q635">
        <v>2</v>
      </c>
      <c r="R635">
        <v>0</v>
      </c>
      <c r="S635">
        <v>2.2599999999999998</v>
      </c>
      <c r="T635">
        <v>0.22</v>
      </c>
      <c r="U635">
        <v>2.85</v>
      </c>
      <c r="V635">
        <v>0.62</v>
      </c>
      <c r="W635">
        <v>2.1</v>
      </c>
      <c r="X635">
        <v>0</v>
      </c>
    </row>
    <row r="636" spans="2:24" hidden="1" x14ac:dyDescent="0.35">
      <c r="B636">
        <v>2017</v>
      </c>
      <c r="C636" s="1">
        <v>43134</v>
      </c>
      <c r="D636">
        <v>2411</v>
      </c>
      <c r="E636" t="s">
        <v>23</v>
      </c>
      <c r="F636" t="s">
        <v>25</v>
      </c>
      <c r="G636" t="s">
        <v>33</v>
      </c>
      <c r="H636">
        <v>65.52</v>
      </c>
      <c r="I636">
        <v>52.9</v>
      </c>
      <c r="J636">
        <v>0.56930000000000003</v>
      </c>
      <c r="K636">
        <v>0.1671</v>
      </c>
      <c r="L636">
        <v>0.2636</v>
      </c>
      <c r="M636">
        <v>1.61</v>
      </c>
      <c r="N636">
        <v>0.74</v>
      </c>
      <c r="O636">
        <v>0.1</v>
      </c>
      <c r="P636">
        <v>43.4</v>
      </c>
      <c r="Q636">
        <v>1</v>
      </c>
      <c r="R636">
        <v>1</v>
      </c>
      <c r="S636">
        <v>1.76</v>
      </c>
      <c r="T636">
        <v>0.5</v>
      </c>
      <c r="U636">
        <v>1.29</v>
      </c>
      <c r="V636">
        <v>0.69</v>
      </c>
      <c r="W636">
        <v>1.05</v>
      </c>
      <c r="X636">
        <v>1.05</v>
      </c>
    </row>
    <row r="637" spans="2:24" hidden="1" x14ac:dyDescent="0.35">
      <c r="B637">
        <v>2017</v>
      </c>
      <c r="C637" s="1">
        <v>43134</v>
      </c>
      <c r="D637">
        <v>2411</v>
      </c>
      <c r="E637" t="s">
        <v>23</v>
      </c>
      <c r="F637" t="s">
        <v>38</v>
      </c>
      <c r="G637" t="s">
        <v>27</v>
      </c>
      <c r="H637">
        <v>60.64</v>
      </c>
      <c r="I637">
        <v>52.98</v>
      </c>
      <c r="J637">
        <v>0.52790000000000004</v>
      </c>
      <c r="K637">
        <v>0.22459999999999999</v>
      </c>
      <c r="L637">
        <v>0.2475</v>
      </c>
      <c r="M637">
        <v>1.79</v>
      </c>
      <c r="N637">
        <v>1.0900000000000001</v>
      </c>
      <c r="O637">
        <v>9.5</v>
      </c>
      <c r="P637">
        <v>57.3</v>
      </c>
      <c r="Q637">
        <v>2</v>
      </c>
      <c r="R637">
        <v>1</v>
      </c>
      <c r="S637">
        <v>1.66</v>
      </c>
      <c r="T637">
        <v>0.78</v>
      </c>
      <c r="U637">
        <v>1.84</v>
      </c>
      <c r="V637">
        <v>1.8</v>
      </c>
      <c r="W637">
        <v>2.1</v>
      </c>
      <c r="X637">
        <v>1.05</v>
      </c>
    </row>
    <row r="638" spans="2:24" hidden="1" x14ac:dyDescent="0.35">
      <c r="B638">
        <v>2017</v>
      </c>
      <c r="C638" s="1">
        <v>43134</v>
      </c>
      <c r="D638">
        <v>2411</v>
      </c>
      <c r="E638" t="s">
        <v>23</v>
      </c>
      <c r="F638" t="s">
        <v>45</v>
      </c>
      <c r="G638" t="s">
        <v>43</v>
      </c>
      <c r="H638">
        <v>49.9</v>
      </c>
      <c r="I638">
        <v>58.16</v>
      </c>
      <c r="J638">
        <v>0.35649999999999998</v>
      </c>
      <c r="K638">
        <v>0.35210000000000002</v>
      </c>
      <c r="L638">
        <v>0.29139999999999999</v>
      </c>
      <c r="M638">
        <v>1.22</v>
      </c>
      <c r="N638">
        <v>1.21</v>
      </c>
      <c r="O638">
        <v>66</v>
      </c>
      <c r="P638">
        <v>25.5</v>
      </c>
      <c r="Q638">
        <v>3</v>
      </c>
      <c r="R638">
        <v>1</v>
      </c>
      <c r="S638">
        <v>1.7</v>
      </c>
      <c r="T638">
        <v>0.51</v>
      </c>
      <c r="U638">
        <v>1.95</v>
      </c>
      <c r="V638">
        <v>1.64</v>
      </c>
      <c r="W638">
        <v>3.03</v>
      </c>
      <c r="X638">
        <v>1.05</v>
      </c>
    </row>
    <row r="639" spans="2:24" hidden="1" x14ac:dyDescent="0.35">
      <c r="B639">
        <v>2017</v>
      </c>
      <c r="C639" s="1">
        <v>43134</v>
      </c>
      <c r="D639">
        <v>2411</v>
      </c>
      <c r="E639" t="s">
        <v>23</v>
      </c>
      <c r="F639" t="s">
        <v>40</v>
      </c>
      <c r="G639" t="s">
        <v>28</v>
      </c>
      <c r="H639">
        <v>80.92</v>
      </c>
      <c r="I639">
        <v>57.06</v>
      </c>
      <c r="J639">
        <v>0.75960000000000005</v>
      </c>
      <c r="K639">
        <v>8.8499999999999995E-2</v>
      </c>
      <c r="L639">
        <v>0.15179999999999999</v>
      </c>
      <c r="M639">
        <v>2.72</v>
      </c>
      <c r="N639">
        <v>0.84</v>
      </c>
      <c r="O639">
        <v>33.5</v>
      </c>
      <c r="P639">
        <v>2.7</v>
      </c>
      <c r="Q639">
        <v>5</v>
      </c>
      <c r="R639">
        <v>1</v>
      </c>
      <c r="S639">
        <v>2.67</v>
      </c>
      <c r="T639">
        <v>1.18</v>
      </c>
      <c r="U639">
        <v>2.33</v>
      </c>
      <c r="V639">
        <v>1.52</v>
      </c>
      <c r="W639">
        <v>5.16</v>
      </c>
      <c r="X639">
        <v>1.05</v>
      </c>
    </row>
    <row r="640" spans="2:24" hidden="1" x14ac:dyDescent="0.35">
      <c r="B640">
        <v>2017</v>
      </c>
      <c r="C640" s="1">
        <v>43135</v>
      </c>
      <c r="D640">
        <v>2411</v>
      </c>
      <c r="E640" t="s">
        <v>23</v>
      </c>
      <c r="F640" t="s">
        <v>30</v>
      </c>
      <c r="G640" t="s">
        <v>46</v>
      </c>
      <c r="H640">
        <v>63.12</v>
      </c>
      <c r="I640">
        <v>53.5</v>
      </c>
      <c r="J640">
        <v>0.54249999999999998</v>
      </c>
      <c r="K640">
        <v>0.1968</v>
      </c>
      <c r="L640">
        <v>0.26069999999999999</v>
      </c>
      <c r="M640">
        <v>1.65</v>
      </c>
      <c r="N640">
        <v>0.88</v>
      </c>
      <c r="O640">
        <v>18.5</v>
      </c>
      <c r="P640">
        <v>55.6</v>
      </c>
      <c r="Q640">
        <v>1</v>
      </c>
      <c r="R640">
        <v>1</v>
      </c>
      <c r="S640">
        <v>3.01</v>
      </c>
      <c r="T640">
        <v>1.1399999999999999</v>
      </c>
      <c r="U640">
        <v>2.0499999999999998</v>
      </c>
      <c r="V640">
        <v>1.25</v>
      </c>
      <c r="W640">
        <v>1.05</v>
      </c>
      <c r="X640">
        <v>1.05</v>
      </c>
    </row>
    <row r="641" spans="2:24" hidden="1" x14ac:dyDescent="0.35">
      <c r="B641">
        <v>2017</v>
      </c>
      <c r="C641" s="1">
        <v>43135</v>
      </c>
      <c r="D641">
        <v>2411</v>
      </c>
      <c r="E641" t="s">
        <v>23</v>
      </c>
      <c r="F641" t="s">
        <v>41</v>
      </c>
      <c r="G641" t="s">
        <v>29</v>
      </c>
      <c r="H641">
        <v>86.98</v>
      </c>
      <c r="I641">
        <v>85.16</v>
      </c>
      <c r="J641">
        <v>0.4718</v>
      </c>
      <c r="K641">
        <v>0.2843</v>
      </c>
      <c r="L641">
        <v>0.24390000000000001</v>
      </c>
      <c r="M641">
        <v>1.82</v>
      </c>
      <c r="N641">
        <v>1.37</v>
      </c>
      <c r="O641">
        <v>53.6</v>
      </c>
      <c r="P641">
        <v>83</v>
      </c>
      <c r="Q641">
        <v>2</v>
      </c>
      <c r="R641">
        <v>2</v>
      </c>
      <c r="S641">
        <v>1.39</v>
      </c>
      <c r="T641">
        <v>2.6</v>
      </c>
      <c r="U641">
        <v>0.96</v>
      </c>
      <c r="V641">
        <v>0.93</v>
      </c>
      <c r="W641">
        <v>2.1</v>
      </c>
      <c r="X641">
        <v>2.1</v>
      </c>
    </row>
    <row r="642" spans="2:24" hidden="1" x14ac:dyDescent="0.35">
      <c r="B642">
        <v>2017</v>
      </c>
      <c r="C642" s="1">
        <v>43136</v>
      </c>
      <c r="D642">
        <v>2411</v>
      </c>
      <c r="E642" t="s">
        <v>23</v>
      </c>
      <c r="F642" t="s">
        <v>35</v>
      </c>
      <c r="G642" t="s">
        <v>42</v>
      </c>
      <c r="H642">
        <v>57.9</v>
      </c>
      <c r="I642">
        <v>82.8</v>
      </c>
      <c r="J642">
        <v>0.18720000000000001</v>
      </c>
      <c r="K642">
        <v>0.58989999999999998</v>
      </c>
      <c r="L642">
        <v>0.22289999999999999</v>
      </c>
      <c r="M642">
        <v>1.07</v>
      </c>
      <c r="N642">
        <v>2.0499999999999998</v>
      </c>
      <c r="O642">
        <v>16.899999999999999</v>
      </c>
      <c r="P642">
        <v>77.3</v>
      </c>
      <c r="Q642">
        <v>4</v>
      </c>
      <c r="R642">
        <v>1</v>
      </c>
      <c r="S642">
        <v>2.17</v>
      </c>
      <c r="T642">
        <v>0.38</v>
      </c>
      <c r="U642">
        <v>2.42</v>
      </c>
      <c r="V642">
        <v>0.97</v>
      </c>
      <c r="W642">
        <v>2.58</v>
      </c>
      <c r="X642">
        <v>1.05</v>
      </c>
    </row>
    <row r="643" spans="2:24" hidden="1" x14ac:dyDescent="0.35">
      <c r="B643">
        <v>2017</v>
      </c>
      <c r="C643" s="1">
        <v>43141</v>
      </c>
      <c r="D643">
        <v>2411</v>
      </c>
      <c r="E643" t="s">
        <v>23</v>
      </c>
      <c r="F643" t="s">
        <v>29</v>
      </c>
      <c r="G643" t="s">
        <v>40</v>
      </c>
      <c r="H643">
        <v>85.66</v>
      </c>
      <c r="I643">
        <v>81.41</v>
      </c>
      <c r="J643">
        <v>0.54159999999999997</v>
      </c>
      <c r="K643">
        <v>0.23799999999999999</v>
      </c>
      <c r="L643">
        <v>0.22040000000000001</v>
      </c>
      <c r="M643">
        <v>2.15</v>
      </c>
      <c r="N643">
        <v>1.38</v>
      </c>
      <c r="O643">
        <v>93.4</v>
      </c>
      <c r="P643">
        <v>78.3</v>
      </c>
      <c r="Q643">
        <v>1</v>
      </c>
      <c r="R643">
        <v>0</v>
      </c>
      <c r="S643">
        <v>3</v>
      </c>
      <c r="T643">
        <v>0.61</v>
      </c>
      <c r="U643">
        <v>1.98</v>
      </c>
      <c r="V643">
        <v>0.66</v>
      </c>
      <c r="W643">
        <v>1.05</v>
      </c>
      <c r="X643">
        <v>0</v>
      </c>
    </row>
    <row r="644" spans="2:24" hidden="1" x14ac:dyDescent="0.35">
      <c r="B644">
        <v>2017</v>
      </c>
      <c r="C644" s="1">
        <v>43141</v>
      </c>
      <c r="D644">
        <v>2411</v>
      </c>
      <c r="E644" t="s">
        <v>23</v>
      </c>
      <c r="F644" t="s">
        <v>27</v>
      </c>
      <c r="G644" t="s">
        <v>45</v>
      </c>
      <c r="H644">
        <v>52.95</v>
      </c>
      <c r="I644">
        <v>51.6</v>
      </c>
      <c r="J644">
        <v>0.45550000000000002</v>
      </c>
      <c r="K644">
        <v>0.25890000000000002</v>
      </c>
      <c r="L644">
        <v>0.28560000000000002</v>
      </c>
      <c r="M644">
        <v>1.41</v>
      </c>
      <c r="N644">
        <v>0.99</v>
      </c>
      <c r="O644">
        <v>74.2</v>
      </c>
      <c r="P644">
        <v>55.9</v>
      </c>
      <c r="Q644">
        <v>1</v>
      </c>
      <c r="R644">
        <v>1</v>
      </c>
      <c r="S644">
        <v>0.64</v>
      </c>
      <c r="T644">
        <v>1.04</v>
      </c>
      <c r="U644">
        <v>1.55</v>
      </c>
      <c r="V644">
        <v>1.97</v>
      </c>
      <c r="W644">
        <v>1.05</v>
      </c>
      <c r="X644">
        <v>1.05</v>
      </c>
    </row>
    <row r="645" spans="2:24" hidden="1" x14ac:dyDescent="0.35">
      <c r="B645">
        <v>2017</v>
      </c>
      <c r="C645" s="1">
        <v>43141</v>
      </c>
      <c r="D645">
        <v>2411</v>
      </c>
      <c r="E645" t="s">
        <v>23</v>
      </c>
      <c r="F645" t="s">
        <v>43</v>
      </c>
      <c r="G645" t="s">
        <v>35</v>
      </c>
      <c r="H645">
        <v>56.36</v>
      </c>
      <c r="I645">
        <v>61.39</v>
      </c>
      <c r="J645">
        <v>0.39729999999999999</v>
      </c>
      <c r="K645">
        <v>0.34870000000000001</v>
      </c>
      <c r="L645">
        <v>0.254</v>
      </c>
      <c r="M645">
        <v>1.6</v>
      </c>
      <c r="N645">
        <v>1.49</v>
      </c>
      <c r="O645">
        <v>40.700000000000003</v>
      </c>
      <c r="P645">
        <v>5.4</v>
      </c>
      <c r="Q645">
        <v>2</v>
      </c>
      <c r="R645">
        <v>0</v>
      </c>
      <c r="S645">
        <v>1.54</v>
      </c>
      <c r="T645">
        <v>0.79</v>
      </c>
      <c r="U645">
        <v>1.26</v>
      </c>
      <c r="V645">
        <v>2.04</v>
      </c>
      <c r="W645">
        <v>1.91</v>
      </c>
      <c r="X645">
        <v>0</v>
      </c>
    </row>
    <row r="646" spans="2:24" hidden="1" x14ac:dyDescent="0.35">
      <c r="B646">
        <v>2017</v>
      </c>
      <c r="C646" s="1">
        <v>43141</v>
      </c>
      <c r="D646">
        <v>2411</v>
      </c>
      <c r="E646" t="s">
        <v>23</v>
      </c>
      <c r="F646" t="s">
        <v>28</v>
      </c>
      <c r="G646" t="s">
        <v>30</v>
      </c>
      <c r="H646">
        <v>56.54</v>
      </c>
      <c r="I646">
        <v>62.98</v>
      </c>
      <c r="J646">
        <v>0.3785</v>
      </c>
      <c r="K646">
        <v>0.3483</v>
      </c>
      <c r="L646">
        <v>0.27329999999999999</v>
      </c>
      <c r="M646">
        <v>1.39</v>
      </c>
      <c r="N646">
        <v>1.33</v>
      </c>
      <c r="O646">
        <v>5.8</v>
      </c>
      <c r="P646">
        <v>17.600000000000001</v>
      </c>
      <c r="Q646">
        <v>3</v>
      </c>
      <c r="R646">
        <v>1</v>
      </c>
      <c r="S646">
        <v>1.53</v>
      </c>
      <c r="T646">
        <v>1.75</v>
      </c>
      <c r="U646">
        <v>1.9</v>
      </c>
      <c r="V646">
        <v>2.0299999999999998</v>
      </c>
      <c r="W646">
        <v>3.02</v>
      </c>
      <c r="X646">
        <v>1.05</v>
      </c>
    </row>
    <row r="647" spans="2:24" hidden="1" x14ac:dyDescent="0.35">
      <c r="B647">
        <v>2017</v>
      </c>
      <c r="C647" s="1">
        <v>43141</v>
      </c>
      <c r="D647">
        <v>2411</v>
      </c>
      <c r="E647" t="s">
        <v>23</v>
      </c>
      <c r="F647" t="s">
        <v>33</v>
      </c>
      <c r="G647" t="s">
        <v>32</v>
      </c>
      <c r="H647">
        <v>53.35</v>
      </c>
      <c r="I647">
        <v>60.57</v>
      </c>
      <c r="J647">
        <v>0.35630000000000001</v>
      </c>
      <c r="K647">
        <v>0.30730000000000002</v>
      </c>
      <c r="L647">
        <v>0.33639999999999998</v>
      </c>
      <c r="M647">
        <v>1</v>
      </c>
      <c r="N647">
        <v>0.9</v>
      </c>
      <c r="O647">
        <v>53.4</v>
      </c>
      <c r="P647">
        <v>0</v>
      </c>
      <c r="Q647">
        <v>1</v>
      </c>
      <c r="R647">
        <v>0</v>
      </c>
      <c r="S647">
        <v>0.63</v>
      </c>
      <c r="T647">
        <v>0.52</v>
      </c>
      <c r="U647">
        <v>2.2599999999999998</v>
      </c>
      <c r="V647">
        <v>0.97</v>
      </c>
      <c r="W647">
        <v>1.05</v>
      </c>
      <c r="X647">
        <v>0</v>
      </c>
    </row>
    <row r="648" spans="2:24" hidden="1" x14ac:dyDescent="0.35">
      <c r="B648">
        <v>2017</v>
      </c>
      <c r="C648" s="1">
        <v>43141</v>
      </c>
      <c r="D648">
        <v>2411</v>
      </c>
      <c r="E648" t="s">
        <v>23</v>
      </c>
      <c r="F648" t="s">
        <v>36</v>
      </c>
      <c r="G648" t="s">
        <v>25</v>
      </c>
      <c r="H648">
        <v>90.09</v>
      </c>
      <c r="I648">
        <v>65.069999999999993</v>
      </c>
      <c r="J648">
        <v>0.81359999999999999</v>
      </c>
      <c r="K648">
        <v>5.4100000000000002E-2</v>
      </c>
      <c r="L648">
        <v>0.1323</v>
      </c>
      <c r="M648">
        <v>2.7</v>
      </c>
      <c r="N648">
        <v>0.56000000000000005</v>
      </c>
      <c r="O648">
        <v>4.3</v>
      </c>
      <c r="P648">
        <v>0</v>
      </c>
      <c r="Q648">
        <v>5</v>
      </c>
      <c r="R648">
        <v>1</v>
      </c>
      <c r="S648">
        <v>2.33</v>
      </c>
      <c r="T648">
        <v>0.12</v>
      </c>
      <c r="U648">
        <v>2.78</v>
      </c>
      <c r="V648">
        <v>0.48</v>
      </c>
      <c r="W648">
        <v>4.55</v>
      </c>
      <c r="X648">
        <v>1.05</v>
      </c>
    </row>
    <row r="649" spans="2:24" hidden="1" x14ac:dyDescent="0.35">
      <c r="B649">
        <v>2017</v>
      </c>
      <c r="C649" s="1">
        <v>43142</v>
      </c>
      <c r="D649">
        <v>2411</v>
      </c>
      <c r="E649" t="s">
        <v>23</v>
      </c>
      <c r="F649" t="s">
        <v>44</v>
      </c>
      <c r="G649" t="s">
        <v>38</v>
      </c>
      <c r="H649">
        <v>44.49</v>
      </c>
      <c r="I649">
        <v>60.67</v>
      </c>
      <c r="J649">
        <v>0.28220000000000001</v>
      </c>
      <c r="K649">
        <v>0.43149999999999999</v>
      </c>
      <c r="L649">
        <v>0.2863</v>
      </c>
      <c r="M649">
        <v>1.06</v>
      </c>
      <c r="N649">
        <v>1.38</v>
      </c>
      <c r="O649">
        <v>58</v>
      </c>
      <c r="P649">
        <v>4.4000000000000004</v>
      </c>
      <c r="Q649">
        <v>4</v>
      </c>
      <c r="R649">
        <v>1</v>
      </c>
      <c r="S649">
        <v>2.4700000000000002</v>
      </c>
      <c r="T649">
        <v>0.66</v>
      </c>
      <c r="U649">
        <v>1.39</v>
      </c>
      <c r="V649">
        <v>0.78</v>
      </c>
      <c r="W649">
        <v>3.68</v>
      </c>
      <c r="X649">
        <v>1.05</v>
      </c>
    </row>
    <row r="650" spans="2:24" hidden="1" x14ac:dyDescent="0.35">
      <c r="B650">
        <v>2017</v>
      </c>
      <c r="C650" s="1">
        <v>43142</v>
      </c>
      <c r="D650">
        <v>2411</v>
      </c>
      <c r="E650" t="s">
        <v>23</v>
      </c>
      <c r="F650" t="s">
        <v>46</v>
      </c>
      <c r="G650" t="s">
        <v>39</v>
      </c>
      <c r="H650">
        <v>53.66</v>
      </c>
      <c r="I650">
        <v>79.14</v>
      </c>
      <c r="J650">
        <v>0.19400000000000001</v>
      </c>
      <c r="K650">
        <v>0.56459999999999999</v>
      </c>
      <c r="L650">
        <v>0.2414</v>
      </c>
      <c r="M650">
        <v>0.98</v>
      </c>
      <c r="N650">
        <v>1.84</v>
      </c>
      <c r="O650">
        <v>52.2</v>
      </c>
      <c r="P650">
        <v>62.6</v>
      </c>
      <c r="Q650">
        <v>1</v>
      </c>
      <c r="R650">
        <v>0</v>
      </c>
      <c r="S650">
        <v>0.75</v>
      </c>
      <c r="T650">
        <v>1.41</v>
      </c>
      <c r="U650">
        <v>1.03</v>
      </c>
      <c r="V650">
        <v>2.59</v>
      </c>
      <c r="W650">
        <v>1.05</v>
      </c>
      <c r="X650">
        <v>0</v>
      </c>
    </row>
    <row r="651" spans="2:24" hidden="1" x14ac:dyDescent="0.35">
      <c r="B651">
        <v>2017</v>
      </c>
      <c r="C651" s="1">
        <v>43142</v>
      </c>
      <c r="D651">
        <v>2411</v>
      </c>
      <c r="E651" t="s">
        <v>23</v>
      </c>
      <c r="F651" t="s">
        <v>34</v>
      </c>
      <c r="G651" t="s">
        <v>41</v>
      </c>
      <c r="H651">
        <v>59.95</v>
      </c>
      <c r="I651">
        <v>86.56</v>
      </c>
      <c r="J651">
        <v>0.16520000000000001</v>
      </c>
      <c r="K651">
        <v>0.63560000000000005</v>
      </c>
      <c r="L651">
        <v>0.19919999999999999</v>
      </c>
      <c r="M651">
        <v>1.1200000000000001</v>
      </c>
      <c r="N651">
        <v>2.34</v>
      </c>
      <c r="O651">
        <v>29.2</v>
      </c>
      <c r="P651">
        <v>42.9</v>
      </c>
      <c r="Q651">
        <v>0</v>
      </c>
      <c r="R651">
        <v>2</v>
      </c>
      <c r="S651">
        <v>0.98</v>
      </c>
      <c r="T651">
        <v>2.42</v>
      </c>
      <c r="U651">
        <v>1.28</v>
      </c>
      <c r="V651">
        <v>1.64</v>
      </c>
      <c r="W651">
        <v>0</v>
      </c>
      <c r="X651">
        <v>2.1</v>
      </c>
    </row>
    <row r="652" spans="2:24" hidden="1" x14ac:dyDescent="0.35">
      <c r="B652">
        <v>2017</v>
      </c>
      <c r="C652" s="1">
        <v>43143</v>
      </c>
      <c r="D652">
        <v>2411</v>
      </c>
      <c r="E652" t="s">
        <v>23</v>
      </c>
      <c r="F652" t="s">
        <v>42</v>
      </c>
      <c r="G652" t="s">
        <v>31</v>
      </c>
      <c r="H652">
        <v>80.44</v>
      </c>
      <c r="I652">
        <v>54.39</v>
      </c>
      <c r="J652">
        <v>0.76849999999999996</v>
      </c>
      <c r="K652">
        <v>6.1400000000000003E-2</v>
      </c>
      <c r="L652">
        <v>0.1701</v>
      </c>
      <c r="M652">
        <v>2.2200000000000002</v>
      </c>
      <c r="N652">
        <v>0.46</v>
      </c>
      <c r="O652">
        <v>75.2</v>
      </c>
      <c r="P652">
        <v>64.900000000000006</v>
      </c>
      <c r="Q652">
        <v>3</v>
      </c>
      <c r="R652">
        <v>0</v>
      </c>
      <c r="S652">
        <v>2.41</v>
      </c>
      <c r="T652">
        <v>0.65</v>
      </c>
      <c r="U652">
        <v>2.6</v>
      </c>
      <c r="V652">
        <v>1.36</v>
      </c>
      <c r="W652">
        <v>3.14</v>
      </c>
      <c r="X652">
        <v>0</v>
      </c>
    </row>
    <row r="653" spans="2:24" hidden="1" x14ac:dyDescent="0.35">
      <c r="B653">
        <v>2017</v>
      </c>
      <c r="C653" s="1">
        <v>43155</v>
      </c>
      <c r="D653">
        <v>2411</v>
      </c>
      <c r="E653" t="s">
        <v>23</v>
      </c>
      <c r="F653" t="s">
        <v>25</v>
      </c>
      <c r="G653" t="s">
        <v>27</v>
      </c>
      <c r="H653">
        <v>64.349999999999994</v>
      </c>
      <c r="I653">
        <v>52.18</v>
      </c>
      <c r="J653">
        <v>0.57450000000000001</v>
      </c>
      <c r="K653">
        <v>0.1857</v>
      </c>
      <c r="L653">
        <v>0.23980000000000001</v>
      </c>
      <c r="M653">
        <v>1.85</v>
      </c>
      <c r="N653">
        <v>0.95</v>
      </c>
      <c r="O653">
        <v>0.3</v>
      </c>
      <c r="P653">
        <v>62.8</v>
      </c>
      <c r="Q653">
        <v>1</v>
      </c>
      <c r="R653">
        <v>1</v>
      </c>
      <c r="S653">
        <v>1.22</v>
      </c>
      <c r="T653">
        <v>0.22</v>
      </c>
      <c r="U653">
        <v>0.68</v>
      </c>
      <c r="V653">
        <v>0.26</v>
      </c>
      <c r="W653">
        <v>1.05</v>
      </c>
      <c r="X653">
        <v>1.05</v>
      </c>
    </row>
    <row r="654" spans="2:24" hidden="1" x14ac:dyDescent="0.35">
      <c r="B654">
        <v>2017</v>
      </c>
      <c r="C654" s="1">
        <v>43155</v>
      </c>
      <c r="D654">
        <v>2411</v>
      </c>
      <c r="E654" t="s">
        <v>23</v>
      </c>
      <c r="F654" t="s">
        <v>38</v>
      </c>
      <c r="G654" t="s">
        <v>46</v>
      </c>
      <c r="H654">
        <v>57.47</v>
      </c>
      <c r="I654">
        <v>54.34</v>
      </c>
      <c r="J654">
        <v>0.47910000000000003</v>
      </c>
      <c r="K654">
        <v>0.2601</v>
      </c>
      <c r="L654">
        <v>0.26090000000000002</v>
      </c>
      <c r="M654">
        <v>1.64</v>
      </c>
      <c r="N654">
        <v>1.1399999999999999</v>
      </c>
      <c r="O654">
        <v>12.9</v>
      </c>
      <c r="P654">
        <v>40.700000000000003</v>
      </c>
      <c r="Q654">
        <v>2</v>
      </c>
      <c r="R654">
        <v>2</v>
      </c>
      <c r="S654">
        <v>1.28</v>
      </c>
      <c r="T654">
        <v>3.36</v>
      </c>
      <c r="U654">
        <v>1.98</v>
      </c>
      <c r="V654">
        <v>0.85</v>
      </c>
      <c r="W654">
        <v>2.1</v>
      </c>
      <c r="X654">
        <v>2.1</v>
      </c>
    </row>
    <row r="655" spans="2:24" hidden="1" x14ac:dyDescent="0.35">
      <c r="B655">
        <v>2017</v>
      </c>
      <c r="C655" s="1">
        <v>43155</v>
      </c>
      <c r="D655">
        <v>2411</v>
      </c>
      <c r="E655" t="s">
        <v>23</v>
      </c>
      <c r="F655" t="s">
        <v>41</v>
      </c>
      <c r="G655" t="s">
        <v>43</v>
      </c>
      <c r="H655">
        <v>88.57</v>
      </c>
      <c r="I655">
        <v>57.23</v>
      </c>
      <c r="J655">
        <v>0.85440000000000005</v>
      </c>
      <c r="K655">
        <v>4.2299999999999997E-2</v>
      </c>
      <c r="L655">
        <v>0.10340000000000001</v>
      </c>
      <c r="M655">
        <v>3.12</v>
      </c>
      <c r="N655">
        <v>0.6</v>
      </c>
      <c r="O655">
        <v>32.9</v>
      </c>
      <c r="P655">
        <v>16.5</v>
      </c>
      <c r="Q655">
        <v>4</v>
      </c>
      <c r="R655">
        <v>1</v>
      </c>
      <c r="S655">
        <v>3.62</v>
      </c>
      <c r="T655">
        <v>0.33</v>
      </c>
      <c r="U655">
        <v>2.83</v>
      </c>
      <c r="V655">
        <v>0.55000000000000004</v>
      </c>
      <c r="W655">
        <v>4.04</v>
      </c>
      <c r="X655">
        <v>1.05</v>
      </c>
    </row>
    <row r="656" spans="2:24" hidden="1" x14ac:dyDescent="0.35">
      <c r="B656">
        <v>2017</v>
      </c>
      <c r="C656" s="1">
        <v>43155</v>
      </c>
      <c r="D656">
        <v>2411</v>
      </c>
      <c r="E656" t="s">
        <v>23</v>
      </c>
      <c r="F656" t="s">
        <v>31</v>
      </c>
      <c r="G656" t="s">
        <v>44</v>
      </c>
      <c r="H656">
        <v>53.73</v>
      </c>
      <c r="I656">
        <v>47.46</v>
      </c>
      <c r="J656">
        <v>0.49490000000000001</v>
      </c>
      <c r="K656">
        <v>0.2016</v>
      </c>
      <c r="L656">
        <v>0.30349999999999999</v>
      </c>
      <c r="M656">
        <v>1.32</v>
      </c>
      <c r="N656">
        <v>0.73</v>
      </c>
      <c r="O656">
        <v>44</v>
      </c>
      <c r="P656">
        <v>69.900000000000006</v>
      </c>
      <c r="Q656">
        <v>1</v>
      </c>
      <c r="R656">
        <v>2</v>
      </c>
      <c r="S656">
        <v>1.51</v>
      </c>
      <c r="T656">
        <v>0.94</v>
      </c>
      <c r="U656">
        <v>0.99</v>
      </c>
      <c r="V656">
        <v>0.96</v>
      </c>
      <c r="W656">
        <v>1.05</v>
      </c>
      <c r="X656">
        <v>2.1</v>
      </c>
    </row>
    <row r="657" spans="2:24" hidden="1" x14ac:dyDescent="0.35">
      <c r="B657">
        <v>2017</v>
      </c>
      <c r="C657" s="1">
        <v>43155</v>
      </c>
      <c r="D657">
        <v>2411</v>
      </c>
      <c r="E657" t="s">
        <v>23</v>
      </c>
      <c r="F657" t="s">
        <v>45</v>
      </c>
      <c r="G657" t="s">
        <v>33</v>
      </c>
      <c r="H657">
        <v>52.35</v>
      </c>
      <c r="I657">
        <v>54.4</v>
      </c>
      <c r="J657">
        <v>0.4098</v>
      </c>
      <c r="K657">
        <v>0.26700000000000002</v>
      </c>
      <c r="L657">
        <v>0.3231</v>
      </c>
      <c r="M657">
        <v>1.1399999999999999</v>
      </c>
      <c r="N657">
        <v>0.86</v>
      </c>
      <c r="O657">
        <v>65</v>
      </c>
      <c r="P657">
        <v>49.3</v>
      </c>
      <c r="Q657">
        <v>4</v>
      </c>
      <c r="R657">
        <v>1</v>
      </c>
      <c r="S657">
        <v>2.79</v>
      </c>
      <c r="T657">
        <v>0.61</v>
      </c>
      <c r="U657">
        <v>1.55</v>
      </c>
      <c r="V657">
        <v>0.8</v>
      </c>
      <c r="W657">
        <v>3.62</v>
      </c>
      <c r="X657">
        <v>1.05</v>
      </c>
    </row>
    <row r="658" spans="2:24" hidden="1" x14ac:dyDescent="0.35">
      <c r="B658">
        <v>2017</v>
      </c>
      <c r="C658" s="1">
        <v>43155</v>
      </c>
      <c r="D658">
        <v>2411</v>
      </c>
      <c r="E658" t="s">
        <v>23</v>
      </c>
      <c r="F658" t="s">
        <v>32</v>
      </c>
      <c r="G658" t="s">
        <v>34</v>
      </c>
      <c r="H658">
        <v>59.55</v>
      </c>
      <c r="I658">
        <v>59.34</v>
      </c>
      <c r="J658">
        <v>0.439</v>
      </c>
      <c r="K658">
        <v>0.25979999999999998</v>
      </c>
      <c r="L658">
        <v>0.30120000000000002</v>
      </c>
      <c r="M658">
        <v>1.29</v>
      </c>
      <c r="N658">
        <v>0.92</v>
      </c>
      <c r="O658">
        <v>0.1</v>
      </c>
      <c r="P658">
        <v>44.3</v>
      </c>
      <c r="Q658">
        <v>1</v>
      </c>
      <c r="R658">
        <v>1</v>
      </c>
      <c r="S658">
        <v>1.46</v>
      </c>
      <c r="T658">
        <v>0.94</v>
      </c>
      <c r="U658">
        <v>1.38</v>
      </c>
      <c r="V658">
        <v>1.1299999999999999</v>
      </c>
      <c r="W658">
        <v>1.05</v>
      </c>
      <c r="X658">
        <v>1.05</v>
      </c>
    </row>
    <row r="659" spans="2:24" hidden="1" x14ac:dyDescent="0.35">
      <c r="B659">
        <v>2017</v>
      </c>
      <c r="C659" s="1">
        <v>43155</v>
      </c>
      <c r="D659">
        <v>2411</v>
      </c>
      <c r="E659" t="s">
        <v>23</v>
      </c>
      <c r="F659" t="s">
        <v>35</v>
      </c>
      <c r="G659" t="s">
        <v>28</v>
      </c>
      <c r="H659">
        <v>60.52</v>
      </c>
      <c r="I659">
        <v>57.58</v>
      </c>
      <c r="J659">
        <v>0.4798</v>
      </c>
      <c r="K659">
        <v>0.26860000000000001</v>
      </c>
      <c r="L659">
        <v>0.25169999999999998</v>
      </c>
      <c r="M659">
        <v>1.73</v>
      </c>
      <c r="N659">
        <v>1.24</v>
      </c>
      <c r="O659">
        <v>12.7</v>
      </c>
      <c r="P659">
        <v>2.2000000000000002</v>
      </c>
      <c r="Q659">
        <v>1</v>
      </c>
      <c r="R659">
        <v>0</v>
      </c>
      <c r="S659">
        <v>0.57999999999999996</v>
      </c>
      <c r="T659">
        <v>0.73</v>
      </c>
      <c r="U659">
        <v>1.48</v>
      </c>
      <c r="V659">
        <v>1.4</v>
      </c>
      <c r="W659">
        <v>1.05</v>
      </c>
      <c r="X659">
        <v>0</v>
      </c>
    </row>
    <row r="660" spans="2:24" hidden="1" x14ac:dyDescent="0.35">
      <c r="B660">
        <v>2017</v>
      </c>
      <c r="C660" s="1">
        <v>43156</v>
      </c>
      <c r="D660">
        <v>2411</v>
      </c>
      <c r="E660" t="s">
        <v>23</v>
      </c>
      <c r="F660" t="s">
        <v>30</v>
      </c>
      <c r="G660" t="s">
        <v>29</v>
      </c>
      <c r="H660">
        <v>62</v>
      </c>
      <c r="I660">
        <v>86.46</v>
      </c>
      <c r="J660">
        <v>0.1772</v>
      </c>
      <c r="K660">
        <v>0.59889999999999999</v>
      </c>
      <c r="L660">
        <v>0.22389999999999999</v>
      </c>
      <c r="M660">
        <v>1</v>
      </c>
      <c r="N660">
        <v>2.02</v>
      </c>
      <c r="O660">
        <v>24.2</v>
      </c>
      <c r="P660">
        <v>58.5</v>
      </c>
      <c r="Q660">
        <v>0</v>
      </c>
      <c r="R660">
        <v>1</v>
      </c>
      <c r="S660">
        <v>0.19</v>
      </c>
      <c r="T660">
        <v>2.04</v>
      </c>
      <c r="U660">
        <v>0.47</v>
      </c>
      <c r="V660">
        <v>1.96</v>
      </c>
      <c r="W660">
        <v>0</v>
      </c>
      <c r="X660">
        <v>1.05</v>
      </c>
    </row>
    <row r="661" spans="2:24" hidden="1" x14ac:dyDescent="0.35">
      <c r="B661">
        <v>2017</v>
      </c>
      <c r="C661" s="1">
        <v>43156</v>
      </c>
      <c r="D661">
        <v>2411</v>
      </c>
      <c r="E661" t="s">
        <v>23</v>
      </c>
      <c r="F661" t="s">
        <v>39</v>
      </c>
      <c r="G661" t="s">
        <v>42</v>
      </c>
      <c r="H661">
        <v>78.400000000000006</v>
      </c>
      <c r="I661">
        <v>81.040000000000006</v>
      </c>
      <c r="J661">
        <v>0.4138</v>
      </c>
      <c r="K661">
        <v>0.318</v>
      </c>
      <c r="L661">
        <v>0.26819999999999999</v>
      </c>
      <c r="M661">
        <v>1.5</v>
      </c>
      <c r="N661">
        <v>1.28</v>
      </c>
      <c r="O661">
        <v>100</v>
      </c>
      <c r="P661">
        <v>100</v>
      </c>
      <c r="Q661">
        <v>2</v>
      </c>
      <c r="R661">
        <v>1</v>
      </c>
      <c r="S661">
        <v>1.41</v>
      </c>
      <c r="T661">
        <v>1.85</v>
      </c>
      <c r="U661">
        <v>1.57</v>
      </c>
      <c r="V661">
        <v>1.7</v>
      </c>
      <c r="W661">
        <v>2.1</v>
      </c>
      <c r="X661">
        <v>1.05</v>
      </c>
    </row>
    <row r="662" spans="2:24" hidden="1" x14ac:dyDescent="0.35">
      <c r="B662">
        <v>2017</v>
      </c>
      <c r="C662" s="1">
        <v>43160</v>
      </c>
      <c r="D662">
        <v>2411</v>
      </c>
      <c r="E662" t="s">
        <v>23</v>
      </c>
      <c r="F662" t="s">
        <v>40</v>
      </c>
      <c r="G662" t="s">
        <v>36</v>
      </c>
      <c r="H662">
        <v>80.23</v>
      </c>
      <c r="I662">
        <v>91.2</v>
      </c>
      <c r="J662">
        <v>0.2606</v>
      </c>
      <c r="K662">
        <v>0.52470000000000006</v>
      </c>
      <c r="L662">
        <v>0.2147</v>
      </c>
      <c r="M662">
        <v>1.57</v>
      </c>
      <c r="N662">
        <v>2.2599999999999998</v>
      </c>
      <c r="O662">
        <v>35.6</v>
      </c>
      <c r="P662">
        <v>1.1000000000000001</v>
      </c>
      <c r="Q662">
        <v>0</v>
      </c>
      <c r="R662">
        <v>3</v>
      </c>
      <c r="S662">
        <v>1.43</v>
      </c>
      <c r="T662">
        <v>1.71</v>
      </c>
      <c r="U662">
        <v>1.36</v>
      </c>
      <c r="V662">
        <v>0.67</v>
      </c>
      <c r="W662">
        <v>0</v>
      </c>
      <c r="X662">
        <v>3.15</v>
      </c>
    </row>
    <row r="663" spans="2:24" hidden="1" x14ac:dyDescent="0.35">
      <c r="B663">
        <v>2017</v>
      </c>
      <c r="C663" s="1">
        <v>43162</v>
      </c>
      <c r="D663">
        <v>2411</v>
      </c>
      <c r="E663" t="s">
        <v>23</v>
      </c>
      <c r="F663" t="s">
        <v>32</v>
      </c>
      <c r="G663" t="s">
        <v>28</v>
      </c>
      <c r="H663">
        <v>59.34</v>
      </c>
      <c r="I663">
        <v>57.53</v>
      </c>
      <c r="J663">
        <v>0.45600000000000002</v>
      </c>
      <c r="K663">
        <v>0.24859999999999999</v>
      </c>
      <c r="L663">
        <v>0.29549999999999998</v>
      </c>
      <c r="M663">
        <v>1.34</v>
      </c>
      <c r="N663">
        <v>0.91</v>
      </c>
      <c r="O663">
        <v>0</v>
      </c>
      <c r="P663">
        <v>3</v>
      </c>
      <c r="Q663">
        <v>2</v>
      </c>
      <c r="R663">
        <v>1</v>
      </c>
      <c r="S663">
        <v>2.58</v>
      </c>
      <c r="T663">
        <v>1.85</v>
      </c>
      <c r="U663">
        <v>2.13</v>
      </c>
      <c r="V663">
        <v>1.35</v>
      </c>
      <c r="W663">
        <v>2.1</v>
      </c>
      <c r="X663">
        <v>1.05</v>
      </c>
    </row>
    <row r="664" spans="2:24" hidden="1" x14ac:dyDescent="0.35">
      <c r="B664">
        <v>2017</v>
      </c>
      <c r="C664" s="1">
        <v>43162</v>
      </c>
      <c r="D664">
        <v>2411</v>
      </c>
      <c r="E664" t="s">
        <v>23</v>
      </c>
      <c r="F664" t="s">
        <v>33</v>
      </c>
      <c r="G664" t="s">
        <v>43</v>
      </c>
      <c r="H664">
        <v>51.86</v>
      </c>
      <c r="I664">
        <v>56.89</v>
      </c>
      <c r="J664">
        <v>0.39040000000000002</v>
      </c>
      <c r="K664">
        <v>0.32729999999999998</v>
      </c>
      <c r="L664">
        <v>0.28220000000000001</v>
      </c>
      <c r="M664">
        <v>1.35</v>
      </c>
      <c r="N664">
        <v>1.21</v>
      </c>
      <c r="O664">
        <v>65.599999999999994</v>
      </c>
      <c r="P664">
        <v>34.4</v>
      </c>
      <c r="Q664">
        <v>4</v>
      </c>
      <c r="R664">
        <v>1</v>
      </c>
      <c r="S664">
        <v>2.21</v>
      </c>
      <c r="T664">
        <v>0.39</v>
      </c>
      <c r="U664">
        <v>0.6</v>
      </c>
      <c r="V664">
        <v>1.2</v>
      </c>
      <c r="W664">
        <v>4.2</v>
      </c>
      <c r="X664">
        <v>1.05</v>
      </c>
    </row>
    <row r="665" spans="2:24" hidden="1" x14ac:dyDescent="0.35">
      <c r="B665">
        <v>2017</v>
      </c>
      <c r="C665" s="1">
        <v>43162</v>
      </c>
      <c r="D665">
        <v>2411</v>
      </c>
      <c r="E665" t="s">
        <v>23</v>
      </c>
      <c r="F665" t="s">
        <v>35</v>
      </c>
      <c r="G665" t="s">
        <v>31</v>
      </c>
      <c r="H665">
        <v>60.55</v>
      </c>
      <c r="I665">
        <v>52.39</v>
      </c>
      <c r="J665">
        <v>0.52649999999999997</v>
      </c>
      <c r="K665">
        <v>0.20730000000000001</v>
      </c>
      <c r="L665">
        <v>0.26619999999999999</v>
      </c>
      <c r="M665">
        <v>1.6</v>
      </c>
      <c r="N665">
        <v>0.9</v>
      </c>
      <c r="O665">
        <v>7.5</v>
      </c>
      <c r="P665">
        <v>32.700000000000003</v>
      </c>
      <c r="Q665">
        <v>1</v>
      </c>
      <c r="R665">
        <v>0</v>
      </c>
      <c r="S665">
        <v>1.32</v>
      </c>
      <c r="T665">
        <v>1.05</v>
      </c>
      <c r="U665">
        <v>1.3</v>
      </c>
      <c r="V665">
        <v>1.17</v>
      </c>
      <c r="W665">
        <v>1.05</v>
      </c>
      <c r="X665">
        <v>0</v>
      </c>
    </row>
    <row r="666" spans="2:24" hidden="1" x14ac:dyDescent="0.35">
      <c r="B666">
        <v>2017</v>
      </c>
      <c r="C666" s="1">
        <v>43162</v>
      </c>
      <c r="D666">
        <v>2411</v>
      </c>
      <c r="E666" t="s">
        <v>23</v>
      </c>
      <c r="F666" t="s">
        <v>29</v>
      </c>
      <c r="G666" t="s">
        <v>44</v>
      </c>
      <c r="H666">
        <v>86.87</v>
      </c>
      <c r="I666">
        <v>48.75</v>
      </c>
      <c r="J666">
        <v>0.87929999999999997</v>
      </c>
      <c r="K666">
        <v>1.77E-2</v>
      </c>
      <c r="L666">
        <v>0.10299999999999999</v>
      </c>
      <c r="M666">
        <v>2.63</v>
      </c>
      <c r="N666">
        <v>0.21</v>
      </c>
      <c r="O666">
        <v>72.099999999999994</v>
      </c>
      <c r="P666">
        <v>45.5</v>
      </c>
      <c r="Q666">
        <v>2</v>
      </c>
      <c r="R666">
        <v>0</v>
      </c>
      <c r="S666">
        <v>1.78</v>
      </c>
      <c r="T666">
        <v>0.13</v>
      </c>
      <c r="U666">
        <v>1.71</v>
      </c>
      <c r="V666">
        <v>0.27</v>
      </c>
      <c r="W666">
        <v>2.1</v>
      </c>
      <c r="X666">
        <v>0</v>
      </c>
    </row>
    <row r="667" spans="2:24" hidden="1" x14ac:dyDescent="0.35">
      <c r="B667">
        <v>2017</v>
      </c>
      <c r="C667" s="1">
        <v>43162</v>
      </c>
      <c r="D667">
        <v>2411</v>
      </c>
      <c r="E667" t="s">
        <v>23</v>
      </c>
      <c r="F667" t="s">
        <v>25</v>
      </c>
      <c r="G667" t="s">
        <v>38</v>
      </c>
      <c r="H667">
        <v>63.89</v>
      </c>
      <c r="I667">
        <v>56.59</v>
      </c>
      <c r="J667">
        <v>0.52780000000000005</v>
      </c>
      <c r="K667">
        <v>0.2288</v>
      </c>
      <c r="L667">
        <v>0.24349999999999999</v>
      </c>
      <c r="M667">
        <v>1.84</v>
      </c>
      <c r="N667">
        <v>1.1299999999999999</v>
      </c>
      <c r="O667">
        <v>0.1</v>
      </c>
      <c r="P667">
        <v>10.6</v>
      </c>
      <c r="Q667">
        <v>1</v>
      </c>
      <c r="R667">
        <v>1</v>
      </c>
      <c r="S667">
        <v>2.41</v>
      </c>
      <c r="T667">
        <v>1.56</v>
      </c>
      <c r="U667">
        <v>2.57</v>
      </c>
      <c r="V667">
        <v>0.99</v>
      </c>
      <c r="W667">
        <v>1.05</v>
      </c>
      <c r="X667">
        <v>1.05</v>
      </c>
    </row>
    <row r="668" spans="2:24" hidden="1" x14ac:dyDescent="0.35">
      <c r="B668">
        <v>2017</v>
      </c>
      <c r="C668" s="1">
        <v>43162</v>
      </c>
      <c r="D668">
        <v>2411</v>
      </c>
      <c r="E668" t="s">
        <v>23</v>
      </c>
      <c r="F668" t="s">
        <v>34</v>
      </c>
      <c r="G668" t="s">
        <v>27</v>
      </c>
      <c r="H668">
        <v>59.57</v>
      </c>
      <c r="I668">
        <v>52.65</v>
      </c>
      <c r="J668">
        <v>0.51670000000000005</v>
      </c>
      <c r="K668">
        <v>0.22470000000000001</v>
      </c>
      <c r="L668">
        <v>0.25850000000000001</v>
      </c>
      <c r="M668">
        <v>1.67</v>
      </c>
      <c r="N668">
        <v>1.02</v>
      </c>
      <c r="O668">
        <v>64.599999999999994</v>
      </c>
      <c r="P668">
        <v>74.599999999999994</v>
      </c>
      <c r="Q668">
        <v>0</v>
      </c>
      <c r="R668">
        <v>0</v>
      </c>
      <c r="S668">
        <v>1.05</v>
      </c>
      <c r="T668">
        <v>0.52</v>
      </c>
      <c r="U668">
        <v>1.85</v>
      </c>
      <c r="V668">
        <v>1.21</v>
      </c>
      <c r="W668">
        <v>0</v>
      </c>
      <c r="X668">
        <v>0</v>
      </c>
    </row>
    <row r="669" spans="2:24" hidden="1" x14ac:dyDescent="0.35">
      <c r="B669">
        <v>2017</v>
      </c>
      <c r="C669" s="1">
        <v>43162</v>
      </c>
      <c r="D669">
        <v>2411</v>
      </c>
      <c r="E669" t="s">
        <v>23</v>
      </c>
      <c r="F669" t="s">
        <v>41</v>
      </c>
      <c r="G669" t="s">
        <v>46</v>
      </c>
      <c r="H669">
        <v>88.79</v>
      </c>
      <c r="I669">
        <v>55.18</v>
      </c>
      <c r="J669">
        <v>0.86529999999999996</v>
      </c>
      <c r="K669">
        <v>3.4299999999999997E-2</v>
      </c>
      <c r="L669">
        <v>0.1004</v>
      </c>
      <c r="M669">
        <v>3.02</v>
      </c>
      <c r="N669">
        <v>0.48</v>
      </c>
      <c r="O669">
        <v>34.1</v>
      </c>
      <c r="P669">
        <v>31.7</v>
      </c>
      <c r="Q669">
        <v>2</v>
      </c>
      <c r="R669">
        <v>0</v>
      </c>
      <c r="S669">
        <v>1.85</v>
      </c>
      <c r="T669">
        <v>0.34</v>
      </c>
      <c r="U669">
        <v>1.89</v>
      </c>
      <c r="V669">
        <v>0.68</v>
      </c>
      <c r="W669">
        <v>2.1</v>
      </c>
      <c r="X669">
        <v>0</v>
      </c>
    </row>
    <row r="670" spans="2:24" hidden="1" x14ac:dyDescent="0.35">
      <c r="B670">
        <v>2017</v>
      </c>
      <c r="C670" s="1">
        <v>43163</v>
      </c>
      <c r="D670">
        <v>2411</v>
      </c>
      <c r="E670" t="s">
        <v>23</v>
      </c>
      <c r="F670" t="s">
        <v>45</v>
      </c>
      <c r="G670" t="s">
        <v>40</v>
      </c>
      <c r="H670">
        <v>54.82</v>
      </c>
      <c r="I670">
        <v>79.44</v>
      </c>
      <c r="J670">
        <v>0.20530000000000001</v>
      </c>
      <c r="K670">
        <v>0.56989999999999996</v>
      </c>
      <c r="L670">
        <v>0.22489999999999999</v>
      </c>
      <c r="M670">
        <v>1.1599999999999999</v>
      </c>
      <c r="N670">
        <v>2.0499999999999998</v>
      </c>
      <c r="O670">
        <v>29.2</v>
      </c>
      <c r="P670">
        <v>24.9</v>
      </c>
      <c r="Q670">
        <v>2</v>
      </c>
      <c r="R670">
        <v>1</v>
      </c>
      <c r="S670">
        <v>1.44</v>
      </c>
      <c r="T670">
        <v>0.96</v>
      </c>
      <c r="U670">
        <v>1.68</v>
      </c>
      <c r="V670">
        <v>3.07</v>
      </c>
      <c r="W670">
        <v>2.1</v>
      </c>
      <c r="X670">
        <v>1.05</v>
      </c>
    </row>
    <row r="671" spans="2:24" hidden="1" x14ac:dyDescent="0.35">
      <c r="B671">
        <v>2017</v>
      </c>
      <c r="C671" s="1">
        <v>43163</v>
      </c>
      <c r="D671">
        <v>2411</v>
      </c>
      <c r="E671" t="s">
        <v>23</v>
      </c>
      <c r="F671" t="s">
        <v>36</v>
      </c>
      <c r="G671" t="s">
        <v>42</v>
      </c>
      <c r="H671">
        <v>91.52</v>
      </c>
      <c r="I671">
        <v>80.94</v>
      </c>
      <c r="J671">
        <v>0.63919999999999999</v>
      </c>
      <c r="K671">
        <v>0.15509999999999999</v>
      </c>
      <c r="L671">
        <v>0.2056</v>
      </c>
      <c r="M671">
        <v>2.21</v>
      </c>
      <c r="N671">
        <v>0.99</v>
      </c>
      <c r="O671">
        <v>2.5</v>
      </c>
      <c r="P671">
        <v>73.400000000000006</v>
      </c>
      <c r="Q671">
        <v>1</v>
      </c>
      <c r="R671">
        <v>0</v>
      </c>
      <c r="S671">
        <v>1.07</v>
      </c>
      <c r="T671">
        <v>0.11</v>
      </c>
      <c r="U671">
        <v>1.96</v>
      </c>
      <c r="V671">
        <v>0.38</v>
      </c>
      <c r="W671">
        <v>1.05</v>
      </c>
      <c r="X671">
        <v>0</v>
      </c>
    </row>
    <row r="672" spans="2:24" hidden="1" x14ac:dyDescent="0.35">
      <c r="B672">
        <v>2017</v>
      </c>
      <c r="C672" s="1">
        <v>43164</v>
      </c>
      <c r="D672">
        <v>2411</v>
      </c>
      <c r="E672" t="s">
        <v>23</v>
      </c>
      <c r="F672" t="s">
        <v>30</v>
      </c>
      <c r="G672" t="s">
        <v>39</v>
      </c>
      <c r="H672">
        <v>61.06</v>
      </c>
      <c r="I672">
        <v>78.58</v>
      </c>
      <c r="J672">
        <v>0.25690000000000002</v>
      </c>
      <c r="K672">
        <v>0.47860000000000003</v>
      </c>
      <c r="L672">
        <v>0.26450000000000001</v>
      </c>
      <c r="M672">
        <v>1.1100000000000001</v>
      </c>
      <c r="N672">
        <v>1.6</v>
      </c>
      <c r="O672">
        <v>36.1</v>
      </c>
      <c r="P672">
        <v>60.9</v>
      </c>
      <c r="Q672">
        <v>2</v>
      </c>
      <c r="R672">
        <v>3</v>
      </c>
      <c r="S672">
        <v>0.72</v>
      </c>
      <c r="T672">
        <v>1.47</v>
      </c>
      <c r="U672">
        <v>1.06</v>
      </c>
      <c r="V672">
        <v>2.83</v>
      </c>
      <c r="W672">
        <v>2.1</v>
      </c>
      <c r="X672">
        <v>3.15</v>
      </c>
    </row>
    <row r="673" spans="2:24" hidden="1" x14ac:dyDescent="0.35">
      <c r="B673">
        <v>2017</v>
      </c>
      <c r="C673" s="1">
        <v>43169</v>
      </c>
      <c r="D673">
        <v>2411</v>
      </c>
      <c r="E673" t="s">
        <v>23</v>
      </c>
      <c r="F673" t="s">
        <v>39</v>
      </c>
      <c r="G673" t="s">
        <v>41</v>
      </c>
      <c r="H673">
        <v>78.989999999999995</v>
      </c>
      <c r="I673">
        <v>88.25</v>
      </c>
      <c r="J673">
        <v>0.31490000000000001</v>
      </c>
      <c r="K673">
        <v>0.43369999999999997</v>
      </c>
      <c r="L673">
        <v>0.25140000000000001</v>
      </c>
      <c r="M673">
        <v>1.41</v>
      </c>
      <c r="N673">
        <v>1.69</v>
      </c>
      <c r="O673">
        <v>29.4</v>
      </c>
      <c r="P673">
        <v>12.3</v>
      </c>
      <c r="Q673">
        <v>2</v>
      </c>
      <c r="R673">
        <v>1</v>
      </c>
      <c r="S673">
        <v>1</v>
      </c>
      <c r="T673">
        <v>0.86</v>
      </c>
      <c r="U673">
        <v>0.77</v>
      </c>
      <c r="V673">
        <v>2.57</v>
      </c>
      <c r="W673">
        <v>2.1</v>
      </c>
      <c r="X673">
        <v>1.05</v>
      </c>
    </row>
    <row r="674" spans="2:24" hidden="1" x14ac:dyDescent="0.35">
      <c r="B674">
        <v>2017</v>
      </c>
      <c r="C674" s="1">
        <v>43169</v>
      </c>
      <c r="D674">
        <v>2411</v>
      </c>
      <c r="E674" t="s">
        <v>23</v>
      </c>
      <c r="F674" t="s">
        <v>43</v>
      </c>
      <c r="G674" t="s">
        <v>32</v>
      </c>
      <c r="H674">
        <v>54.76</v>
      </c>
      <c r="I674">
        <v>59.87</v>
      </c>
      <c r="J674">
        <v>0.3896</v>
      </c>
      <c r="K674">
        <v>0.32440000000000002</v>
      </c>
      <c r="L674">
        <v>0.28599999999999998</v>
      </c>
      <c r="M674">
        <v>1.32</v>
      </c>
      <c r="N674">
        <v>1.18</v>
      </c>
      <c r="O674">
        <v>49</v>
      </c>
      <c r="P674">
        <v>0</v>
      </c>
      <c r="Q674">
        <v>0</v>
      </c>
      <c r="R674">
        <v>3</v>
      </c>
      <c r="S674">
        <v>0.76</v>
      </c>
      <c r="T674">
        <v>1.28</v>
      </c>
      <c r="U674">
        <v>1.76</v>
      </c>
      <c r="V674">
        <v>1.23</v>
      </c>
      <c r="W674">
        <v>0</v>
      </c>
      <c r="X674">
        <v>2.86</v>
      </c>
    </row>
    <row r="675" spans="2:24" hidden="1" x14ac:dyDescent="0.35">
      <c r="B675">
        <v>2017</v>
      </c>
      <c r="C675" s="1">
        <v>43169</v>
      </c>
      <c r="D675">
        <v>2411</v>
      </c>
      <c r="E675" t="s">
        <v>23</v>
      </c>
      <c r="F675" t="s">
        <v>28</v>
      </c>
      <c r="G675" t="s">
        <v>45</v>
      </c>
      <c r="H675">
        <v>56.98</v>
      </c>
      <c r="I675">
        <v>56.12</v>
      </c>
      <c r="J675">
        <v>0.45219999999999999</v>
      </c>
      <c r="K675">
        <v>0.27310000000000001</v>
      </c>
      <c r="L675">
        <v>0.2747</v>
      </c>
      <c r="M675">
        <v>1.49</v>
      </c>
      <c r="N675">
        <v>1.1000000000000001</v>
      </c>
      <c r="O675">
        <v>7.6</v>
      </c>
      <c r="P675">
        <v>9.1999999999999993</v>
      </c>
      <c r="Q675">
        <v>2</v>
      </c>
      <c r="R675">
        <v>0</v>
      </c>
      <c r="S675">
        <v>1.71</v>
      </c>
      <c r="T675">
        <v>0.36</v>
      </c>
      <c r="U675">
        <v>1.61</v>
      </c>
      <c r="V675">
        <v>0.78</v>
      </c>
      <c r="W675">
        <v>1.95</v>
      </c>
      <c r="X675">
        <v>0</v>
      </c>
    </row>
    <row r="676" spans="2:24" hidden="1" x14ac:dyDescent="0.35">
      <c r="B676">
        <v>2017</v>
      </c>
      <c r="C676" s="1">
        <v>43169</v>
      </c>
      <c r="D676">
        <v>2411</v>
      </c>
      <c r="E676" t="s">
        <v>23</v>
      </c>
      <c r="F676" t="s">
        <v>31</v>
      </c>
      <c r="G676" t="s">
        <v>25</v>
      </c>
      <c r="H676">
        <v>52.42</v>
      </c>
      <c r="I676">
        <v>63.8</v>
      </c>
      <c r="J676">
        <v>0.32619999999999999</v>
      </c>
      <c r="K676">
        <v>0.37780000000000002</v>
      </c>
      <c r="L676">
        <v>0.29599999999999999</v>
      </c>
      <c r="M676">
        <v>1.1299999999999999</v>
      </c>
      <c r="N676">
        <v>1.23</v>
      </c>
      <c r="O676">
        <v>19.100000000000001</v>
      </c>
      <c r="P676">
        <v>0.1</v>
      </c>
      <c r="Q676">
        <v>1</v>
      </c>
      <c r="R676">
        <v>4</v>
      </c>
      <c r="S676">
        <v>0.46</v>
      </c>
      <c r="T676">
        <v>1.92</v>
      </c>
      <c r="U676">
        <v>1.06</v>
      </c>
      <c r="V676">
        <v>1.59</v>
      </c>
      <c r="W676">
        <v>1.05</v>
      </c>
      <c r="X676">
        <v>3.53</v>
      </c>
    </row>
    <row r="677" spans="2:24" hidden="1" x14ac:dyDescent="0.35">
      <c r="B677">
        <v>2017</v>
      </c>
      <c r="C677" s="1">
        <v>43169</v>
      </c>
      <c r="D677">
        <v>2411</v>
      </c>
      <c r="E677" t="s">
        <v>23</v>
      </c>
      <c r="F677" t="s">
        <v>46</v>
      </c>
      <c r="G677" t="s">
        <v>34</v>
      </c>
      <c r="H677">
        <v>55.28</v>
      </c>
      <c r="I677">
        <v>59.27</v>
      </c>
      <c r="J677">
        <v>0.40060000000000001</v>
      </c>
      <c r="K677">
        <v>0.313</v>
      </c>
      <c r="L677">
        <v>0.28639999999999999</v>
      </c>
      <c r="M677">
        <v>1.34</v>
      </c>
      <c r="N677">
        <v>1.1499999999999999</v>
      </c>
      <c r="O677">
        <v>56</v>
      </c>
      <c r="P677">
        <v>66.400000000000006</v>
      </c>
      <c r="Q677">
        <v>3</v>
      </c>
      <c r="R677">
        <v>0</v>
      </c>
      <c r="S677">
        <v>1.46</v>
      </c>
      <c r="T677">
        <v>0.59</v>
      </c>
      <c r="U677">
        <v>0.82</v>
      </c>
      <c r="V677">
        <v>0.91</v>
      </c>
      <c r="W677">
        <v>3.15</v>
      </c>
      <c r="X677">
        <v>0</v>
      </c>
    </row>
    <row r="678" spans="2:24" hidden="1" x14ac:dyDescent="0.35">
      <c r="B678">
        <v>2017</v>
      </c>
      <c r="C678" s="1">
        <v>43169</v>
      </c>
      <c r="D678">
        <v>2411</v>
      </c>
      <c r="E678" t="s">
        <v>23</v>
      </c>
      <c r="F678" t="s">
        <v>44</v>
      </c>
      <c r="G678" t="s">
        <v>33</v>
      </c>
      <c r="H678">
        <v>48.81</v>
      </c>
      <c r="I678">
        <v>53.87</v>
      </c>
      <c r="J678">
        <v>0.38290000000000002</v>
      </c>
      <c r="K678">
        <v>0.30309999999999998</v>
      </c>
      <c r="L678">
        <v>0.314</v>
      </c>
      <c r="M678">
        <v>1.1399999999999999</v>
      </c>
      <c r="N678">
        <v>0.98</v>
      </c>
      <c r="O678">
        <v>66.099999999999994</v>
      </c>
      <c r="P678">
        <v>46.7</v>
      </c>
      <c r="Q678">
        <v>0</v>
      </c>
      <c r="R678">
        <v>0</v>
      </c>
      <c r="S678">
        <v>1.58</v>
      </c>
      <c r="T678">
        <v>0</v>
      </c>
      <c r="U678">
        <v>2.61</v>
      </c>
      <c r="V678">
        <v>0.12</v>
      </c>
      <c r="W678">
        <v>0</v>
      </c>
      <c r="X678">
        <v>0</v>
      </c>
    </row>
    <row r="679" spans="2:24" hidden="1" x14ac:dyDescent="0.35">
      <c r="B679">
        <v>2017</v>
      </c>
      <c r="C679" s="1">
        <v>43169</v>
      </c>
      <c r="D679">
        <v>2411</v>
      </c>
      <c r="E679" t="s">
        <v>23</v>
      </c>
      <c r="F679" t="s">
        <v>42</v>
      </c>
      <c r="G679" t="s">
        <v>30</v>
      </c>
      <c r="H679">
        <v>80.56</v>
      </c>
      <c r="I679">
        <v>60.69</v>
      </c>
      <c r="J679">
        <v>0.67920000000000003</v>
      </c>
      <c r="K679">
        <v>0.11890000000000001</v>
      </c>
      <c r="L679">
        <v>0.2019</v>
      </c>
      <c r="M679">
        <v>2.14</v>
      </c>
      <c r="N679">
        <v>0.76</v>
      </c>
      <c r="O679">
        <v>48.4</v>
      </c>
      <c r="P679">
        <v>44.6</v>
      </c>
      <c r="Q679">
        <v>2</v>
      </c>
      <c r="R679">
        <v>1</v>
      </c>
      <c r="S679">
        <v>4.03</v>
      </c>
      <c r="T679">
        <v>1.24</v>
      </c>
      <c r="U679">
        <v>4.5999999999999996</v>
      </c>
      <c r="V679">
        <v>1.66</v>
      </c>
      <c r="W679">
        <v>2.1</v>
      </c>
      <c r="X679">
        <v>1.05</v>
      </c>
    </row>
    <row r="680" spans="2:24" hidden="1" x14ac:dyDescent="0.35">
      <c r="B680">
        <v>2017</v>
      </c>
      <c r="C680" s="1">
        <v>43170</v>
      </c>
      <c r="D680">
        <v>2411</v>
      </c>
      <c r="E680" t="s">
        <v>23</v>
      </c>
      <c r="F680" t="s">
        <v>40</v>
      </c>
      <c r="G680" t="s">
        <v>35</v>
      </c>
      <c r="H680">
        <v>79.319999999999993</v>
      </c>
      <c r="I680">
        <v>60.53</v>
      </c>
      <c r="J680">
        <v>0.6694</v>
      </c>
      <c r="K680">
        <v>0.1419</v>
      </c>
      <c r="L680">
        <v>0.18870000000000001</v>
      </c>
      <c r="M680">
        <v>2.42</v>
      </c>
      <c r="N680">
        <v>1.03</v>
      </c>
      <c r="O680">
        <v>1.5</v>
      </c>
      <c r="P680">
        <v>0.8</v>
      </c>
      <c r="Q680">
        <v>3</v>
      </c>
      <c r="R680">
        <v>0</v>
      </c>
      <c r="S680">
        <v>2.06</v>
      </c>
      <c r="T680">
        <v>1.5</v>
      </c>
      <c r="U680">
        <v>2.11</v>
      </c>
      <c r="V680">
        <v>1.45</v>
      </c>
      <c r="W680">
        <v>2.98</v>
      </c>
      <c r="X680">
        <v>0</v>
      </c>
    </row>
    <row r="681" spans="2:24" hidden="1" x14ac:dyDescent="0.35">
      <c r="B681">
        <v>2017</v>
      </c>
      <c r="C681" s="1">
        <v>43170</v>
      </c>
      <c r="D681">
        <v>2411</v>
      </c>
      <c r="E681" t="s">
        <v>23</v>
      </c>
      <c r="F681" t="s">
        <v>38</v>
      </c>
      <c r="G681" t="s">
        <v>29</v>
      </c>
      <c r="H681">
        <v>56.69</v>
      </c>
      <c r="I681">
        <v>86.83</v>
      </c>
      <c r="J681">
        <v>0.13550000000000001</v>
      </c>
      <c r="K681">
        <v>0.67510000000000003</v>
      </c>
      <c r="L681">
        <v>0.18940000000000001</v>
      </c>
      <c r="M681">
        <v>0.97</v>
      </c>
      <c r="N681">
        <v>2.38</v>
      </c>
      <c r="O681">
        <v>7.6</v>
      </c>
      <c r="P681">
        <v>48.9</v>
      </c>
      <c r="Q681">
        <v>1</v>
      </c>
      <c r="R681">
        <v>4</v>
      </c>
      <c r="S681">
        <v>1.22</v>
      </c>
      <c r="T681">
        <v>3.09</v>
      </c>
      <c r="U681">
        <v>1.04</v>
      </c>
      <c r="V681">
        <v>2.2799999999999998</v>
      </c>
      <c r="W681">
        <v>1.05</v>
      </c>
      <c r="X681">
        <v>3.24</v>
      </c>
    </row>
    <row r="682" spans="2:24" hidden="1" x14ac:dyDescent="0.35">
      <c r="B682">
        <v>2017</v>
      </c>
      <c r="C682" s="1">
        <v>43171</v>
      </c>
      <c r="D682">
        <v>2411</v>
      </c>
      <c r="E682" t="s">
        <v>23</v>
      </c>
      <c r="F682" t="s">
        <v>27</v>
      </c>
      <c r="G682" t="s">
        <v>36</v>
      </c>
      <c r="H682">
        <v>52.97</v>
      </c>
      <c r="I682">
        <v>90.64</v>
      </c>
      <c r="J682">
        <v>8.5400000000000004E-2</v>
      </c>
      <c r="K682">
        <v>0.7581</v>
      </c>
      <c r="L682">
        <v>0.1565</v>
      </c>
      <c r="M682">
        <v>0.76</v>
      </c>
      <c r="N682">
        <v>2.6</v>
      </c>
      <c r="O682">
        <v>68.400000000000006</v>
      </c>
      <c r="P682">
        <v>0.5</v>
      </c>
      <c r="Q682">
        <v>0</v>
      </c>
      <c r="R682">
        <v>2</v>
      </c>
      <c r="S682">
        <v>0.25</v>
      </c>
      <c r="T682">
        <v>1.61</v>
      </c>
      <c r="U682">
        <v>0.47</v>
      </c>
      <c r="V682">
        <v>1.65</v>
      </c>
      <c r="W682">
        <v>0</v>
      </c>
      <c r="X682">
        <v>2.1</v>
      </c>
    </row>
    <row r="683" spans="2:24" hidden="1" x14ac:dyDescent="0.35">
      <c r="B683">
        <v>2017</v>
      </c>
      <c r="C683" s="1">
        <v>43176</v>
      </c>
      <c r="D683">
        <v>2411</v>
      </c>
      <c r="E683" t="s">
        <v>23</v>
      </c>
      <c r="F683" t="s">
        <v>27</v>
      </c>
      <c r="G683" t="s">
        <v>28</v>
      </c>
      <c r="H683">
        <v>52.37</v>
      </c>
      <c r="I683">
        <v>58.34</v>
      </c>
      <c r="J683">
        <v>0.38279999999999997</v>
      </c>
      <c r="K683">
        <v>0.3387</v>
      </c>
      <c r="L683">
        <v>0.27850000000000003</v>
      </c>
      <c r="M683">
        <v>1.36</v>
      </c>
      <c r="N683">
        <v>1.27</v>
      </c>
      <c r="O683">
        <v>69.5</v>
      </c>
      <c r="P683">
        <v>0.3</v>
      </c>
      <c r="Q683">
        <v>1</v>
      </c>
      <c r="R683">
        <v>2</v>
      </c>
      <c r="S683">
        <v>1.1000000000000001</v>
      </c>
      <c r="T683">
        <v>3.7</v>
      </c>
      <c r="U683">
        <v>1.27</v>
      </c>
      <c r="V683">
        <v>1.79</v>
      </c>
      <c r="W683">
        <v>1.05</v>
      </c>
      <c r="X683">
        <v>1.68</v>
      </c>
    </row>
    <row r="684" spans="2:24" hidden="1" x14ac:dyDescent="0.35">
      <c r="B684">
        <v>2017</v>
      </c>
      <c r="C684" s="1">
        <v>43176</v>
      </c>
      <c r="D684">
        <v>2411</v>
      </c>
      <c r="E684" t="s">
        <v>23</v>
      </c>
      <c r="F684" t="s">
        <v>38</v>
      </c>
      <c r="G684" t="s">
        <v>31</v>
      </c>
      <c r="H684">
        <v>56.31</v>
      </c>
      <c r="I684">
        <v>50.44</v>
      </c>
      <c r="J684">
        <v>0.50839999999999996</v>
      </c>
      <c r="K684">
        <v>0.23319999999999999</v>
      </c>
      <c r="L684">
        <v>0.25840000000000002</v>
      </c>
      <c r="M684">
        <v>1.67</v>
      </c>
      <c r="N684">
        <v>1.05</v>
      </c>
      <c r="O684">
        <v>11.6</v>
      </c>
      <c r="P684">
        <v>11</v>
      </c>
      <c r="Q684">
        <v>2</v>
      </c>
      <c r="R684">
        <v>1</v>
      </c>
      <c r="S684">
        <v>0.77</v>
      </c>
      <c r="T684">
        <v>1.08</v>
      </c>
      <c r="U684">
        <v>1.1599999999999999</v>
      </c>
      <c r="V684">
        <v>1.78</v>
      </c>
      <c r="W684">
        <v>2.1</v>
      </c>
      <c r="X684">
        <v>1.05</v>
      </c>
    </row>
    <row r="685" spans="2:24" hidden="1" x14ac:dyDescent="0.35">
      <c r="B685">
        <v>2017</v>
      </c>
      <c r="C685" s="1">
        <v>43176</v>
      </c>
      <c r="D685">
        <v>2411</v>
      </c>
      <c r="E685" t="s">
        <v>23</v>
      </c>
      <c r="F685" t="s">
        <v>44</v>
      </c>
      <c r="G685" t="s">
        <v>30</v>
      </c>
      <c r="H685">
        <v>49.91</v>
      </c>
      <c r="I685">
        <v>60.51</v>
      </c>
      <c r="J685">
        <v>0.33379999999999999</v>
      </c>
      <c r="K685">
        <v>0.37169999999999997</v>
      </c>
      <c r="L685">
        <v>0.29459999999999997</v>
      </c>
      <c r="M685">
        <v>1.1499999999999999</v>
      </c>
      <c r="N685">
        <v>1.23</v>
      </c>
      <c r="O685">
        <v>66</v>
      </c>
      <c r="P685">
        <v>58.2</v>
      </c>
      <c r="Q685">
        <v>0</v>
      </c>
      <c r="R685">
        <v>2</v>
      </c>
      <c r="S685">
        <v>0.37</v>
      </c>
      <c r="T685">
        <v>2.95</v>
      </c>
      <c r="U685">
        <v>0.3</v>
      </c>
      <c r="V685">
        <v>1.92</v>
      </c>
      <c r="W685">
        <v>0</v>
      </c>
      <c r="X685">
        <v>2.1</v>
      </c>
    </row>
    <row r="686" spans="2:24" hidden="1" x14ac:dyDescent="0.35">
      <c r="B686">
        <v>2017</v>
      </c>
      <c r="C686" s="1">
        <v>43176</v>
      </c>
      <c r="D686">
        <v>2411</v>
      </c>
      <c r="E686" t="s">
        <v>23</v>
      </c>
      <c r="F686" t="s">
        <v>41</v>
      </c>
      <c r="G686" t="s">
        <v>35</v>
      </c>
      <c r="H686">
        <v>88.03</v>
      </c>
      <c r="I686">
        <v>60.08</v>
      </c>
      <c r="J686">
        <v>0.82440000000000002</v>
      </c>
      <c r="K686">
        <v>5.0900000000000001E-2</v>
      </c>
      <c r="L686">
        <v>0.12470000000000001</v>
      </c>
      <c r="M686">
        <v>2.8</v>
      </c>
      <c r="N686">
        <v>0.56999999999999995</v>
      </c>
      <c r="O686">
        <v>39.1</v>
      </c>
      <c r="P686">
        <v>0.3</v>
      </c>
      <c r="Q686">
        <v>5</v>
      </c>
      <c r="R686">
        <v>0</v>
      </c>
      <c r="S686">
        <v>2</v>
      </c>
      <c r="T686">
        <v>0.36</v>
      </c>
      <c r="U686">
        <v>2.5099999999999998</v>
      </c>
      <c r="V686">
        <v>0.44</v>
      </c>
      <c r="W686">
        <v>4.6900000000000004</v>
      </c>
      <c r="X686">
        <v>0</v>
      </c>
    </row>
    <row r="687" spans="2:24" hidden="1" x14ac:dyDescent="0.35">
      <c r="B687">
        <v>2017</v>
      </c>
      <c r="C687" s="1">
        <v>43190</v>
      </c>
      <c r="D687">
        <v>2411</v>
      </c>
      <c r="E687" t="s">
        <v>23</v>
      </c>
      <c r="F687" t="s">
        <v>30</v>
      </c>
      <c r="G687" t="s">
        <v>41</v>
      </c>
      <c r="H687">
        <v>62.98</v>
      </c>
      <c r="I687">
        <v>88.76</v>
      </c>
      <c r="J687">
        <v>0.15870000000000001</v>
      </c>
      <c r="K687">
        <v>0.64070000000000005</v>
      </c>
      <c r="L687">
        <v>0.2006</v>
      </c>
      <c r="M687">
        <v>1.06</v>
      </c>
      <c r="N687">
        <v>2.2999999999999998</v>
      </c>
      <c r="O687">
        <v>13.2</v>
      </c>
      <c r="P687">
        <v>19.600000000000001</v>
      </c>
      <c r="Q687">
        <v>1</v>
      </c>
      <c r="R687">
        <v>2</v>
      </c>
      <c r="S687">
        <v>2.12</v>
      </c>
      <c r="T687">
        <v>2.04</v>
      </c>
      <c r="U687">
        <v>0.5</v>
      </c>
      <c r="V687">
        <v>2.58</v>
      </c>
      <c r="W687">
        <v>1.05</v>
      </c>
      <c r="X687">
        <v>2.1</v>
      </c>
    </row>
    <row r="688" spans="2:24" hidden="1" x14ac:dyDescent="0.35">
      <c r="B688">
        <v>2017</v>
      </c>
      <c r="C688" s="1">
        <v>43190</v>
      </c>
      <c r="D688">
        <v>2411</v>
      </c>
      <c r="E688" t="s">
        <v>23</v>
      </c>
      <c r="F688" t="s">
        <v>45</v>
      </c>
      <c r="G688" t="s">
        <v>25</v>
      </c>
      <c r="H688">
        <v>54.79</v>
      </c>
      <c r="I688">
        <v>65.739999999999995</v>
      </c>
      <c r="J688">
        <v>0.33179999999999998</v>
      </c>
      <c r="K688">
        <v>0.38250000000000001</v>
      </c>
      <c r="L688">
        <v>0.28570000000000001</v>
      </c>
      <c r="M688">
        <v>1.2</v>
      </c>
      <c r="N688">
        <v>1.31</v>
      </c>
      <c r="O688">
        <v>10.199999999999999</v>
      </c>
      <c r="P688">
        <v>0</v>
      </c>
      <c r="Q688">
        <v>0</v>
      </c>
      <c r="R688">
        <v>2</v>
      </c>
      <c r="S688">
        <v>1.64</v>
      </c>
      <c r="T688">
        <v>1.06</v>
      </c>
      <c r="U688">
        <v>0.86</v>
      </c>
      <c r="V688">
        <v>1.19</v>
      </c>
      <c r="W688">
        <v>0</v>
      </c>
      <c r="X688">
        <v>1.58</v>
      </c>
    </row>
    <row r="689" spans="2:24" hidden="1" x14ac:dyDescent="0.35">
      <c r="B689">
        <v>2017</v>
      </c>
      <c r="C689" s="1">
        <v>43190</v>
      </c>
      <c r="D689">
        <v>2411</v>
      </c>
      <c r="E689" t="s">
        <v>23</v>
      </c>
      <c r="F689" t="s">
        <v>35</v>
      </c>
      <c r="G689" t="s">
        <v>38</v>
      </c>
      <c r="H689">
        <v>58.75</v>
      </c>
      <c r="I689">
        <v>55.9</v>
      </c>
      <c r="J689">
        <v>0.47970000000000002</v>
      </c>
      <c r="K689">
        <v>0.27229999999999999</v>
      </c>
      <c r="L689">
        <v>0.248</v>
      </c>
      <c r="M689">
        <v>1.78</v>
      </c>
      <c r="N689">
        <v>1.29</v>
      </c>
      <c r="O689">
        <v>0.7</v>
      </c>
      <c r="P689">
        <v>1.5</v>
      </c>
      <c r="Q689">
        <v>2</v>
      </c>
      <c r="R689">
        <v>2</v>
      </c>
      <c r="S689">
        <v>0.79</v>
      </c>
      <c r="T689">
        <v>2.31</v>
      </c>
      <c r="U689">
        <v>2.09</v>
      </c>
      <c r="V689">
        <v>1.28</v>
      </c>
      <c r="W689">
        <v>2.1</v>
      </c>
      <c r="X689">
        <v>2.1</v>
      </c>
    </row>
    <row r="690" spans="2:24" hidden="1" x14ac:dyDescent="0.35">
      <c r="B690">
        <v>2017</v>
      </c>
      <c r="C690" s="1">
        <v>43190</v>
      </c>
      <c r="D690">
        <v>2411</v>
      </c>
      <c r="E690" t="s">
        <v>23</v>
      </c>
      <c r="F690" t="s">
        <v>46</v>
      </c>
      <c r="G690" t="s">
        <v>44</v>
      </c>
      <c r="H690">
        <v>57.12</v>
      </c>
      <c r="I690">
        <v>47.48</v>
      </c>
      <c r="J690">
        <v>0.53410000000000002</v>
      </c>
      <c r="K690">
        <v>0.18129999999999999</v>
      </c>
      <c r="L690">
        <v>0.28460000000000002</v>
      </c>
      <c r="M690">
        <v>1.45</v>
      </c>
      <c r="N690">
        <v>0.72</v>
      </c>
      <c r="O690">
        <v>24.4</v>
      </c>
      <c r="P690">
        <v>73.5</v>
      </c>
      <c r="Q690">
        <v>1</v>
      </c>
      <c r="R690">
        <v>0</v>
      </c>
      <c r="S690">
        <v>2.72</v>
      </c>
      <c r="T690">
        <v>0.28999999999999998</v>
      </c>
      <c r="U690">
        <v>1.01</v>
      </c>
      <c r="V690">
        <v>0.47</v>
      </c>
      <c r="W690">
        <v>1.05</v>
      </c>
      <c r="X690">
        <v>0</v>
      </c>
    </row>
    <row r="691" spans="2:24" hidden="1" x14ac:dyDescent="0.35">
      <c r="B691">
        <v>2017</v>
      </c>
      <c r="C691" s="1">
        <v>43190</v>
      </c>
      <c r="D691">
        <v>2411</v>
      </c>
      <c r="E691" t="s">
        <v>23</v>
      </c>
      <c r="F691" t="s">
        <v>39</v>
      </c>
      <c r="G691" t="s">
        <v>33</v>
      </c>
      <c r="H691">
        <v>78.47</v>
      </c>
      <c r="I691">
        <v>52.82</v>
      </c>
      <c r="J691">
        <v>0.76100000000000001</v>
      </c>
      <c r="K691">
        <v>6.3600000000000004E-2</v>
      </c>
      <c r="L691">
        <v>0.1754</v>
      </c>
      <c r="M691">
        <v>2.17</v>
      </c>
      <c r="N691">
        <v>0.46</v>
      </c>
      <c r="O691">
        <v>26.4</v>
      </c>
      <c r="P691">
        <v>23.4</v>
      </c>
      <c r="Q691">
        <v>2</v>
      </c>
      <c r="R691">
        <v>0</v>
      </c>
      <c r="S691">
        <v>2.19</v>
      </c>
      <c r="T691">
        <v>0.25</v>
      </c>
      <c r="U691">
        <v>2.58</v>
      </c>
      <c r="V691">
        <v>0.9</v>
      </c>
      <c r="W691">
        <v>2.1</v>
      </c>
      <c r="X691">
        <v>0</v>
      </c>
    </row>
    <row r="692" spans="2:24" hidden="1" x14ac:dyDescent="0.35">
      <c r="B692">
        <v>2017</v>
      </c>
      <c r="C692" s="1">
        <v>43190</v>
      </c>
      <c r="D692">
        <v>2411</v>
      </c>
      <c r="E692" t="s">
        <v>23</v>
      </c>
      <c r="F692" t="s">
        <v>43</v>
      </c>
      <c r="G692" t="s">
        <v>34</v>
      </c>
      <c r="H692">
        <v>52.78</v>
      </c>
      <c r="I692">
        <v>57.43</v>
      </c>
      <c r="J692">
        <v>0.4002</v>
      </c>
      <c r="K692">
        <v>0.33510000000000001</v>
      </c>
      <c r="L692">
        <v>0.26469999999999999</v>
      </c>
      <c r="M692">
        <v>1.51</v>
      </c>
      <c r="N692">
        <v>1.36</v>
      </c>
      <c r="O692">
        <v>72.2</v>
      </c>
      <c r="P692">
        <v>80.099999999999994</v>
      </c>
      <c r="Q692">
        <v>3</v>
      </c>
      <c r="R692">
        <v>0</v>
      </c>
      <c r="S692">
        <v>1.45</v>
      </c>
      <c r="T692">
        <v>0.64</v>
      </c>
      <c r="U692">
        <v>0.77</v>
      </c>
      <c r="V692">
        <v>1.43</v>
      </c>
      <c r="W692">
        <v>3.15</v>
      </c>
      <c r="X692">
        <v>0</v>
      </c>
    </row>
    <row r="693" spans="2:24" hidden="1" x14ac:dyDescent="0.35">
      <c r="B693">
        <v>2017</v>
      </c>
      <c r="C693" s="1">
        <v>43190</v>
      </c>
      <c r="D693">
        <v>2411</v>
      </c>
      <c r="E693" t="s">
        <v>23</v>
      </c>
      <c r="F693" t="s">
        <v>31</v>
      </c>
      <c r="G693" t="s">
        <v>32</v>
      </c>
      <c r="H693">
        <v>50.82</v>
      </c>
      <c r="I693">
        <v>61.68</v>
      </c>
      <c r="J693">
        <v>0.32629999999999998</v>
      </c>
      <c r="K693">
        <v>0.35320000000000001</v>
      </c>
      <c r="L693">
        <v>0.32050000000000001</v>
      </c>
      <c r="M693">
        <v>1.01</v>
      </c>
      <c r="N693">
        <v>1.06</v>
      </c>
      <c r="O693">
        <v>3.7</v>
      </c>
      <c r="P693">
        <v>0</v>
      </c>
      <c r="Q693">
        <v>1</v>
      </c>
      <c r="R693">
        <v>2</v>
      </c>
      <c r="S693">
        <v>0.56000000000000005</v>
      </c>
      <c r="T693">
        <v>1.28</v>
      </c>
      <c r="U693">
        <v>1.63</v>
      </c>
      <c r="V693">
        <v>1.43</v>
      </c>
      <c r="W693">
        <v>1.05</v>
      </c>
      <c r="X693">
        <v>2.0299999999999998</v>
      </c>
    </row>
    <row r="694" spans="2:24" hidden="1" x14ac:dyDescent="0.35">
      <c r="B694">
        <v>2017</v>
      </c>
      <c r="C694" s="1">
        <v>43190</v>
      </c>
      <c r="D694">
        <v>2411</v>
      </c>
      <c r="E694" t="s">
        <v>23</v>
      </c>
      <c r="F694" t="s">
        <v>28</v>
      </c>
      <c r="G694" t="s">
        <v>36</v>
      </c>
      <c r="H694">
        <v>59.77</v>
      </c>
      <c r="I694">
        <v>90.81</v>
      </c>
      <c r="J694">
        <v>0.113</v>
      </c>
      <c r="K694">
        <v>0.71179999999999999</v>
      </c>
      <c r="L694">
        <v>0.17519999999999999</v>
      </c>
      <c r="M694">
        <v>0.89</v>
      </c>
      <c r="N694">
        <v>2.4900000000000002</v>
      </c>
      <c r="O694">
        <v>0</v>
      </c>
      <c r="P694">
        <v>0</v>
      </c>
      <c r="Q694">
        <v>1</v>
      </c>
      <c r="R694">
        <v>3</v>
      </c>
      <c r="S694">
        <v>0.85</v>
      </c>
      <c r="T694">
        <v>1.64</v>
      </c>
      <c r="U694">
        <v>1.03</v>
      </c>
      <c r="V694">
        <v>2.77</v>
      </c>
      <c r="W694">
        <v>1.05</v>
      </c>
      <c r="X694">
        <v>3.15</v>
      </c>
    </row>
    <row r="695" spans="2:24" hidden="1" x14ac:dyDescent="0.35">
      <c r="B695">
        <v>2017</v>
      </c>
      <c r="C695" s="1">
        <v>43191</v>
      </c>
      <c r="D695">
        <v>2411</v>
      </c>
      <c r="E695" t="s">
        <v>23</v>
      </c>
      <c r="F695" t="s">
        <v>40</v>
      </c>
      <c r="G695" t="s">
        <v>27</v>
      </c>
      <c r="H695">
        <v>80.25</v>
      </c>
      <c r="I695">
        <v>50.94</v>
      </c>
      <c r="J695">
        <v>0.80169999999999997</v>
      </c>
      <c r="K695">
        <v>6.3100000000000003E-2</v>
      </c>
      <c r="L695">
        <v>0.13519999999999999</v>
      </c>
      <c r="M695">
        <v>2.76</v>
      </c>
      <c r="N695">
        <v>0.66</v>
      </c>
      <c r="O695">
        <v>0.6</v>
      </c>
      <c r="P695">
        <v>60</v>
      </c>
      <c r="Q695">
        <v>3</v>
      </c>
      <c r="R695">
        <v>0</v>
      </c>
      <c r="S695">
        <v>3.46</v>
      </c>
      <c r="T695">
        <v>0.37</v>
      </c>
      <c r="U695">
        <v>2.5099999999999998</v>
      </c>
      <c r="V695">
        <v>1.18</v>
      </c>
      <c r="W695">
        <v>2.2599999999999998</v>
      </c>
      <c r="X695">
        <v>0</v>
      </c>
    </row>
    <row r="696" spans="2:24" hidden="1" x14ac:dyDescent="0.35">
      <c r="B696">
        <v>2017</v>
      </c>
      <c r="C696" s="1">
        <v>43191</v>
      </c>
      <c r="D696">
        <v>2411</v>
      </c>
      <c r="E696" t="s">
        <v>23</v>
      </c>
      <c r="F696" t="s">
        <v>42</v>
      </c>
      <c r="G696" t="s">
        <v>29</v>
      </c>
      <c r="H696">
        <v>80.790000000000006</v>
      </c>
      <c r="I696">
        <v>87.1</v>
      </c>
      <c r="J696">
        <v>0.34689999999999999</v>
      </c>
      <c r="K696">
        <v>0.38879999999999998</v>
      </c>
      <c r="L696">
        <v>0.26429999999999998</v>
      </c>
      <c r="M696">
        <v>1.39</v>
      </c>
      <c r="N696">
        <v>1.49</v>
      </c>
      <c r="O696">
        <v>76.400000000000006</v>
      </c>
      <c r="P696">
        <v>55.5</v>
      </c>
      <c r="Q696">
        <v>1</v>
      </c>
      <c r="R696">
        <v>3</v>
      </c>
      <c r="S696">
        <v>1.1200000000000001</v>
      </c>
      <c r="T696">
        <v>1.66</v>
      </c>
      <c r="U696">
        <v>2.1</v>
      </c>
      <c r="V696">
        <v>1.29</v>
      </c>
      <c r="W696">
        <v>1.05</v>
      </c>
      <c r="X696">
        <v>3.15</v>
      </c>
    </row>
    <row r="697" spans="2:24" hidden="1" x14ac:dyDescent="0.35">
      <c r="B697">
        <v>2017</v>
      </c>
      <c r="C697" s="1">
        <v>43197</v>
      </c>
      <c r="D697">
        <v>2411</v>
      </c>
      <c r="E697" t="s">
        <v>23</v>
      </c>
      <c r="F697" t="s">
        <v>28</v>
      </c>
      <c r="G697" t="s">
        <v>41</v>
      </c>
      <c r="H697">
        <v>59.82</v>
      </c>
      <c r="I697">
        <v>89.26</v>
      </c>
      <c r="J697">
        <v>0.13170000000000001</v>
      </c>
      <c r="K697">
        <v>0.68720000000000003</v>
      </c>
      <c r="L697">
        <v>0.18110000000000001</v>
      </c>
      <c r="M697">
        <v>1.01</v>
      </c>
      <c r="N697">
        <v>2.5</v>
      </c>
      <c r="O697">
        <v>0</v>
      </c>
      <c r="P697">
        <v>6.2</v>
      </c>
      <c r="Q697">
        <v>0</v>
      </c>
      <c r="R697">
        <v>0</v>
      </c>
      <c r="S697">
        <v>0.77</v>
      </c>
      <c r="T697">
        <v>0.95</v>
      </c>
      <c r="U697">
        <v>0.8</v>
      </c>
      <c r="V697">
        <v>1.39</v>
      </c>
      <c r="W697">
        <v>0</v>
      </c>
      <c r="X697">
        <v>0</v>
      </c>
    </row>
    <row r="698" spans="2:24" hidden="1" x14ac:dyDescent="0.35">
      <c r="B698">
        <v>2017</v>
      </c>
      <c r="C698" s="1">
        <v>43197</v>
      </c>
      <c r="D698">
        <v>2411</v>
      </c>
      <c r="E698" t="s">
        <v>23</v>
      </c>
      <c r="F698" t="s">
        <v>45</v>
      </c>
      <c r="G698" t="s">
        <v>44</v>
      </c>
      <c r="H698">
        <v>53.87</v>
      </c>
      <c r="I698">
        <v>46.76</v>
      </c>
      <c r="J698">
        <v>0.50390000000000001</v>
      </c>
      <c r="K698">
        <v>0.19270000000000001</v>
      </c>
      <c r="L698">
        <v>0.3034</v>
      </c>
      <c r="M698">
        <v>1.32</v>
      </c>
      <c r="N698">
        <v>0.7</v>
      </c>
      <c r="O698">
        <v>30.1</v>
      </c>
      <c r="P698">
        <v>86.8</v>
      </c>
      <c r="Q698">
        <v>1</v>
      </c>
      <c r="R698">
        <v>1</v>
      </c>
      <c r="S698">
        <v>1.65</v>
      </c>
      <c r="T698">
        <v>1.31</v>
      </c>
      <c r="U698">
        <v>1.71</v>
      </c>
      <c r="V698">
        <v>1.45</v>
      </c>
      <c r="W698">
        <v>1.05</v>
      </c>
      <c r="X698">
        <v>1.05</v>
      </c>
    </row>
    <row r="699" spans="2:24" hidden="1" x14ac:dyDescent="0.35">
      <c r="B699">
        <v>2017</v>
      </c>
      <c r="C699" s="1">
        <v>43197</v>
      </c>
      <c r="D699">
        <v>2411</v>
      </c>
      <c r="E699" t="s">
        <v>23</v>
      </c>
      <c r="F699" t="s">
        <v>35</v>
      </c>
      <c r="G699" t="s">
        <v>32</v>
      </c>
      <c r="H699">
        <v>58.04</v>
      </c>
      <c r="I699">
        <v>62.32</v>
      </c>
      <c r="J699">
        <v>0.39410000000000001</v>
      </c>
      <c r="K699">
        <v>0.31209999999999999</v>
      </c>
      <c r="L699">
        <v>0.29370000000000002</v>
      </c>
      <c r="M699">
        <v>1.28</v>
      </c>
      <c r="N699">
        <v>1.1000000000000001</v>
      </c>
      <c r="O699">
        <v>0.5</v>
      </c>
      <c r="P699">
        <v>0</v>
      </c>
      <c r="Q699">
        <v>1</v>
      </c>
      <c r="R699">
        <v>2</v>
      </c>
      <c r="S699">
        <v>0.91</v>
      </c>
      <c r="T699">
        <v>1</v>
      </c>
      <c r="U699">
        <v>1.83</v>
      </c>
      <c r="V699">
        <v>0.85</v>
      </c>
      <c r="W699">
        <v>1.05</v>
      </c>
      <c r="X699">
        <v>2.1</v>
      </c>
    </row>
    <row r="700" spans="2:24" hidden="1" x14ac:dyDescent="0.35">
      <c r="B700">
        <v>2017</v>
      </c>
      <c r="C700" s="1">
        <v>43197</v>
      </c>
      <c r="D700">
        <v>2411</v>
      </c>
      <c r="E700" t="s">
        <v>23</v>
      </c>
      <c r="F700" t="s">
        <v>31</v>
      </c>
      <c r="G700" t="s">
        <v>33</v>
      </c>
      <c r="H700">
        <v>50.14</v>
      </c>
      <c r="I700">
        <v>52.25</v>
      </c>
      <c r="J700">
        <v>0.41370000000000001</v>
      </c>
      <c r="K700">
        <v>0.2777</v>
      </c>
      <c r="L700">
        <v>0.30859999999999999</v>
      </c>
      <c r="M700">
        <v>1.22</v>
      </c>
      <c r="N700">
        <v>0.94</v>
      </c>
      <c r="O700">
        <v>0.7</v>
      </c>
      <c r="P700">
        <v>31</v>
      </c>
      <c r="Q700">
        <v>1</v>
      </c>
      <c r="R700">
        <v>1</v>
      </c>
      <c r="S700">
        <v>1.34</v>
      </c>
      <c r="T700">
        <v>0.78</v>
      </c>
      <c r="U700">
        <v>2.0099999999999998</v>
      </c>
      <c r="V700">
        <v>0.56000000000000005</v>
      </c>
      <c r="W700">
        <v>1.05</v>
      </c>
      <c r="X700">
        <v>1.05</v>
      </c>
    </row>
    <row r="701" spans="2:24" hidden="1" x14ac:dyDescent="0.35">
      <c r="B701">
        <v>2017</v>
      </c>
      <c r="C701" s="1">
        <v>43197</v>
      </c>
      <c r="D701">
        <v>2411</v>
      </c>
      <c r="E701" t="s">
        <v>23</v>
      </c>
      <c r="F701" t="s">
        <v>25</v>
      </c>
      <c r="G701" t="s">
        <v>46</v>
      </c>
      <c r="H701">
        <v>66.61</v>
      </c>
      <c r="I701">
        <v>57.9</v>
      </c>
      <c r="J701">
        <v>0.53439999999999999</v>
      </c>
      <c r="K701">
        <v>0.20319999999999999</v>
      </c>
      <c r="L701">
        <v>0.26240000000000002</v>
      </c>
      <c r="M701">
        <v>1.63</v>
      </c>
      <c r="N701">
        <v>0.9</v>
      </c>
      <c r="O701">
        <v>0</v>
      </c>
      <c r="P701">
        <v>1.1000000000000001</v>
      </c>
      <c r="Q701">
        <v>1</v>
      </c>
      <c r="R701">
        <v>2</v>
      </c>
      <c r="S701">
        <v>1</v>
      </c>
      <c r="T701">
        <v>0.35</v>
      </c>
      <c r="U701">
        <v>1.43</v>
      </c>
      <c r="V701">
        <v>0.49</v>
      </c>
      <c r="W701">
        <v>1.05</v>
      </c>
      <c r="X701">
        <v>1.98</v>
      </c>
    </row>
    <row r="702" spans="2:24" hidden="1" x14ac:dyDescent="0.35">
      <c r="B702">
        <v>2017</v>
      </c>
      <c r="C702" s="1">
        <v>43197</v>
      </c>
      <c r="D702">
        <v>2411</v>
      </c>
      <c r="E702" t="s">
        <v>23</v>
      </c>
      <c r="F702" t="s">
        <v>38</v>
      </c>
      <c r="G702" t="s">
        <v>30</v>
      </c>
      <c r="H702">
        <v>56.64</v>
      </c>
      <c r="I702">
        <v>63.23</v>
      </c>
      <c r="J702">
        <v>0.3805</v>
      </c>
      <c r="K702">
        <v>0.36720000000000003</v>
      </c>
      <c r="L702">
        <v>0.25230000000000002</v>
      </c>
      <c r="M702">
        <v>1.58</v>
      </c>
      <c r="N702">
        <v>1.55</v>
      </c>
      <c r="O702">
        <v>0.2</v>
      </c>
      <c r="P702">
        <v>18.399999999999999</v>
      </c>
      <c r="Q702">
        <v>2</v>
      </c>
      <c r="R702">
        <v>2</v>
      </c>
      <c r="S702">
        <v>2.4</v>
      </c>
      <c r="T702">
        <v>1.04</v>
      </c>
      <c r="U702">
        <v>2.41</v>
      </c>
      <c r="V702">
        <v>1.68</v>
      </c>
      <c r="W702">
        <v>2.1</v>
      </c>
      <c r="X702">
        <v>2.1</v>
      </c>
    </row>
    <row r="703" spans="2:24" hidden="1" x14ac:dyDescent="0.35">
      <c r="B703">
        <v>2017</v>
      </c>
      <c r="C703" s="1">
        <v>43197</v>
      </c>
      <c r="D703">
        <v>2411</v>
      </c>
      <c r="E703" t="s">
        <v>23</v>
      </c>
      <c r="F703" t="s">
        <v>27</v>
      </c>
      <c r="G703" t="s">
        <v>29</v>
      </c>
      <c r="H703">
        <v>50.3</v>
      </c>
      <c r="I703">
        <v>87.64</v>
      </c>
      <c r="J703">
        <v>9.9099999999999994E-2</v>
      </c>
      <c r="K703">
        <v>0.72250000000000003</v>
      </c>
      <c r="L703">
        <v>0.1784</v>
      </c>
      <c r="M703">
        <v>0.75</v>
      </c>
      <c r="N703">
        <v>2.35</v>
      </c>
      <c r="O703">
        <v>63.8</v>
      </c>
      <c r="P703">
        <v>13.7</v>
      </c>
      <c r="Q703">
        <v>1</v>
      </c>
      <c r="R703">
        <v>2</v>
      </c>
      <c r="S703">
        <v>1.37</v>
      </c>
      <c r="T703">
        <v>1.4</v>
      </c>
      <c r="U703">
        <v>1.28</v>
      </c>
      <c r="V703">
        <v>1.24</v>
      </c>
      <c r="W703">
        <v>1.05</v>
      </c>
      <c r="X703">
        <v>2.1</v>
      </c>
    </row>
    <row r="704" spans="2:24" hidden="1" x14ac:dyDescent="0.35">
      <c r="B704">
        <v>2017</v>
      </c>
      <c r="C704" s="1">
        <v>43197</v>
      </c>
      <c r="D704">
        <v>2411</v>
      </c>
      <c r="E704" t="s">
        <v>23</v>
      </c>
      <c r="F704" t="s">
        <v>36</v>
      </c>
      <c r="G704" t="s">
        <v>39</v>
      </c>
      <c r="H704">
        <v>90.2</v>
      </c>
      <c r="I704">
        <v>78.900000000000006</v>
      </c>
      <c r="J704">
        <v>0.63370000000000004</v>
      </c>
      <c r="K704">
        <v>0.1497</v>
      </c>
      <c r="L704">
        <v>0.21659999999999999</v>
      </c>
      <c r="M704">
        <v>2.0499999999999998</v>
      </c>
      <c r="N704">
        <v>0.88</v>
      </c>
      <c r="O704">
        <v>0</v>
      </c>
      <c r="P704">
        <v>3.9</v>
      </c>
      <c r="Q704">
        <v>2</v>
      </c>
      <c r="R704">
        <v>3</v>
      </c>
      <c r="S704">
        <v>3.12</v>
      </c>
      <c r="T704">
        <v>1.32</v>
      </c>
      <c r="U704">
        <v>2.83</v>
      </c>
      <c r="V704">
        <v>0.8</v>
      </c>
      <c r="W704">
        <v>2.1</v>
      </c>
      <c r="X704">
        <v>3.15</v>
      </c>
    </row>
    <row r="705" spans="2:24" hidden="1" x14ac:dyDescent="0.35">
      <c r="B705">
        <v>2017</v>
      </c>
      <c r="C705" s="1">
        <v>43198</v>
      </c>
      <c r="D705">
        <v>2411</v>
      </c>
      <c r="E705" t="s">
        <v>23</v>
      </c>
      <c r="F705" t="s">
        <v>40</v>
      </c>
      <c r="G705" t="s">
        <v>34</v>
      </c>
      <c r="H705">
        <v>81.8</v>
      </c>
      <c r="I705">
        <v>55.89</v>
      </c>
      <c r="J705">
        <v>0.7782</v>
      </c>
      <c r="K705">
        <v>7.6399999999999996E-2</v>
      </c>
      <c r="L705">
        <v>0.14530000000000001</v>
      </c>
      <c r="M705">
        <v>2.72</v>
      </c>
      <c r="N705">
        <v>0.75</v>
      </c>
      <c r="O705">
        <v>0.2</v>
      </c>
      <c r="P705">
        <v>68.5</v>
      </c>
      <c r="Q705">
        <v>3</v>
      </c>
      <c r="R705">
        <v>2</v>
      </c>
      <c r="S705">
        <v>1.61</v>
      </c>
      <c r="T705">
        <v>2.61</v>
      </c>
      <c r="U705">
        <v>1.85</v>
      </c>
      <c r="V705">
        <v>1.62</v>
      </c>
      <c r="W705">
        <v>3.15</v>
      </c>
      <c r="X705">
        <v>2.1</v>
      </c>
    </row>
    <row r="706" spans="2:24" hidden="1" x14ac:dyDescent="0.35">
      <c r="B706">
        <v>2017</v>
      </c>
      <c r="C706" s="1">
        <v>43198</v>
      </c>
      <c r="D706">
        <v>2411</v>
      </c>
      <c r="E706" t="s">
        <v>23</v>
      </c>
      <c r="F706" t="s">
        <v>42</v>
      </c>
      <c r="G706" t="s">
        <v>43</v>
      </c>
      <c r="H706">
        <v>80.209999999999994</v>
      </c>
      <c r="I706">
        <v>54.39</v>
      </c>
      <c r="J706">
        <v>0.77839999999999998</v>
      </c>
      <c r="K706">
        <v>7.3200000000000001E-2</v>
      </c>
      <c r="L706">
        <v>0.1484</v>
      </c>
      <c r="M706">
        <v>2.63</v>
      </c>
      <c r="N706">
        <v>0.69</v>
      </c>
      <c r="O706">
        <v>9.4</v>
      </c>
      <c r="P706">
        <v>14.4</v>
      </c>
      <c r="Q706">
        <v>1</v>
      </c>
      <c r="R706">
        <v>1</v>
      </c>
      <c r="S706">
        <v>2.11</v>
      </c>
      <c r="T706">
        <v>0.34</v>
      </c>
      <c r="U706">
        <v>4.08</v>
      </c>
      <c r="V706">
        <v>0.44</v>
      </c>
      <c r="W706">
        <v>1.05</v>
      </c>
      <c r="X706">
        <v>1.05</v>
      </c>
    </row>
    <row r="707" spans="2:24" hidden="1" x14ac:dyDescent="0.35">
      <c r="B707">
        <v>2017</v>
      </c>
      <c r="C707" s="1">
        <v>43204</v>
      </c>
      <c r="D707">
        <v>2411</v>
      </c>
      <c r="E707" t="s">
        <v>23</v>
      </c>
      <c r="F707" t="s">
        <v>34</v>
      </c>
      <c r="G707" t="s">
        <v>42</v>
      </c>
      <c r="H707">
        <v>57.7</v>
      </c>
      <c r="I707">
        <v>80</v>
      </c>
      <c r="J707">
        <v>0.21640000000000001</v>
      </c>
      <c r="K707">
        <v>0.54339999999999999</v>
      </c>
      <c r="L707">
        <v>0.2402</v>
      </c>
      <c r="M707">
        <v>1.1000000000000001</v>
      </c>
      <c r="N707">
        <v>1.87</v>
      </c>
      <c r="O707">
        <v>77</v>
      </c>
      <c r="P707">
        <v>1.8</v>
      </c>
      <c r="Q707">
        <v>2</v>
      </c>
      <c r="R707">
        <v>3</v>
      </c>
      <c r="S707">
        <v>1.38</v>
      </c>
      <c r="T707">
        <v>1.02</v>
      </c>
      <c r="U707">
        <v>1.05</v>
      </c>
      <c r="V707">
        <v>1.97</v>
      </c>
      <c r="W707">
        <v>2.1</v>
      </c>
      <c r="X707">
        <v>3.15</v>
      </c>
    </row>
    <row r="708" spans="2:24" hidden="1" x14ac:dyDescent="0.35">
      <c r="B708">
        <v>2017</v>
      </c>
      <c r="C708" s="1">
        <v>43204</v>
      </c>
      <c r="D708">
        <v>2411</v>
      </c>
      <c r="E708" t="s">
        <v>23</v>
      </c>
      <c r="F708" t="s">
        <v>32</v>
      </c>
      <c r="G708" t="s">
        <v>25</v>
      </c>
      <c r="H708">
        <v>62.84</v>
      </c>
      <c r="I708">
        <v>65.709999999999994</v>
      </c>
      <c r="J708">
        <v>0.41039999999999999</v>
      </c>
      <c r="K708">
        <v>0.29310000000000003</v>
      </c>
      <c r="L708">
        <v>0.29649999999999999</v>
      </c>
      <c r="M708">
        <v>1.28</v>
      </c>
      <c r="N708">
        <v>1.04</v>
      </c>
      <c r="O708">
        <v>0</v>
      </c>
      <c r="P708">
        <v>0</v>
      </c>
      <c r="Q708">
        <v>2</v>
      </c>
      <c r="R708">
        <v>1</v>
      </c>
      <c r="S708">
        <v>1.07</v>
      </c>
      <c r="T708">
        <v>1.92</v>
      </c>
      <c r="U708">
        <v>0.69</v>
      </c>
      <c r="V708">
        <v>1.81</v>
      </c>
      <c r="W708">
        <v>2.1</v>
      </c>
      <c r="X708">
        <v>1.05</v>
      </c>
    </row>
    <row r="709" spans="2:24" hidden="1" x14ac:dyDescent="0.35">
      <c r="B709">
        <v>2017</v>
      </c>
      <c r="C709" s="1">
        <v>43204</v>
      </c>
      <c r="D709">
        <v>2411</v>
      </c>
      <c r="E709" t="s">
        <v>23</v>
      </c>
      <c r="F709" t="s">
        <v>33</v>
      </c>
      <c r="G709" t="s">
        <v>28</v>
      </c>
      <c r="H709">
        <v>51.96</v>
      </c>
      <c r="I709">
        <v>60.11</v>
      </c>
      <c r="J709">
        <v>0.35830000000000001</v>
      </c>
      <c r="K709">
        <v>0.35</v>
      </c>
      <c r="L709">
        <v>0.29170000000000001</v>
      </c>
      <c r="M709">
        <v>1.22</v>
      </c>
      <c r="N709">
        <v>1.21</v>
      </c>
      <c r="O709">
        <v>34.700000000000003</v>
      </c>
      <c r="P709">
        <v>0</v>
      </c>
      <c r="Q709">
        <v>1</v>
      </c>
      <c r="R709">
        <v>1</v>
      </c>
      <c r="S709">
        <v>1.53</v>
      </c>
      <c r="T709">
        <v>1.63</v>
      </c>
      <c r="U709">
        <v>2.2999999999999998</v>
      </c>
      <c r="V709">
        <v>1.39</v>
      </c>
      <c r="W709">
        <v>1.05</v>
      </c>
      <c r="X709">
        <v>1.05</v>
      </c>
    </row>
    <row r="710" spans="2:24" hidden="1" x14ac:dyDescent="0.35">
      <c r="B710">
        <v>2017</v>
      </c>
      <c r="C710" s="1">
        <v>43204</v>
      </c>
      <c r="D710">
        <v>2411</v>
      </c>
      <c r="E710" t="s">
        <v>23</v>
      </c>
      <c r="F710" t="s">
        <v>44</v>
      </c>
      <c r="G710" t="s">
        <v>35</v>
      </c>
      <c r="H710">
        <v>47.41</v>
      </c>
      <c r="I710">
        <v>57.49</v>
      </c>
      <c r="J710">
        <v>0.33760000000000001</v>
      </c>
      <c r="K710">
        <v>0.36659999999999998</v>
      </c>
      <c r="L710">
        <v>0.29580000000000001</v>
      </c>
      <c r="M710">
        <v>1.1499999999999999</v>
      </c>
      <c r="N710">
        <v>1.21</v>
      </c>
      <c r="O710">
        <v>86.2</v>
      </c>
      <c r="P710">
        <v>1</v>
      </c>
      <c r="Q710">
        <v>1</v>
      </c>
      <c r="R710">
        <v>0</v>
      </c>
      <c r="S710">
        <v>0.94</v>
      </c>
      <c r="T710">
        <v>0.3</v>
      </c>
      <c r="U710">
        <v>1.37</v>
      </c>
      <c r="V710">
        <v>1.01</v>
      </c>
      <c r="W710">
        <v>1.05</v>
      </c>
      <c r="X710">
        <v>0</v>
      </c>
    </row>
    <row r="711" spans="2:24" hidden="1" x14ac:dyDescent="0.35">
      <c r="B711">
        <v>2017</v>
      </c>
      <c r="C711" s="1">
        <v>43204</v>
      </c>
      <c r="D711">
        <v>2411</v>
      </c>
      <c r="E711" t="s">
        <v>23</v>
      </c>
      <c r="F711" t="s">
        <v>30</v>
      </c>
      <c r="G711" t="s">
        <v>45</v>
      </c>
      <c r="H711">
        <v>62.7</v>
      </c>
      <c r="I711">
        <v>53.15</v>
      </c>
      <c r="J711">
        <v>0.54249999999999998</v>
      </c>
      <c r="K711">
        <v>0.1996</v>
      </c>
      <c r="L711">
        <v>0.25790000000000002</v>
      </c>
      <c r="M711">
        <v>1.68</v>
      </c>
      <c r="N711">
        <v>0.91</v>
      </c>
      <c r="O711">
        <v>28.8</v>
      </c>
      <c r="P711">
        <v>12.6</v>
      </c>
      <c r="Q711">
        <v>3</v>
      </c>
      <c r="R711">
        <v>2</v>
      </c>
      <c r="S711">
        <v>2.12</v>
      </c>
      <c r="T711">
        <v>1.3</v>
      </c>
      <c r="U711">
        <v>1.42</v>
      </c>
      <c r="V711">
        <v>1.17</v>
      </c>
      <c r="W711">
        <v>3.15</v>
      </c>
      <c r="X711">
        <v>2.1</v>
      </c>
    </row>
    <row r="712" spans="2:24" hidden="1" x14ac:dyDescent="0.35">
      <c r="B712">
        <v>2017</v>
      </c>
      <c r="C712" s="1">
        <v>43204</v>
      </c>
      <c r="D712">
        <v>2411</v>
      </c>
      <c r="E712" t="s">
        <v>23</v>
      </c>
      <c r="F712" t="s">
        <v>41</v>
      </c>
      <c r="G712" t="s">
        <v>38</v>
      </c>
      <c r="H712">
        <v>89.16</v>
      </c>
      <c r="I712">
        <v>57.22</v>
      </c>
      <c r="J712">
        <v>0.86680000000000001</v>
      </c>
      <c r="K712">
        <v>3.6999999999999998E-2</v>
      </c>
      <c r="L712">
        <v>9.6199999999999994E-2</v>
      </c>
      <c r="M712">
        <v>3.19</v>
      </c>
      <c r="N712">
        <v>0.56999999999999995</v>
      </c>
      <c r="O712">
        <v>8</v>
      </c>
      <c r="P712">
        <v>0.1</v>
      </c>
      <c r="Q712">
        <v>3</v>
      </c>
      <c r="R712">
        <v>0</v>
      </c>
      <c r="S712">
        <v>2.36</v>
      </c>
      <c r="T712">
        <v>0.63</v>
      </c>
      <c r="U712">
        <v>2.78</v>
      </c>
      <c r="V712">
        <v>0.61</v>
      </c>
      <c r="W712">
        <v>2.65</v>
      </c>
      <c r="X712">
        <v>0</v>
      </c>
    </row>
    <row r="713" spans="2:24" hidden="1" x14ac:dyDescent="0.35">
      <c r="B713">
        <v>2017</v>
      </c>
      <c r="C713" s="1">
        <v>43204</v>
      </c>
      <c r="D713">
        <v>2411</v>
      </c>
      <c r="E713" t="s">
        <v>23</v>
      </c>
      <c r="F713" t="s">
        <v>29</v>
      </c>
      <c r="G713" t="s">
        <v>36</v>
      </c>
      <c r="H713">
        <v>86.93</v>
      </c>
      <c r="I713">
        <v>89.53</v>
      </c>
      <c r="J713">
        <v>0.40289999999999998</v>
      </c>
      <c r="K713">
        <v>0.33839999999999998</v>
      </c>
      <c r="L713">
        <v>0.25869999999999999</v>
      </c>
      <c r="M713">
        <v>1.57</v>
      </c>
      <c r="N713">
        <v>1.42</v>
      </c>
      <c r="O713">
        <v>1.3</v>
      </c>
      <c r="P713">
        <v>0</v>
      </c>
      <c r="Q713">
        <v>1</v>
      </c>
      <c r="R713">
        <v>3</v>
      </c>
      <c r="S713">
        <v>0.6</v>
      </c>
      <c r="T713">
        <v>3.13</v>
      </c>
      <c r="U713">
        <v>1.8</v>
      </c>
      <c r="V713">
        <v>1.45</v>
      </c>
      <c r="W713">
        <v>1.05</v>
      </c>
      <c r="X713">
        <v>3.11</v>
      </c>
    </row>
    <row r="714" spans="2:24" hidden="1" x14ac:dyDescent="0.35">
      <c r="B714">
        <v>2017</v>
      </c>
      <c r="C714" s="1">
        <v>43205</v>
      </c>
      <c r="D714">
        <v>2411</v>
      </c>
      <c r="E714" t="s">
        <v>23</v>
      </c>
      <c r="F714" t="s">
        <v>46</v>
      </c>
      <c r="G714" t="s">
        <v>40</v>
      </c>
      <c r="H714">
        <v>58.83</v>
      </c>
      <c r="I714">
        <v>80.459999999999994</v>
      </c>
      <c r="J714">
        <v>0.2283</v>
      </c>
      <c r="K714">
        <v>0.54730000000000001</v>
      </c>
      <c r="L714">
        <v>0.22439999999999999</v>
      </c>
      <c r="M714">
        <v>1.29</v>
      </c>
      <c r="N714">
        <v>2.08</v>
      </c>
      <c r="O714">
        <v>0</v>
      </c>
      <c r="P714">
        <v>0.1</v>
      </c>
      <c r="Q714">
        <v>2</v>
      </c>
      <c r="R714">
        <v>1</v>
      </c>
      <c r="S714">
        <v>0.88</v>
      </c>
      <c r="T714">
        <v>1.74</v>
      </c>
      <c r="U714">
        <v>0.91</v>
      </c>
      <c r="V714">
        <v>1.92</v>
      </c>
      <c r="W714">
        <v>2.1</v>
      </c>
      <c r="X714">
        <v>1.05</v>
      </c>
    </row>
    <row r="715" spans="2:24" hidden="1" x14ac:dyDescent="0.35">
      <c r="B715">
        <v>2017</v>
      </c>
      <c r="C715" s="1">
        <v>43205</v>
      </c>
      <c r="D715">
        <v>2411</v>
      </c>
      <c r="E715" t="s">
        <v>23</v>
      </c>
      <c r="F715" t="s">
        <v>39</v>
      </c>
      <c r="G715" t="s">
        <v>31</v>
      </c>
      <c r="H715">
        <v>79.930000000000007</v>
      </c>
      <c r="I715">
        <v>50.44</v>
      </c>
      <c r="J715">
        <v>0.79810000000000003</v>
      </c>
      <c r="K715">
        <v>5.1400000000000001E-2</v>
      </c>
      <c r="L715">
        <v>0.15049999999999999</v>
      </c>
      <c r="M715">
        <v>2.39</v>
      </c>
      <c r="N715">
        <v>0.44</v>
      </c>
      <c r="O715">
        <v>1.1000000000000001</v>
      </c>
      <c r="P715">
        <v>0</v>
      </c>
      <c r="Q715">
        <v>0</v>
      </c>
      <c r="R715">
        <v>1</v>
      </c>
      <c r="S715">
        <v>0.83</v>
      </c>
      <c r="T715">
        <v>0.84</v>
      </c>
      <c r="U715">
        <v>2.62</v>
      </c>
      <c r="V715">
        <v>0.79</v>
      </c>
      <c r="W715">
        <v>0</v>
      </c>
      <c r="X715">
        <v>1.05</v>
      </c>
    </row>
    <row r="716" spans="2:24" hidden="1" x14ac:dyDescent="0.35">
      <c r="B716">
        <v>2017</v>
      </c>
      <c r="C716" s="1">
        <v>43206</v>
      </c>
      <c r="D716">
        <v>2411</v>
      </c>
      <c r="E716" t="s">
        <v>23</v>
      </c>
      <c r="F716" t="s">
        <v>43</v>
      </c>
      <c r="G716" t="s">
        <v>27</v>
      </c>
      <c r="H716">
        <v>54.63</v>
      </c>
      <c r="I716">
        <v>51.58</v>
      </c>
      <c r="J716">
        <v>0.47899999999999998</v>
      </c>
      <c r="K716">
        <v>0.25979999999999998</v>
      </c>
      <c r="L716">
        <v>0.26119999999999999</v>
      </c>
      <c r="M716">
        <v>1.63</v>
      </c>
      <c r="N716">
        <v>1.1399999999999999</v>
      </c>
      <c r="O716">
        <v>22.8</v>
      </c>
      <c r="P716">
        <v>55.7</v>
      </c>
      <c r="Q716">
        <v>1</v>
      </c>
      <c r="R716">
        <v>1</v>
      </c>
      <c r="S716">
        <v>0.78</v>
      </c>
      <c r="T716">
        <v>1.28</v>
      </c>
      <c r="U716">
        <v>3</v>
      </c>
      <c r="V716">
        <v>1.64</v>
      </c>
      <c r="W716">
        <v>1.05</v>
      </c>
      <c r="X716">
        <v>1.05</v>
      </c>
    </row>
    <row r="717" spans="2:24" hidden="1" x14ac:dyDescent="0.35">
      <c r="B717">
        <v>2017</v>
      </c>
      <c r="C717" s="1">
        <v>43207</v>
      </c>
      <c r="D717">
        <v>2411</v>
      </c>
      <c r="E717" t="s">
        <v>23</v>
      </c>
      <c r="F717" t="s">
        <v>45</v>
      </c>
      <c r="G717" t="s">
        <v>29</v>
      </c>
      <c r="H717">
        <v>53.3</v>
      </c>
      <c r="I717">
        <v>85.93</v>
      </c>
      <c r="J717">
        <v>0.12970000000000001</v>
      </c>
      <c r="K717">
        <v>0.66810000000000003</v>
      </c>
      <c r="L717">
        <v>0.20219999999999999</v>
      </c>
      <c r="M717">
        <v>0.84</v>
      </c>
      <c r="N717">
        <v>2.17</v>
      </c>
      <c r="O717">
        <v>15.8</v>
      </c>
      <c r="P717">
        <v>2.7</v>
      </c>
      <c r="Q717">
        <v>1</v>
      </c>
      <c r="R717">
        <v>1</v>
      </c>
      <c r="S717">
        <v>1.04</v>
      </c>
      <c r="T717">
        <v>1.54</v>
      </c>
      <c r="U717">
        <v>0.36</v>
      </c>
      <c r="V717">
        <v>1.86</v>
      </c>
      <c r="W717">
        <v>1.05</v>
      </c>
      <c r="X717">
        <v>1.05</v>
      </c>
    </row>
    <row r="718" spans="2:24" hidden="1" x14ac:dyDescent="0.35">
      <c r="B718">
        <v>2017</v>
      </c>
      <c r="C718" s="1">
        <v>43208</v>
      </c>
      <c r="D718">
        <v>2411</v>
      </c>
      <c r="E718" t="s">
        <v>23</v>
      </c>
      <c r="F718" t="s">
        <v>38</v>
      </c>
      <c r="G718" t="s">
        <v>39</v>
      </c>
      <c r="H718">
        <v>56.89</v>
      </c>
      <c r="I718">
        <v>78.5</v>
      </c>
      <c r="J718">
        <v>0.22270000000000001</v>
      </c>
      <c r="K718">
        <v>0.55269999999999997</v>
      </c>
      <c r="L718">
        <v>0.22459999999999999</v>
      </c>
      <c r="M718">
        <v>1.25</v>
      </c>
      <c r="N718">
        <v>2.08</v>
      </c>
      <c r="O718">
        <v>0.1</v>
      </c>
      <c r="P718">
        <v>1.4</v>
      </c>
      <c r="Q718">
        <v>0</v>
      </c>
      <c r="R718">
        <v>2</v>
      </c>
      <c r="S718">
        <v>1.21</v>
      </c>
      <c r="T718">
        <v>1.41</v>
      </c>
      <c r="U718">
        <v>1.21</v>
      </c>
      <c r="V718">
        <v>1.24</v>
      </c>
      <c r="W718">
        <v>0</v>
      </c>
      <c r="X718">
        <v>2.1</v>
      </c>
    </row>
    <row r="719" spans="2:24" hidden="1" x14ac:dyDescent="0.35">
      <c r="B719">
        <v>2017</v>
      </c>
      <c r="C719" s="1">
        <v>43209</v>
      </c>
      <c r="D719">
        <v>2411</v>
      </c>
      <c r="E719" t="s">
        <v>23</v>
      </c>
      <c r="F719" t="s">
        <v>25</v>
      </c>
      <c r="G719" t="s">
        <v>34</v>
      </c>
      <c r="H719">
        <v>65.97</v>
      </c>
      <c r="I719">
        <v>58.14</v>
      </c>
      <c r="J719">
        <v>0.53</v>
      </c>
      <c r="K719">
        <v>0.2177</v>
      </c>
      <c r="L719">
        <v>0.25230000000000002</v>
      </c>
      <c r="M719">
        <v>1.74</v>
      </c>
      <c r="N719">
        <v>1.02</v>
      </c>
      <c r="O719">
        <v>0</v>
      </c>
      <c r="P719">
        <v>79.099999999999994</v>
      </c>
      <c r="Q719">
        <v>0</v>
      </c>
      <c r="R719">
        <v>0</v>
      </c>
      <c r="S719">
        <v>0.6</v>
      </c>
      <c r="T719">
        <v>0.75</v>
      </c>
      <c r="U719">
        <v>1.33</v>
      </c>
      <c r="V719">
        <v>0.61</v>
      </c>
      <c r="W719">
        <v>0</v>
      </c>
      <c r="X719">
        <v>0</v>
      </c>
    </row>
    <row r="720" spans="2:24" hidden="1" x14ac:dyDescent="0.35">
      <c r="B720">
        <v>2017</v>
      </c>
      <c r="C720" s="1">
        <v>43209</v>
      </c>
      <c r="D720">
        <v>2411</v>
      </c>
      <c r="E720" t="s">
        <v>23</v>
      </c>
      <c r="F720" t="s">
        <v>32</v>
      </c>
      <c r="G720" t="s">
        <v>42</v>
      </c>
      <c r="H720">
        <v>62.62</v>
      </c>
      <c r="I720">
        <v>79.75</v>
      </c>
      <c r="J720">
        <v>0.26269999999999999</v>
      </c>
      <c r="K720">
        <v>0.46610000000000001</v>
      </c>
      <c r="L720">
        <v>0.2712</v>
      </c>
      <c r="M720">
        <v>1.0900000000000001</v>
      </c>
      <c r="N720">
        <v>1.53</v>
      </c>
      <c r="O720">
        <v>0</v>
      </c>
      <c r="P720">
        <v>5.5</v>
      </c>
      <c r="Q720">
        <v>1</v>
      </c>
      <c r="R720">
        <v>2</v>
      </c>
      <c r="S720">
        <v>0.26</v>
      </c>
      <c r="T720">
        <v>1.84</v>
      </c>
      <c r="U720">
        <v>0.61</v>
      </c>
      <c r="V720">
        <v>1.74</v>
      </c>
      <c r="W720">
        <v>1.05</v>
      </c>
      <c r="X720">
        <v>2.1</v>
      </c>
    </row>
    <row r="721" spans="2:24" hidden="1" x14ac:dyDescent="0.35">
      <c r="B721">
        <v>2017</v>
      </c>
      <c r="C721" s="1">
        <v>43211</v>
      </c>
      <c r="D721">
        <v>2411</v>
      </c>
      <c r="E721" t="s">
        <v>23</v>
      </c>
      <c r="F721" t="s">
        <v>31</v>
      </c>
      <c r="G721" t="s">
        <v>41</v>
      </c>
      <c r="H721">
        <v>52.23</v>
      </c>
      <c r="I721">
        <v>89.26</v>
      </c>
      <c r="J721">
        <v>9.5600000000000004E-2</v>
      </c>
      <c r="K721">
        <v>0.7268</v>
      </c>
      <c r="L721">
        <v>0.17760000000000001</v>
      </c>
      <c r="M721">
        <v>0.72</v>
      </c>
      <c r="N721">
        <v>2.34</v>
      </c>
      <c r="O721">
        <v>2.6</v>
      </c>
      <c r="P721">
        <v>3.1</v>
      </c>
      <c r="Q721">
        <v>2</v>
      </c>
      <c r="R721">
        <v>2</v>
      </c>
      <c r="S721">
        <v>1.33</v>
      </c>
      <c r="T721">
        <v>1.58</v>
      </c>
      <c r="U721">
        <v>1.54</v>
      </c>
      <c r="V721">
        <v>1.94</v>
      </c>
      <c r="W721">
        <v>2.1</v>
      </c>
      <c r="X721">
        <v>2.0699999999999998</v>
      </c>
    </row>
    <row r="722" spans="2:24" hidden="1" x14ac:dyDescent="0.35">
      <c r="B722">
        <v>2017</v>
      </c>
      <c r="C722" s="1">
        <v>43211</v>
      </c>
      <c r="D722">
        <v>2411</v>
      </c>
      <c r="E722" t="s">
        <v>23</v>
      </c>
      <c r="F722" t="s">
        <v>35</v>
      </c>
      <c r="G722" t="s">
        <v>30</v>
      </c>
      <c r="H722">
        <v>56.57</v>
      </c>
      <c r="I722">
        <v>62.57</v>
      </c>
      <c r="J722">
        <v>0.38579999999999998</v>
      </c>
      <c r="K722">
        <v>0.35170000000000001</v>
      </c>
      <c r="L722">
        <v>0.26250000000000001</v>
      </c>
      <c r="M722">
        <v>1.5</v>
      </c>
      <c r="N722">
        <v>1.42</v>
      </c>
      <c r="O722">
        <v>1.5</v>
      </c>
      <c r="P722">
        <v>7.3</v>
      </c>
      <c r="Q722">
        <v>0</v>
      </c>
      <c r="R722">
        <v>0</v>
      </c>
      <c r="S722">
        <v>0.62</v>
      </c>
      <c r="T722">
        <v>0.22</v>
      </c>
      <c r="U722">
        <v>0.71</v>
      </c>
      <c r="V722">
        <v>0.85</v>
      </c>
      <c r="W722">
        <v>0</v>
      </c>
      <c r="X722">
        <v>0</v>
      </c>
    </row>
    <row r="723" spans="2:24" hidden="1" x14ac:dyDescent="0.35">
      <c r="B723">
        <v>2017</v>
      </c>
      <c r="C723" s="1">
        <v>43212</v>
      </c>
      <c r="D723">
        <v>2411</v>
      </c>
      <c r="E723" t="s">
        <v>23</v>
      </c>
      <c r="F723" t="s">
        <v>27</v>
      </c>
      <c r="G723" t="s">
        <v>32</v>
      </c>
      <c r="H723">
        <v>51.89</v>
      </c>
      <c r="I723">
        <v>61.77</v>
      </c>
      <c r="J723">
        <v>0.33910000000000001</v>
      </c>
      <c r="K723">
        <v>0.35659999999999997</v>
      </c>
      <c r="L723">
        <v>0.30430000000000001</v>
      </c>
      <c r="M723">
        <v>1.1100000000000001</v>
      </c>
      <c r="N723">
        <v>1.1499999999999999</v>
      </c>
      <c r="O723">
        <v>29.4</v>
      </c>
      <c r="P723">
        <v>0</v>
      </c>
      <c r="Q723">
        <v>1</v>
      </c>
      <c r="R723">
        <v>1</v>
      </c>
      <c r="S723">
        <v>0.35</v>
      </c>
      <c r="T723">
        <v>1.38</v>
      </c>
      <c r="U723">
        <v>1.43</v>
      </c>
      <c r="V723">
        <v>1.1499999999999999</v>
      </c>
      <c r="W723">
        <v>1.05</v>
      </c>
      <c r="X723">
        <v>1.05</v>
      </c>
    </row>
    <row r="724" spans="2:24" hidden="1" x14ac:dyDescent="0.35">
      <c r="B724">
        <v>2017</v>
      </c>
      <c r="C724" s="1">
        <v>43212</v>
      </c>
      <c r="D724">
        <v>2411</v>
      </c>
      <c r="E724" t="s">
        <v>23</v>
      </c>
      <c r="F724" t="s">
        <v>40</v>
      </c>
      <c r="G724" t="s">
        <v>43</v>
      </c>
      <c r="H724">
        <v>79.849999999999994</v>
      </c>
      <c r="I724">
        <v>54.32</v>
      </c>
      <c r="J724">
        <v>0.77600000000000002</v>
      </c>
      <c r="K724">
        <v>8.5400000000000004E-2</v>
      </c>
      <c r="L724">
        <v>0.1386</v>
      </c>
      <c r="M724">
        <v>2.97</v>
      </c>
      <c r="N724">
        <v>0.93</v>
      </c>
      <c r="O724">
        <v>0</v>
      </c>
      <c r="P724">
        <v>9.6999999999999993</v>
      </c>
      <c r="Q724">
        <v>4</v>
      </c>
      <c r="R724">
        <v>1</v>
      </c>
      <c r="S724">
        <v>2.0499999999999998</v>
      </c>
      <c r="T724">
        <v>0.88</v>
      </c>
      <c r="U724">
        <v>4.45</v>
      </c>
      <c r="V724">
        <v>1.22</v>
      </c>
      <c r="W724">
        <v>3.33</v>
      </c>
      <c r="X724">
        <v>1.05</v>
      </c>
    </row>
    <row r="725" spans="2:24" hidden="1" x14ac:dyDescent="0.35">
      <c r="B725">
        <v>2017</v>
      </c>
      <c r="C725" s="1">
        <v>43212</v>
      </c>
      <c r="D725">
        <v>2411</v>
      </c>
      <c r="E725" t="s">
        <v>23</v>
      </c>
      <c r="F725" t="s">
        <v>36</v>
      </c>
      <c r="G725" t="s">
        <v>33</v>
      </c>
      <c r="H725">
        <v>90.46</v>
      </c>
      <c r="I725">
        <v>52.2</v>
      </c>
      <c r="J725">
        <v>0.89780000000000004</v>
      </c>
      <c r="K725">
        <v>1.6799999999999999E-2</v>
      </c>
      <c r="L725">
        <v>8.5400000000000004E-2</v>
      </c>
      <c r="M725">
        <v>2.92</v>
      </c>
      <c r="N725">
        <v>0.25</v>
      </c>
      <c r="O725">
        <v>0</v>
      </c>
      <c r="P725">
        <v>29.1</v>
      </c>
      <c r="Q725">
        <v>5</v>
      </c>
      <c r="R725">
        <v>0</v>
      </c>
      <c r="S725">
        <v>3.37</v>
      </c>
      <c r="T725">
        <v>0.28999999999999998</v>
      </c>
      <c r="U725">
        <v>3.04</v>
      </c>
      <c r="V725">
        <v>0.23</v>
      </c>
      <c r="W725">
        <v>4.79</v>
      </c>
      <c r="X725">
        <v>0</v>
      </c>
    </row>
    <row r="726" spans="2:24" hidden="1" x14ac:dyDescent="0.35">
      <c r="B726">
        <v>2017</v>
      </c>
      <c r="C726" s="1">
        <v>43213</v>
      </c>
      <c r="D726">
        <v>2411</v>
      </c>
      <c r="E726" t="s">
        <v>23</v>
      </c>
      <c r="F726" t="s">
        <v>28</v>
      </c>
      <c r="G726" t="s">
        <v>46</v>
      </c>
      <c r="H726">
        <v>59.86</v>
      </c>
      <c r="I726">
        <v>59.56</v>
      </c>
      <c r="J726">
        <v>0.44500000000000001</v>
      </c>
      <c r="K726">
        <v>0.27710000000000001</v>
      </c>
      <c r="L726">
        <v>0.27789999999999998</v>
      </c>
      <c r="M726">
        <v>1.46</v>
      </c>
      <c r="N726">
        <v>1.0900000000000001</v>
      </c>
      <c r="O726">
        <v>0</v>
      </c>
      <c r="P726">
        <v>0</v>
      </c>
      <c r="Q726">
        <v>1</v>
      </c>
      <c r="R726">
        <v>0</v>
      </c>
      <c r="S726">
        <v>1.04</v>
      </c>
      <c r="T726">
        <v>0.56000000000000005</v>
      </c>
      <c r="U726">
        <v>1.1299999999999999</v>
      </c>
      <c r="V726">
        <v>1.44</v>
      </c>
      <c r="W726">
        <v>1.05</v>
      </c>
      <c r="X726">
        <v>0</v>
      </c>
    </row>
    <row r="727" spans="2:24" hidden="1" x14ac:dyDescent="0.35">
      <c r="B727">
        <v>2017</v>
      </c>
      <c r="C727" s="1">
        <v>43218</v>
      </c>
      <c r="D727">
        <v>2411</v>
      </c>
      <c r="E727" t="s">
        <v>23</v>
      </c>
      <c r="F727" t="s">
        <v>41</v>
      </c>
      <c r="G727" t="s">
        <v>27</v>
      </c>
      <c r="H727">
        <v>88.84</v>
      </c>
      <c r="I727">
        <v>51.67</v>
      </c>
      <c r="J727">
        <v>0.8861</v>
      </c>
      <c r="K727">
        <v>2.46E-2</v>
      </c>
      <c r="L727">
        <v>8.9300000000000004E-2</v>
      </c>
      <c r="M727">
        <v>3.04</v>
      </c>
      <c r="N727">
        <v>0.38</v>
      </c>
      <c r="O727">
        <v>31.8</v>
      </c>
      <c r="P727">
        <v>49.7</v>
      </c>
      <c r="Q727">
        <v>0</v>
      </c>
      <c r="R727">
        <v>0</v>
      </c>
      <c r="S727">
        <v>2.25</v>
      </c>
      <c r="T727">
        <v>0.74</v>
      </c>
      <c r="U727">
        <v>2.42</v>
      </c>
      <c r="V727">
        <v>0.39</v>
      </c>
      <c r="W727">
        <v>0</v>
      </c>
      <c r="X727">
        <v>0</v>
      </c>
    </row>
    <row r="728" spans="2:24" hidden="1" x14ac:dyDescent="0.35">
      <c r="B728">
        <v>2017</v>
      </c>
      <c r="C728" s="1">
        <v>43218</v>
      </c>
      <c r="D728">
        <v>2411</v>
      </c>
      <c r="E728" t="s">
        <v>23</v>
      </c>
      <c r="F728" t="s">
        <v>46</v>
      </c>
      <c r="G728" t="s">
        <v>31</v>
      </c>
      <c r="H728">
        <v>59.33</v>
      </c>
      <c r="I728">
        <v>54.47</v>
      </c>
      <c r="J728">
        <v>0.48699999999999999</v>
      </c>
      <c r="K728">
        <v>0.22470000000000001</v>
      </c>
      <c r="L728">
        <v>0.2883</v>
      </c>
      <c r="M728">
        <v>1.41</v>
      </c>
      <c r="N728">
        <v>0.87</v>
      </c>
      <c r="O728">
        <v>0</v>
      </c>
      <c r="P728">
        <v>0.3</v>
      </c>
      <c r="Q728">
        <v>0</v>
      </c>
      <c r="R728">
        <v>1</v>
      </c>
      <c r="S728">
        <v>1.91</v>
      </c>
      <c r="T728">
        <v>0.69</v>
      </c>
      <c r="U728">
        <v>2.56</v>
      </c>
      <c r="V728">
        <v>0.93</v>
      </c>
      <c r="W728">
        <v>0</v>
      </c>
      <c r="X728">
        <v>1.05</v>
      </c>
    </row>
    <row r="729" spans="2:24" hidden="1" x14ac:dyDescent="0.35">
      <c r="B729">
        <v>2017</v>
      </c>
      <c r="C729" s="1">
        <v>43218</v>
      </c>
      <c r="D729">
        <v>2411</v>
      </c>
      <c r="E729" t="s">
        <v>23</v>
      </c>
      <c r="F729" t="s">
        <v>34</v>
      </c>
      <c r="G729" t="s">
        <v>38</v>
      </c>
      <c r="H729">
        <v>58.58</v>
      </c>
      <c r="I729">
        <v>56.3</v>
      </c>
      <c r="J729">
        <v>0.47199999999999998</v>
      </c>
      <c r="K729">
        <v>0.2732</v>
      </c>
      <c r="L729">
        <v>0.25480000000000003</v>
      </c>
      <c r="M729">
        <v>1.7</v>
      </c>
      <c r="N729">
        <v>1.23</v>
      </c>
      <c r="O729">
        <v>73</v>
      </c>
      <c r="P729">
        <v>0</v>
      </c>
      <c r="Q729">
        <v>2</v>
      </c>
      <c r="R729">
        <v>1</v>
      </c>
      <c r="S729">
        <v>1.69</v>
      </c>
      <c r="T729">
        <v>0.98</v>
      </c>
      <c r="U729">
        <v>0.97</v>
      </c>
      <c r="V729">
        <v>1.8</v>
      </c>
      <c r="W729">
        <v>2.1</v>
      </c>
      <c r="X729">
        <v>1.05</v>
      </c>
    </row>
    <row r="730" spans="2:24" hidden="1" x14ac:dyDescent="0.35">
      <c r="B730">
        <v>2017</v>
      </c>
      <c r="C730" s="1">
        <v>43218</v>
      </c>
      <c r="D730">
        <v>2411</v>
      </c>
      <c r="E730" t="s">
        <v>23</v>
      </c>
      <c r="F730" t="s">
        <v>30</v>
      </c>
      <c r="G730" t="s">
        <v>25</v>
      </c>
      <c r="H730">
        <v>62.7</v>
      </c>
      <c r="I730">
        <v>65.47</v>
      </c>
      <c r="J730">
        <v>0.41389999999999999</v>
      </c>
      <c r="K730">
        <v>0.31280000000000002</v>
      </c>
      <c r="L730">
        <v>0.27329999999999999</v>
      </c>
      <c r="M730">
        <v>1.46</v>
      </c>
      <c r="N730">
        <v>1.23</v>
      </c>
      <c r="O730">
        <v>4.7</v>
      </c>
      <c r="P730">
        <v>0</v>
      </c>
      <c r="Q730">
        <v>5</v>
      </c>
      <c r="R730">
        <v>0</v>
      </c>
      <c r="S730">
        <v>2.34</v>
      </c>
      <c r="T730">
        <v>0.95</v>
      </c>
      <c r="U730">
        <v>1.72</v>
      </c>
      <c r="V730">
        <v>0.89</v>
      </c>
      <c r="W730">
        <v>3.69</v>
      </c>
      <c r="X730">
        <v>0</v>
      </c>
    </row>
    <row r="731" spans="2:24" hidden="1" x14ac:dyDescent="0.35">
      <c r="B731">
        <v>2017</v>
      </c>
      <c r="C731" s="1">
        <v>43218</v>
      </c>
      <c r="D731">
        <v>2411</v>
      </c>
      <c r="E731" t="s">
        <v>23</v>
      </c>
      <c r="F731" t="s">
        <v>32</v>
      </c>
      <c r="G731" t="s">
        <v>45</v>
      </c>
      <c r="H731">
        <v>61.98</v>
      </c>
      <c r="I731">
        <v>53.95</v>
      </c>
      <c r="J731">
        <v>0.51800000000000002</v>
      </c>
      <c r="K731">
        <v>0.19489999999999999</v>
      </c>
      <c r="L731">
        <v>0.28710000000000002</v>
      </c>
      <c r="M731">
        <v>1.43</v>
      </c>
      <c r="N731">
        <v>0.76</v>
      </c>
      <c r="O731">
        <v>0</v>
      </c>
      <c r="P731">
        <v>6.5</v>
      </c>
      <c r="Q731">
        <v>0</v>
      </c>
      <c r="R731">
        <v>0</v>
      </c>
      <c r="S731">
        <v>1.58</v>
      </c>
      <c r="T731">
        <v>0.36</v>
      </c>
      <c r="U731">
        <v>1.28</v>
      </c>
      <c r="V731">
        <v>0.7</v>
      </c>
      <c r="W731">
        <v>0</v>
      </c>
      <c r="X731">
        <v>0</v>
      </c>
    </row>
    <row r="732" spans="2:24" hidden="1" x14ac:dyDescent="0.35">
      <c r="B732">
        <v>2017</v>
      </c>
      <c r="C732" s="1">
        <v>43218</v>
      </c>
      <c r="D732">
        <v>2411</v>
      </c>
      <c r="E732" t="s">
        <v>23</v>
      </c>
      <c r="F732" t="s">
        <v>44</v>
      </c>
      <c r="G732" t="s">
        <v>28</v>
      </c>
      <c r="H732">
        <v>48.33</v>
      </c>
      <c r="I732">
        <v>60.07</v>
      </c>
      <c r="J732">
        <v>0.32090000000000002</v>
      </c>
      <c r="K732">
        <v>0.37559999999999999</v>
      </c>
      <c r="L732">
        <v>0.30349999999999999</v>
      </c>
      <c r="M732">
        <v>1.07</v>
      </c>
      <c r="N732">
        <v>1.19</v>
      </c>
      <c r="O732">
        <v>43.4</v>
      </c>
      <c r="P732">
        <v>0</v>
      </c>
      <c r="Q732">
        <v>0</v>
      </c>
      <c r="R732">
        <v>2</v>
      </c>
      <c r="S732">
        <v>0.45</v>
      </c>
      <c r="T732">
        <v>0.98</v>
      </c>
      <c r="U732">
        <v>0.9</v>
      </c>
      <c r="V732">
        <v>1.01</v>
      </c>
      <c r="W732">
        <v>0</v>
      </c>
      <c r="X732">
        <v>1.92</v>
      </c>
    </row>
    <row r="733" spans="2:24" hidden="1" x14ac:dyDescent="0.35">
      <c r="B733">
        <v>2017</v>
      </c>
      <c r="C733" s="1">
        <v>43218</v>
      </c>
      <c r="D733">
        <v>2411</v>
      </c>
      <c r="E733" t="s">
        <v>23</v>
      </c>
      <c r="F733" t="s">
        <v>33</v>
      </c>
      <c r="G733" t="s">
        <v>42</v>
      </c>
      <c r="H733">
        <v>50.95</v>
      </c>
      <c r="I733">
        <v>80.41</v>
      </c>
      <c r="J733">
        <v>0.16550000000000001</v>
      </c>
      <c r="K733">
        <v>0.60499999999999998</v>
      </c>
      <c r="L733">
        <v>0.22950000000000001</v>
      </c>
      <c r="M733">
        <v>0.9</v>
      </c>
      <c r="N733">
        <v>1.94</v>
      </c>
      <c r="O733">
        <v>37.4</v>
      </c>
      <c r="P733">
        <v>9.9</v>
      </c>
      <c r="Q733">
        <v>0</v>
      </c>
      <c r="R733">
        <v>1</v>
      </c>
      <c r="S733">
        <v>0.66</v>
      </c>
      <c r="T733">
        <v>1.48</v>
      </c>
      <c r="U733">
        <v>0.89</v>
      </c>
      <c r="V733">
        <v>2.4</v>
      </c>
      <c r="W733">
        <v>0</v>
      </c>
      <c r="X733">
        <v>1.05</v>
      </c>
    </row>
    <row r="734" spans="2:24" hidden="1" x14ac:dyDescent="0.35">
      <c r="B734">
        <v>2017</v>
      </c>
      <c r="C734" s="1">
        <v>43219</v>
      </c>
      <c r="D734">
        <v>2411</v>
      </c>
      <c r="E734" t="s">
        <v>23</v>
      </c>
      <c r="F734" t="s">
        <v>43</v>
      </c>
      <c r="G734" t="s">
        <v>36</v>
      </c>
      <c r="H734">
        <v>53.92</v>
      </c>
      <c r="I734">
        <v>91.08</v>
      </c>
      <c r="J734">
        <v>8.2199999999999995E-2</v>
      </c>
      <c r="K734">
        <v>0.77929999999999999</v>
      </c>
      <c r="L734">
        <v>0.1384</v>
      </c>
      <c r="M734">
        <v>0.89</v>
      </c>
      <c r="N734">
        <v>2.93</v>
      </c>
      <c r="O734">
        <v>8.6</v>
      </c>
      <c r="P734">
        <v>0</v>
      </c>
      <c r="Q734">
        <v>1</v>
      </c>
      <c r="R734">
        <v>4</v>
      </c>
      <c r="S734">
        <v>0.3</v>
      </c>
      <c r="T734">
        <v>2.16</v>
      </c>
      <c r="U734">
        <v>0.63</v>
      </c>
      <c r="V734">
        <v>3.29</v>
      </c>
      <c r="W734">
        <v>1.05</v>
      </c>
      <c r="X734">
        <v>4.2</v>
      </c>
    </row>
    <row r="735" spans="2:24" hidden="1" x14ac:dyDescent="0.35">
      <c r="B735">
        <v>2017</v>
      </c>
      <c r="C735" s="1">
        <v>43219</v>
      </c>
      <c r="D735">
        <v>2411</v>
      </c>
      <c r="E735" t="s">
        <v>23</v>
      </c>
      <c r="F735" t="s">
        <v>39</v>
      </c>
      <c r="G735" t="s">
        <v>40</v>
      </c>
      <c r="H735">
        <v>78.86</v>
      </c>
      <c r="I735">
        <v>81.180000000000007</v>
      </c>
      <c r="J735">
        <v>0.43709999999999999</v>
      </c>
      <c r="K735">
        <v>0.32790000000000002</v>
      </c>
      <c r="L735">
        <v>0.23499999999999999</v>
      </c>
      <c r="M735">
        <v>1.89</v>
      </c>
      <c r="N735">
        <v>1.62</v>
      </c>
      <c r="O735">
        <v>0.3</v>
      </c>
      <c r="P735">
        <v>0</v>
      </c>
      <c r="Q735">
        <v>2</v>
      </c>
      <c r="R735">
        <v>1</v>
      </c>
      <c r="S735">
        <v>1.84</v>
      </c>
      <c r="T735">
        <v>0.66</v>
      </c>
      <c r="U735">
        <v>2.02</v>
      </c>
      <c r="V735">
        <v>0.9</v>
      </c>
      <c r="W735">
        <v>2.1</v>
      </c>
      <c r="X735">
        <v>1.05</v>
      </c>
    </row>
    <row r="736" spans="2:24" hidden="1" x14ac:dyDescent="0.35">
      <c r="B736">
        <v>2017</v>
      </c>
      <c r="C736" s="1">
        <v>43220</v>
      </c>
      <c r="D736">
        <v>2411</v>
      </c>
      <c r="E736" t="s">
        <v>23</v>
      </c>
      <c r="F736" t="s">
        <v>29</v>
      </c>
      <c r="G736" t="s">
        <v>35</v>
      </c>
      <c r="H736">
        <v>85.49</v>
      </c>
      <c r="I736">
        <v>56.39</v>
      </c>
      <c r="J736">
        <v>0.81710000000000005</v>
      </c>
      <c r="K736">
        <v>4.6699999999999998E-2</v>
      </c>
      <c r="L736">
        <v>0.1361</v>
      </c>
      <c r="M736">
        <v>2.54</v>
      </c>
      <c r="N736">
        <v>0.45</v>
      </c>
      <c r="O736">
        <v>21.4</v>
      </c>
      <c r="P736">
        <v>0</v>
      </c>
      <c r="Q736">
        <v>2</v>
      </c>
      <c r="R736">
        <v>0</v>
      </c>
      <c r="S736">
        <v>1.81</v>
      </c>
      <c r="T736">
        <v>1.78</v>
      </c>
      <c r="U736">
        <v>1.74</v>
      </c>
      <c r="V736">
        <v>0.91</v>
      </c>
      <c r="W736">
        <v>2.1</v>
      </c>
      <c r="X736">
        <v>0</v>
      </c>
    </row>
    <row r="737" spans="2:24" hidden="1" x14ac:dyDescent="0.35">
      <c r="B737">
        <v>2017</v>
      </c>
      <c r="C737" s="1">
        <v>43224</v>
      </c>
      <c r="D737">
        <v>2411</v>
      </c>
      <c r="E737" t="s">
        <v>23</v>
      </c>
      <c r="F737" t="s">
        <v>45</v>
      </c>
      <c r="G737" t="s">
        <v>39</v>
      </c>
      <c r="H737">
        <v>54.11</v>
      </c>
      <c r="I737">
        <v>79.39</v>
      </c>
      <c r="J737">
        <v>0.1951</v>
      </c>
      <c r="K737">
        <v>0.55330000000000001</v>
      </c>
      <c r="L737">
        <v>0.25159999999999999</v>
      </c>
      <c r="M737">
        <v>0.93</v>
      </c>
      <c r="N737">
        <v>1.74</v>
      </c>
      <c r="O737">
        <v>0.6</v>
      </c>
      <c r="P737">
        <v>0</v>
      </c>
      <c r="Q737">
        <v>1</v>
      </c>
      <c r="R737">
        <v>0</v>
      </c>
      <c r="S737">
        <v>0.88</v>
      </c>
      <c r="T737">
        <v>0.75</v>
      </c>
      <c r="U737">
        <v>0.56000000000000005</v>
      </c>
      <c r="V737">
        <v>1.63</v>
      </c>
      <c r="W737">
        <v>1.05</v>
      </c>
      <c r="X737">
        <v>0</v>
      </c>
    </row>
    <row r="738" spans="2:24" hidden="1" x14ac:dyDescent="0.35">
      <c r="B738">
        <v>2017</v>
      </c>
      <c r="C738" s="1">
        <v>43225</v>
      </c>
      <c r="D738">
        <v>2411</v>
      </c>
      <c r="E738" t="s">
        <v>23</v>
      </c>
      <c r="F738" t="s">
        <v>27</v>
      </c>
      <c r="G738" t="s">
        <v>30</v>
      </c>
      <c r="H738">
        <v>52.52</v>
      </c>
      <c r="I738">
        <v>65.5</v>
      </c>
      <c r="J738">
        <v>0.3145</v>
      </c>
      <c r="K738">
        <v>0.40949999999999998</v>
      </c>
      <c r="L738">
        <v>0.27610000000000001</v>
      </c>
      <c r="M738">
        <v>1.22</v>
      </c>
      <c r="N738">
        <v>1.43</v>
      </c>
      <c r="O738">
        <v>42.4</v>
      </c>
      <c r="P738">
        <v>0</v>
      </c>
      <c r="Q738">
        <v>1</v>
      </c>
      <c r="R738">
        <v>2</v>
      </c>
      <c r="S738">
        <v>0.72</v>
      </c>
      <c r="T738">
        <v>1.33</v>
      </c>
      <c r="U738">
        <v>1.42</v>
      </c>
      <c r="V738">
        <v>1.34</v>
      </c>
      <c r="W738">
        <v>1.05</v>
      </c>
      <c r="X738">
        <v>2.1</v>
      </c>
    </row>
    <row r="739" spans="2:24" hidden="1" x14ac:dyDescent="0.35">
      <c r="B739">
        <v>2017</v>
      </c>
      <c r="C739" s="1">
        <v>43225</v>
      </c>
      <c r="D739">
        <v>2411</v>
      </c>
      <c r="E739" t="s">
        <v>23</v>
      </c>
      <c r="F739" t="s">
        <v>25</v>
      </c>
      <c r="G739" t="s">
        <v>43</v>
      </c>
      <c r="H739">
        <v>62.77</v>
      </c>
      <c r="I739">
        <v>53.38</v>
      </c>
      <c r="J739">
        <v>0.54759999999999998</v>
      </c>
      <c r="K739">
        <v>0.21129999999999999</v>
      </c>
      <c r="L739">
        <v>0.2412</v>
      </c>
      <c r="M739">
        <v>1.86</v>
      </c>
      <c r="N739">
        <v>1.07</v>
      </c>
      <c r="O739">
        <v>0</v>
      </c>
      <c r="P739">
        <v>7.9</v>
      </c>
      <c r="Q739">
        <v>0</v>
      </c>
      <c r="R739">
        <v>2</v>
      </c>
      <c r="S739">
        <v>0.45</v>
      </c>
      <c r="T739">
        <v>1.31</v>
      </c>
      <c r="U739">
        <v>0.54</v>
      </c>
      <c r="V739">
        <v>1.56</v>
      </c>
      <c r="W739">
        <v>0</v>
      </c>
      <c r="X739">
        <v>2.1</v>
      </c>
    </row>
    <row r="740" spans="2:24" hidden="1" x14ac:dyDescent="0.35">
      <c r="B740">
        <v>2017</v>
      </c>
      <c r="C740" s="1">
        <v>43225</v>
      </c>
      <c r="D740">
        <v>2411</v>
      </c>
      <c r="E740" t="s">
        <v>23</v>
      </c>
      <c r="F740" t="s">
        <v>35</v>
      </c>
      <c r="G740" t="s">
        <v>46</v>
      </c>
      <c r="H740">
        <v>56.99</v>
      </c>
      <c r="I740">
        <v>58.9</v>
      </c>
      <c r="J740">
        <v>0.41930000000000001</v>
      </c>
      <c r="K740">
        <v>0.2878</v>
      </c>
      <c r="L740">
        <v>0.29289999999999999</v>
      </c>
      <c r="M740">
        <v>1.32</v>
      </c>
      <c r="N740">
        <v>1.04</v>
      </c>
      <c r="O740">
        <v>0</v>
      </c>
      <c r="P740">
        <v>0</v>
      </c>
      <c r="Q740">
        <v>2</v>
      </c>
      <c r="R740">
        <v>1</v>
      </c>
      <c r="S740">
        <v>3.45</v>
      </c>
      <c r="T740">
        <v>0.8</v>
      </c>
      <c r="U740">
        <v>0.61</v>
      </c>
      <c r="V740">
        <v>1.44</v>
      </c>
      <c r="W740">
        <v>2.1</v>
      </c>
      <c r="X740">
        <v>1.05</v>
      </c>
    </row>
    <row r="741" spans="2:24" hidden="1" x14ac:dyDescent="0.35">
      <c r="B741">
        <v>2017</v>
      </c>
      <c r="C741" s="1">
        <v>43225</v>
      </c>
      <c r="D741">
        <v>2411</v>
      </c>
      <c r="E741" t="s">
        <v>23</v>
      </c>
      <c r="F741" t="s">
        <v>38</v>
      </c>
      <c r="G741" t="s">
        <v>33</v>
      </c>
      <c r="H741">
        <v>56.28</v>
      </c>
      <c r="I741">
        <v>50.48</v>
      </c>
      <c r="J741">
        <v>0.50639999999999996</v>
      </c>
      <c r="K741">
        <v>0.23100000000000001</v>
      </c>
      <c r="L741">
        <v>0.2626</v>
      </c>
      <c r="M741">
        <v>1.63</v>
      </c>
      <c r="N741">
        <v>1.02</v>
      </c>
      <c r="O741">
        <v>0.1</v>
      </c>
      <c r="P741">
        <v>53.1</v>
      </c>
      <c r="Q741">
        <v>1</v>
      </c>
      <c r="R741">
        <v>0</v>
      </c>
      <c r="S741">
        <v>1.61</v>
      </c>
      <c r="T741">
        <v>1.23</v>
      </c>
      <c r="U741">
        <v>1.32</v>
      </c>
      <c r="V741">
        <v>1.89</v>
      </c>
      <c r="W741">
        <v>1.05</v>
      </c>
      <c r="X741">
        <v>0</v>
      </c>
    </row>
    <row r="742" spans="2:24" hidden="1" x14ac:dyDescent="0.35">
      <c r="B742">
        <v>2017</v>
      </c>
      <c r="C742" s="1">
        <v>43225</v>
      </c>
      <c r="D742">
        <v>2411</v>
      </c>
      <c r="E742" t="s">
        <v>23</v>
      </c>
      <c r="F742" t="s">
        <v>31</v>
      </c>
      <c r="G742" t="s">
        <v>29</v>
      </c>
      <c r="H742">
        <v>54.9</v>
      </c>
      <c r="I742">
        <v>85.09</v>
      </c>
      <c r="J742">
        <v>0.14710000000000001</v>
      </c>
      <c r="K742">
        <v>0.63360000000000005</v>
      </c>
      <c r="L742">
        <v>0.21929999999999999</v>
      </c>
      <c r="M742">
        <v>0.85</v>
      </c>
      <c r="N742">
        <v>2.0099999999999998</v>
      </c>
      <c r="O742">
        <v>1.5</v>
      </c>
      <c r="P742">
        <v>6.5</v>
      </c>
      <c r="Q742">
        <v>1</v>
      </c>
      <c r="R742">
        <v>0</v>
      </c>
      <c r="S742">
        <v>0.96</v>
      </c>
      <c r="T742">
        <v>1.1599999999999999</v>
      </c>
      <c r="U742">
        <v>1</v>
      </c>
      <c r="V742">
        <v>2.6</v>
      </c>
      <c r="W742">
        <v>1.05</v>
      </c>
      <c r="X742">
        <v>0</v>
      </c>
    </row>
    <row r="743" spans="2:24" hidden="1" x14ac:dyDescent="0.35">
      <c r="B743">
        <v>2017</v>
      </c>
      <c r="C743" s="1">
        <v>43225</v>
      </c>
      <c r="D743">
        <v>2411</v>
      </c>
      <c r="E743" t="s">
        <v>23</v>
      </c>
      <c r="F743" t="s">
        <v>28</v>
      </c>
      <c r="G743" t="s">
        <v>34</v>
      </c>
      <c r="H743">
        <v>61.47</v>
      </c>
      <c r="I743">
        <v>58.6</v>
      </c>
      <c r="J743">
        <v>0.47320000000000001</v>
      </c>
      <c r="K743">
        <v>0.25519999999999998</v>
      </c>
      <c r="L743">
        <v>0.2717</v>
      </c>
      <c r="M743">
        <v>1.54</v>
      </c>
      <c r="N743">
        <v>1.06</v>
      </c>
      <c r="O743">
        <v>0</v>
      </c>
      <c r="P743">
        <v>91.7</v>
      </c>
      <c r="Q743">
        <v>1</v>
      </c>
      <c r="R743">
        <v>1</v>
      </c>
      <c r="S743">
        <v>0.47</v>
      </c>
      <c r="T743">
        <v>0.62</v>
      </c>
      <c r="U743">
        <v>1.35</v>
      </c>
      <c r="V743">
        <v>0.55000000000000004</v>
      </c>
      <c r="W743">
        <v>0.84</v>
      </c>
      <c r="X743">
        <v>1.05</v>
      </c>
    </row>
    <row r="744" spans="2:24" hidden="1" x14ac:dyDescent="0.35">
      <c r="B744">
        <v>2017</v>
      </c>
      <c r="C744" s="1">
        <v>43226</v>
      </c>
      <c r="D744">
        <v>2411</v>
      </c>
      <c r="E744" t="s">
        <v>23</v>
      </c>
      <c r="F744" t="s">
        <v>36</v>
      </c>
      <c r="G744" t="s">
        <v>44</v>
      </c>
      <c r="H744">
        <v>91.33</v>
      </c>
      <c r="I744">
        <v>46.98</v>
      </c>
      <c r="J744">
        <v>0.91510000000000002</v>
      </c>
      <c r="K744">
        <v>1.1599999999999999E-2</v>
      </c>
      <c r="L744">
        <v>7.3300000000000004E-2</v>
      </c>
      <c r="M744">
        <v>3.02</v>
      </c>
      <c r="N744">
        <v>0.2</v>
      </c>
      <c r="O744">
        <v>0</v>
      </c>
      <c r="P744">
        <v>34.299999999999997</v>
      </c>
      <c r="Q744">
        <v>0</v>
      </c>
      <c r="R744">
        <v>0</v>
      </c>
      <c r="S744">
        <v>0.92</v>
      </c>
      <c r="T744">
        <v>0.55000000000000004</v>
      </c>
      <c r="U744">
        <v>1.85</v>
      </c>
      <c r="V744">
        <v>0.47</v>
      </c>
      <c r="W744">
        <v>0</v>
      </c>
      <c r="X744">
        <v>0</v>
      </c>
    </row>
    <row r="745" spans="2:24" hidden="1" x14ac:dyDescent="0.35">
      <c r="B745">
        <v>2017</v>
      </c>
      <c r="C745" s="1">
        <v>43226</v>
      </c>
      <c r="D745">
        <v>2411</v>
      </c>
      <c r="E745" t="s">
        <v>23</v>
      </c>
      <c r="F745" t="s">
        <v>40</v>
      </c>
      <c r="G745" t="s">
        <v>32</v>
      </c>
      <c r="H745">
        <v>80.319999999999993</v>
      </c>
      <c r="I745">
        <v>61.81</v>
      </c>
      <c r="J745">
        <v>0.65310000000000001</v>
      </c>
      <c r="K745">
        <v>0.1386</v>
      </c>
      <c r="L745">
        <v>0.2084</v>
      </c>
      <c r="M745">
        <v>2.12</v>
      </c>
      <c r="N745">
        <v>0.86</v>
      </c>
      <c r="O745">
        <v>0</v>
      </c>
      <c r="P745">
        <v>0</v>
      </c>
      <c r="Q745">
        <v>5</v>
      </c>
      <c r="R745">
        <v>0</v>
      </c>
      <c r="S745">
        <v>2.54</v>
      </c>
      <c r="T745">
        <v>0.22</v>
      </c>
      <c r="U745">
        <v>2.96</v>
      </c>
      <c r="V745">
        <v>1.1100000000000001</v>
      </c>
      <c r="W745">
        <v>5.14</v>
      </c>
      <c r="X745">
        <v>0</v>
      </c>
    </row>
    <row r="746" spans="2:24" hidden="1" x14ac:dyDescent="0.35">
      <c r="B746">
        <v>2017</v>
      </c>
      <c r="C746" s="1">
        <v>43226</v>
      </c>
      <c r="D746">
        <v>2411</v>
      </c>
      <c r="E746" t="s">
        <v>23</v>
      </c>
      <c r="F746" t="s">
        <v>42</v>
      </c>
      <c r="G746" t="s">
        <v>41</v>
      </c>
      <c r="H746">
        <v>80.7</v>
      </c>
      <c r="I746">
        <v>87.61</v>
      </c>
      <c r="J746">
        <v>0.34839999999999999</v>
      </c>
      <c r="K746">
        <v>0.40400000000000003</v>
      </c>
      <c r="L746">
        <v>0.24759999999999999</v>
      </c>
      <c r="M746">
        <v>1.55</v>
      </c>
      <c r="N746">
        <v>1.68</v>
      </c>
      <c r="O746">
        <v>44.2</v>
      </c>
      <c r="P746">
        <v>24.6</v>
      </c>
      <c r="Q746">
        <v>1</v>
      </c>
      <c r="R746">
        <v>0</v>
      </c>
      <c r="S746">
        <v>0.66</v>
      </c>
      <c r="T746">
        <v>0.61</v>
      </c>
      <c r="U746">
        <v>2.02</v>
      </c>
      <c r="V746">
        <v>1.97</v>
      </c>
      <c r="W746">
        <v>1.05</v>
      </c>
      <c r="X746">
        <v>0</v>
      </c>
    </row>
    <row r="747" spans="2:24" hidden="1" x14ac:dyDescent="0.35">
      <c r="B747">
        <v>2017</v>
      </c>
      <c r="C747" s="1">
        <v>43228</v>
      </c>
      <c r="D747">
        <v>2411</v>
      </c>
      <c r="E747" t="s">
        <v>23</v>
      </c>
      <c r="F747" t="s">
        <v>33</v>
      </c>
      <c r="G747" t="s">
        <v>34</v>
      </c>
      <c r="H747">
        <v>50.63</v>
      </c>
      <c r="I747">
        <v>58.99</v>
      </c>
      <c r="J747">
        <v>0.35339999999999999</v>
      </c>
      <c r="K747">
        <v>0.34200000000000003</v>
      </c>
      <c r="L747">
        <v>0.30459999999999998</v>
      </c>
      <c r="M747">
        <v>1.1399999999999999</v>
      </c>
      <c r="N747">
        <v>1.1200000000000001</v>
      </c>
      <c r="O747">
        <v>100</v>
      </c>
      <c r="P747">
        <v>100</v>
      </c>
      <c r="Q747">
        <v>0</v>
      </c>
      <c r="R747">
        <v>1</v>
      </c>
      <c r="S747">
        <v>0.45</v>
      </c>
      <c r="T747">
        <v>1.9</v>
      </c>
      <c r="U747">
        <v>0.99</v>
      </c>
      <c r="V747">
        <v>1.65</v>
      </c>
      <c r="W747">
        <v>0</v>
      </c>
      <c r="X747">
        <v>1.05</v>
      </c>
    </row>
    <row r="748" spans="2:24" hidden="1" x14ac:dyDescent="0.35">
      <c r="B748">
        <v>2017</v>
      </c>
      <c r="C748" s="1">
        <v>43229</v>
      </c>
      <c r="D748">
        <v>2411</v>
      </c>
      <c r="E748" t="s">
        <v>23</v>
      </c>
      <c r="F748" t="s">
        <v>25</v>
      </c>
      <c r="G748" t="s">
        <v>40</v>
      </c>
      <c r="H748">
        <v>60.43</v>
      </c>
      <c r="I748">
        <v>82.09</v>
      </c>
      <c r="J748">
        <v>0.2225</v>
      </c>
      <c r="K748">
        <v>0.55989999999999995</v>
      </c>
      <c r="L748">
        <v>0.21759999999999999</v>
      </c>
      <c r="M748">
        <v>1.32</v>
      </c>
      <c r="N748">
        <v>2.1800000000000002</v>
      </c>
      <c r="O748">
        <v>0</v>
      </c>
      <c r="P748">
        <v>0</v>
      </c>
      <c r="Q748">
        <v>3</v>
      </c>
      <c r="R748">
        <v>1</v>
      </c>
      <c r="S748">
        <v>2.2400000000000002</v>
      </c>
      <c r="T748">
        <v>1.82</v>
      </c>
      <c r="U748">
        <v>1.61</v>
      </c>
      <c r="V748">
        <v>2.2799999999999998</v>
      </c>
      <c r="W748">
        <v>2.33</v>
      </c>
      <c r="X748">
        <v>1.05</v>
      </c>
    </row>
    <row r="749" spans="2:24" hidden="1" x14ac:dyDescent="0.35">
      <c r="B749">
        <v>2017</v>
      </c>
      <c r="C749" s="1">
        <v>43229</v>
      </c>
      <c r="D749">
        <v>2411</v>
      </c>
      <c r="E749" t="s">
        <v>23</v>
      </c>
      <c r="F749" t="s">
        <v>42</v>
      </c>
      <c r="G749" t="s">
        <v>44</v>
      </c>
      <c r="H749">
        <v>80.98</v>
      </c>
      <c r="I749">
        <v>48.54</v>
      </c>
      <c r="J749">
        <v>0.81710000000000005</v>
      </c>
      <c r="K749">
        <v>3.2599999999999997E-2</v>
      </c>
      <c r="L749">
        <v>0.15029999999999999</v>
      </c>
      <c r="M749">
        <v>2.2200000000000002</v>
      </c>
      <c r="N749">
        <v>0.26</v>
      </c>
      <c r="O749">
        <v>49.3</v>
      </c>
      <c r="P749">
        <v>54.2</v>
      </c>
      <c r="Q749">
        <v>1</v>
      </c>
      <c r="R749">
        <v>1</v>
      </c>
      <c r="S749">
        <v>2.4</v>
      </c>
      <c r="T749">
        <v>0.78</v>
      </c>
      <c r="U749">
        <v>6.1</v>
      </c>
      <c r="V749">
        <v>0.22</v>
      </c>
      <c r="W749">
        <v>1.05</v>
      </c>
      <c r="X749">
        <v>1.05</v>
      </c>
    </row>
    <row r="750" spans="2:24" hidden="1" x14ac:dyDescent="0.35">
      <c r="B750">
        <v>2017</v>
      </c>
      <c r="C750" s="1">
        <v>43229</v>
      </c>
      <c r="D750">
        <v>2411</v>
      </c>
      <c r="E750" t="s">
        <v>23</v>
      </c>
      <c r="F750" t="s">
        <v>29</v>
      </c>
      <c r="G750" t="s">
        <v>46</v>
      </c>
      <c r="H750">
        <v>84.32</v>
      </c>
      <c r="I750">
        <v>58.06</v>
      </c>
      <c r="J750">
        <v>0.78639999999999999</v>
      </c>
      <c r="K750">
        <v>5.5199999999999999E-2</v>
      </c>
      <c r="L750">
        <v>0.15840000000000001</v>
      </c>
      <c r="M750">
        <v>2.3199999999999998</v>
      </c>
      <c r="N750">
        <v>0.45</v>
      </c>
      <c r="O750">
        <v>44.8</v>
      </c>
      <c r="P750">
        <v>0</v>
      </c>
      <c r="Q750">
        <v>1</v>
      </c>
      <c r="R750">
        <v>0</v>
      </c>
      <c r="S750">
        <v>0.83</v>
      </c>
      <c r="T750">
        <v>0.81</v>
      </c>
      <c r="U750">
        <v>1.78</v>
      </c>
      <c r="V750">
        <v>1.53</v>
      </c>
      <c r="W750">
        <v>1.05</v>
      </c>
      <c r="X750">
        <v>0</v>
      </c>
    </row>
    <row r="751" spans="2:24" hidden="1" x14ac:dyDescent="0.35">
      <c r="B751">
        <v>2017</v>
      </c>
      <c r="C751" s="1">
        <v>43229</v>
      </c>
      <c r="D751">
        <v>2411</v>
      </c>
      <c r="E751" t="s">
        <v>23</v>
      </c>
      <c r="F751" t="s">
        <v>36</v>
      </c>
      <c r="G751" t="s">
        <v>45</v>
      </c>
      <c r="H751">
        <v>90.49</v>
      </c>
      <c r="I751">
        <v>55.03</v>
      </c>
      <c r="J751">
        <v>0.88219999999999998</v>
      </c>
      <c r="K751">
        <v>2.0799999999999999E-2</v>
      </c>
      <c r="L751">
        <v>9.7000000000000003E-2</v>
      </c>
      <c r="M751">
        <v>2.79</v>
      </c>
      <c r="N751">
        <v>0.28000000000000003</v>
      </c>
      <c r="O751">
        <v>0</v>
      </c>
      <c r="P751">
        <v>0</v>
      </c>
      <c r="Q751">
        <v>3</v>
      </c>
      <c r="R751">
        <v>1</v>
      </c>
      <c r="S751">
        <v>1.6</v>
      </c>
      <c r="T751">
        <v>1.18</v>
      </c>
      <c r="U751">
        <v>2.67</v>
      </c>
      <c r="V751">
        <v>0.28999999999999998</v>
      </c>
      <c r="W751">
        <v>3.11</v>
      </c>
      <c r="X751">
        <v>1.05</v>
      </c>
    </row>
    <row r="752" spans="2:24" hidden="1" x14ac:dyDescent="0.35">
      <c r="B752">
        <v>2017</v>
      </c>
      <c r="C752" s="1">
        <v>43230</v>
      </c>
      <c r="D752">
        <v>2411</v>
      </c>
      <c r="E752" t="s">
        <v>23</v>
      </c>
      <c r="F752" t="s">
        <v>43</v>
      </c>
      <c r="G752" t="s">
        <v>39</v>
      </c>
      <c r="H752">
        <v>55.85</v>
      </c>
      <c r="I752">
        <v>78.61</v>
      </c>
      <c r="J752">
        <v>0.21340000000000001</v>
      </c>
      <c r="K752">
        <v>0.55069999999999997</v>
      </c>
      <c r="L752">
        <v>0.23580000000000001</v>
      </c>
      <c r="M752">
        <v>1.1100000000000001</v>
      </c>
      <c r="N752">
        <v>1.92</v>
      </c>
      <c r="O752">
        <v>0</v>
      </c>
      <c r="P752">
        <v>0</v>
      </c>
      <c r="Q752">
        <v>0</v>
      </c>
      <c r="R752">
        <v>0</v>
      </c>
      <c r="S752">
        <v>0.72</v>
      </c>
      <c r="T752">
        <v>0.76</v>
      </c>
      <c r="U752">
        <v>1.39</v>
      </c>
      <c r="V752">
        <v>1.81</v>
      </c>
      <c r="W752">
        <v>0</v>
      </c>
      <c r="X752">
        <v>0</v>
      </c>
    </row>
    <row r="753" spans="2:24" hidden="1" x14ac:dyDescent="0.35">
      <c r="B753">
        <v>2017</v>
      </c>
      <c r="C753" s="1">
        <v>43233</v>
      </c>
      <c r="D753">
        <v>2411</v>
      </c>
      <c r="E753" t="s">
        <v>23</v>
      </c>
      <c r="F753" t="s">
        <v>32</v>
      </c>
      <c r="G753" t="s">
        <v>38</v>
      </c>
      <c r="H753">
        <v>59.71</v>
      </c>
      <c r="I753">
        <v>56.15</v>
      </c>
      <c r="J753">
        <v>0.48</v>
      </c>
      <c r="K753">
        <v>0.24759999999999999</v>
      </c>
      <c r="L753">
        <v>0.27239999999999998</v>
      </c>
      <c r="M753">
        <v>1.53</v>
      </c>
      <c r="N753">
        <v>1.03</v>
      </c>
      <c r="O753">
        <v>0</v>
      </c>
      <c r="P753">
        <v>0</v>
      </c>
      <c r="Q753">
        <v>1</v>
      </c>
      <c r="R753">
        <v>2</v>
      </c>
      <c r="S753">
        <v>1.42</v>
      </c>
      <c r="T753">
        <v>1.58</v>
      </c>
      <c r="U753">
        <v>1.55</v>
      </c>
      <c r="V753">
        <v>1.17</v>
      </c>
      <c r="W753">
        <v>1.05</v>
      </c>
      <c r="X753">
        <v>2.1</v>
      </c>
    </row>
    <row r="754" spans="2:24" hidden="1" x14ac:dyDescent="0.35">
      <c r="B754">
        <v>2017</v>
      </c>
      <c r="C754" s="1">
        <v>43233</v>
      </c>
      <c r="D754">
        <v>2411</v>
      </c>
      <c r="E754" t="s">
        <v>23</v>
      </c>
      <c r="F754" t="s">
        <v>30</v>
      </c>
      <c r="G754" t="s">
        <v>31</v>
      </c>
      <c r="H754">
        <v>65.97</v>
      </c>
      <c r="I754">
        <v>56.01</v>
      </c>
      <c r="J754">
        <v>0.54769999999999996</v>
      </c>
      <c r="K754">
        <v>0.19639999999999999</v>
      </c>
      <c r="L754">
        <v>0.25590000000000002</v>
      </c>
      <c r="M754">
        <v>1.69</v>
      </c>
      <c r="N754">
        <v>0.91</v>
      </c>
      <c r="O754">
        <v>0</v>
      </c>
      <c r="P754">
        <v>0</v>
      </c>
      <c r="Q754">
        <v>2</v>
      </c>
      <c r="R754">
        <v>0</v>
      </c>
      <c r="S754">
        <v>2.09</v>
      </c>
      <c r="T754">
        <v>0.22</v>
      </c>
      <c r="U754">
        <v>2.0099999999999998</v>
      </c>
      <c r="V754">
        <v>0.36</v>
      </c>
      <c r="W754">
        <v>1.91</v>
      </c>
      <c r="X754">
        <v>0</v>
      </c>
    </row>
    <row r="755" spans="2:24" hidden="1" x14ac:dyDescent="0.35">
      <c r="B755">
        <v>2017</v>
      </c>
      <c r="C755" s="1">
        <v>43233</v>
      </c>
      <c r="D755">
        <v>2411</v>
      </c>
      <c r="E755" t="s">
        <v>23</v>
      </c>
      <c r="F755" t="s">
        <v>29</v>
      </c>
      <c r="G755" t="s">
        <v>25</v>
      </c>
      <c r="H755">
        <v>83.63</v>
      </c>
      <c r="I755">
        <v>62.1</v>
      </c>
      <c r="J755">
        <v>0.74729999999999996</v>
      </c>
      <c r="K755">
        <v>7.7799999999999994E-2</v>
      </c>
      <c r="L755">
        <v>0.1749</v>
      </c>
      <c r="M755">
        <v>2.27</v>
      </c>
      <c r="N755">
        <v>0.57999999999999996</v>
      </c>
      <c r="O755">
        <v>0</v>
      </c>
      <c r="P755">
        <v>0</v>
      </c>
      <c r="Q755">
        <v>5</v>
      </c>
      <c r="R755">
        <v>4</v>
      </c>
      <c r="S755">
        <v>1.98</v>
      </c>
      <c r="T755">
        <v>1.34</v>
      </c>
      <c r="U755">
        <v>1.46</v>
      </c>
      <c r="V755">
        <v>1.81</v>
      </c>
      <c r="W755">
        <v>5.25</v>
      </c>
      <c r="X755">
        <v>4.2</v>
      </c>
    </row>
    <row r="756" spans="2:24" hidden="1" x14ac:dyDescent="0.35">
      <c r="B756">
        <v>2017</v>
      </c>
      <c r="C756" s="1">
        <v>43233</v>
      </c>
      <c r="D756">
        <v>2411</v>
      </c>
      <c r="E756" t="s">
        <v>23</v>
      </c>
      <c r="F756" t="s">
        <v>41</v>
      </c>
      <c r="G756" t="s">
        <v>45</v>
      </c>
      <c r="H756">
        <v>87.19</v>
      </c>
      <c r="I756">
        <v>56.04</v>
      </c>
      <c r="J756">
        <v>0.83650000000000002</v>
      </c>
      <c r="K756">
        <v>3.9800000000000002E-2</v>
      </c>
      <c r="L756">
        <v>0.12379999999999999</v>
      </c>
      <c r="M756">
        <v>2.65</v>
      </c>
      <c r="N756">
        <v>0.43</v>
      </c>
      <c r="O756">
        <v>100</v>
      </c>
      <c r="P756">
        <v>0</v>
      </c>
      <c r="Q756">
        <v>4</v>
      </c>
      <c r="R756">
        <v>0</v>
      </c>
      <c r="S756">
        <v>4.0999999999999996</v>
      </c>
      <c r="T756">
        <v>0.05</v>
      </c>
      <c r="U756">
        <v>3</v>
      </c>
      <c r="V756">
        <v>0.27</v>
      </c>
      <c r="W756">
        <v>3.81</v>
      </c>
      <c r="X756">
        <v>0</v>
      </c>
    </row>
    <row r="757" spans="2:24" hidden="1" x14ac:dyDescent="0.35">
      <c r="B757">
        <v>2017</v>
      </c>
      <c r="C757" s="1">
        <v>43233</v>
      </c>
      <c r="D757">
        <v>2411</v>
      </c>
      <c r="E757" t="s">
        <v>23</v>
      </c>
      <c r="F757" t="s">
        <v>34</v>
      </c>
      <c r="G757" t="s">
        <v>36</v>
      </c>
      <c r="H757">
        <v>60.42</v>
      </c>
      <c r="I757">
        <v>90.05</v>
      </c>
      <c r="J757">
        <v>0.1295</v>
      </c>
      <c r="K757">
        <v>0.67500000000000004</v>
      </c>
      <c r="L757">
        <v>0.19550000000000001</v>
      </c>
      <c r="M757">
        <v>0.88</v>
      </c>
      <c r="N757">
        <v>2.2599999999999998</v>
      </c>
      <c r="O757">
        <v>0</v>
      </c>
      <c r="P757">
        <v>0</v>
      </c>
      <c r="Q757">
        <v>0</v>
      </c>
      <c r="R757">
        <v>1</v>
      </c>
      <c r="S757">
        <v>0.49</v>
      </c>
      <c r="T757">
        <v>0.91</v>
      </c>
      <c r="U757">
        <v>0.86</v>
      </c>
      <c r="V757">
        <v>1.4</v>
      </c>
      <c r="W757">
        <v>0</v>
      </c>
      <c r="X757">
        <v>1.05</v>
      </c>
    </row>
    <row r="758" spans="2:24" hidden="1" x14ac:dyDescent="0.35">
      <c r="B758">
        <v>2017</v>
      </c>
      <c r="C758" s="1">
        <v>43233</v>
      </c>
      <c r="D758">
        <v>2411</v>
      </c>
      <c r="E758" t="s">
        <v>23</v>
      </c>
      <c r="F758" t="s">
        <v>44</v>
      </c>
      <c r="G758" t="s">
        <v>40</v>
      </c>
      <c r="H758">
        <v>48.81</v>
      </c>
      <c r="I758">
        <v>80.86</v>
      </c>
      <c r="J758">
        <v>0.152</v>
      </c>
      <c r="K758">
        <v>0.64119999999999999</v>
      </c>
      <c r="L758">
        <v>0.20680000000000001</v>
      </c>
      <c r="M758">
        <v>0.96</v>
      </c>
      <c r="N758">
        <v>2.19</v>
      </c>
      <c r="O758">
        <v>0</v>
      </c>
      <c r="P758">
        <v>0</v>
      </c>
      <c r="Q758">
        <v>0</v>
      </c>
      <c r="R758">
        <v>1</v>
      </c>
      <c r="S758">
        <v>1.49</v>
      </c>
      <c r="T758">
        <v>1.98</v>
      </c>
      <c r="U758">
        <v>1.85</v>
      </c>
      <c r="V758">
        <v>1.41</v>
      </c>
      <c r="W758">
        <v>0</v>
      </c>
      <c r="X758">
        <v>1.05</v>
      </c>
    </row>
    <row r="759" spans="2:24" hidden="1" x14ac:dyDescent="0.35">
      <c r="B759">
        <v>2017</v>
      </c>
      <c r="C759" s="1">
        <v>43233</v>
      </c>
      <c r="D759">
        <v>2411</v>
      </c>
      <c r="E759" t="s">
        <v>23</v>
      </c>
      <c r="F759" t="s">
        <v>43</v>
      </c>
      <c r="G759" t="s">
        <v>28</v>
      </c>
      <c r="H759">
        <v>56.06</v>
      </c>
      <c r="I759">
        <v>61.06</v>
      </c>
      <c r="J759">
        <v>0.39340000000000003</v>
      </c>
      <c r="K759">
        <v>0.33410000000000001</v>
      </c>
      <c r="L759">
        <v>0.27250000000000002</v>
      </c>
      <c r="M759">
        <v>1.43</v>
      </c>
      <c r="N759">
        <v>1.3</v>
      </c>
      <c r="O759">
        <v>0</v>
      </c>
      <c r="P759">
        <v>0</v>
      </c>
      <c r="Q759">
        <v>3</v>
      </c>
      <c r="R759">
        <v>1</v>
      </c>
      <c r="S759">
        <v>1.17</v>
      </c>
      <c r="T759">
        <v>1.75</v>
      </c>
      <c r="U759">
        <v>2.02</v>
      </c>
      <c r="V759">
        <v>1.06</v>
      </c>
      <c r="W759">
        <v>2.85</v>
      </c>
      <c r="X759">
        <v>1.05</v>
      </c>
    </row>
    <row r="760" spans="2:24" hidden="1" x14ac:dyDescent="0.35">
      <c r="B760">
        <v>2017</v>
      </c>
      <c r="C760" s="1">
        <v>43233</v>
      </c>
      <c r="D760">
        <v>2411</v>
      </c>
      <c r="E760" t="s">
        <v>23</v>
      </c>
      <c r="F760" t="s">
        <v>33</v>
      </c>
      <c r="G760" t="s">
        <v>27</v>
      </c>
      <c r="H760">
        <v>49.23</v>
      </c>
      <c r="I760">
        <v>52.03</v>
      </c>
      <c r="J760">
        <v>0.40439999999999998</v>
      </c>
      <c r="K760">
        <v>0.2833</v>
      </c>
      <c r="L760">
        <v>0.31230000000000002</v>
      </c>
      <c r="M760">
        <v>1.18</v>
      </c>
      <c r="N760">
        <v>0.94</v>
      </c>
      <c r="O760">
        <v>0.3</v>
      </c>
      <c r="P760">
        <v>0</v>
      </c>
      <c r="Q760">
        <v>1</v>
      </c>
      <c r="R760">
        <v>2</v>
      </c>
      <c r="S760">
        <v>2.12</v>
      </c>
      <c r="T760">
        <v>1.9</v>
      </c>
      <c r="U760">
        <v>3.35</v>
      </c>
      <c r="V760">
        <v>0.61</v>
      </c>
      <c r="W760">
        <v>1.05</v>
      </c>
      <c r="X760">
        <v>2.1</v>
      </c>
    </row>
    <row r="761" spans="2:24" hidden="1" x14ac:dyDescent="0.35">
      <c r="B761">
        <v>2017</v>
      </c>
      <c r="C761" s="1">
        <v>43233</v>
      </c>
      <c r="D761">
        <v>2411</v>
      </c>
      <c r="E761" t="s">
        <v>23</v>
      </c>
      <c r="F761" t="s">
        <v>39</v>
      </c>
      <c r="G761" t="s">
        <v>35</v>
      </c>
      <c r="H761">
        <v>78.319999999999993</v>
      </c>
      <c r="I761">
        <v>57.86</v>
      </c>
      <c r="J761">
        <v>0.67449999999999999</v>
      </c>
      <c r="K761">
        <v>0.1133</v>
      </c>
      <c r="L761">
        <v>0.2122</v>
      </c>
      <c r="M761">
        <v>2</v>
      </c>
      <c r="N761">
        <v>0.67</v>
      </c>
      <c r="O761">
        <v>0</v>
      </c>
      <c r="P761">
        <v>0</v>
      </c>
      <c r="Q761">
        <v>1</v>
      </c>
      <c r="R761">
        <v>0</v>
      </c>
      <c r="S761">
        <v>0.54</v>
      </c>
      <c r="T761">
        <v>0.68</v>
      </c>
      <c r="U761">
        <v>0.92</v>
      </c>
      <c r="V761">
        <v>1.48</v>
      </c>
      <c r="W761">
        <v>1.05</v>
      </c>
      <c r="X761">
        <v>0</v>
      </c>
    </row>
    <row r="762" spans="2:24" hidden="1" x14ac:dyDescent="0.35">
      <c r="B762">
        <v>2017</v>
      </c>
      <c r="C762" s="1">
        <v>43233</v>
      </c>
      <c r="D762">
        <v>2411</v>
      </c>
      <c r="E762" t="s">
        <v>23</v>
      </c>
      <c r="F762" t="s">
        <v>46</v>
      </c>
      <c r="G762" t="s">
        <v>42</v>
      </c>
      <c r="H762">
        <v>58.98</v>
      </c>
      <c r="I762">
        <v>80.83</v>
      </c>
      <c r="J762">
        <v>0.21890000000000001</v>
      </c>
      <c r="K762">
        <v>0.52510000000000001</v>
      </c>
      <c r="L762">
        <v>0.25600000000000001</v>
      </c>
      <c r="M762">
        <v>1.01</v>
      </c>
      <c r="N762">
        <v>1.7</v>
      </c>
      <c r="O762">
        <v>0</v>
      </c>
      <c r="P762">
        <v>11.4</v>
      </c>
      <c r="Q762">
        <v>3</v>
      </c>
      <c r="R762">
        <v>0</v>
      </c>
      <c r="S762">
        <v>2.25</v>
      </c>
      <c r="T762">
        <v>0.99</v>
      </c>
      <c r="U762">
        <v>1.03</v>
      </c>
      <c r="V762">
        <v>1.1599999999999999</v>
      </c>
      <c r="W762">
        <v>3.15</v>
      </c>
      <c r="X762">
        <v>0</v>
      </c>
    </row>
    <row r="763" spans="2:24" hidden="1" x14ac:dyDescent="0.35">
      <c r="B763">
        <v>2018</v>
      </c>
      <c r="C763" s="1">
        <v>43322</v>
      </c>
      <c r="D763">
        <v>2411</v>
      </c>
      <c r="E763" t="s">
        <v>23</v>
      </c>
      <c r="F763" t="s">
        <v>39</v>
      </c>
      <c r="G763" t="s">
        <v>25</v>
      </c>
      <c r="H763">
        <v>82.66</v>
      </c>
      <c r="I763">
        <v>69.64</v>
      </c>
      <c r="J763">
        <v>0.64</v>
      </c>
      <c r="K763">
        <v>0.13850000000000001</v>
      </c>
      <c r="L763">
        <v>0.2215</v>
      </c>
      <c r="M763">
        <v>2.0099999999999998</v>
      </c>
      <c r="N763">
        <v>0.81</v>
      </c>
      <c r="O763">
        <v>60.3</v>
      </c>
      <c r="P763">
        <v>21.3</v>
      </c>
      <c r="Q763">
        <v>2</v>
      </c>
      <c r="R763">
        <v>1</v>
      </c>
      <c r="S763">
        <v>1.5</v>
      </c>
      <c r="T763">
        <v>1.72</v>
      </c>
      <c r="U763">
        <v>0.71</v>
      </c>
      <c r="V763">
        <v>1.8</v>
      </c>
      <c r="W763">
        <v>1.78</v>
      </c>
      <c r="X763">
        <v>1.05</v>
      </c>
    </row>
    <row r="764" spans="2:24" hidden="1" x14ac:dyDescent="0.35">
      <c r="B764">
        <v>2018</v>
      </c>
      <c r="C764" s="1">
        <v>43323</v>
      </c>
      <c r="D764">
        <v>2411</v>
      </c>
      <c r="E764" t="s">
        <v>23</v>
      </c>
      <c r="F764" t="s">
        <v>46</v>
      </c>
      <c r="G764" t="s">
        <v>29</v>
      </c>
      <c r="H764">
        <v>67.209999999999994</v>
      </c>
      <c r="I764">
        <v>85.75</v>
      </c>
      <c r="J764">
        <v>0.20100000000000001</v>
      </c>
      <c r="K764">
        <v>0.55649999999999999</v>
      </c>
      <c r="L764">
        <v>0.24249999999999999</v>
      </c>
      <c r="M764">
        <v>1.03</v>
      </c>
      <c r="N764">
        <v>1.87</v>
      </c>
      <c r="O764">
        <v>23.8</v>
      </c>
      <c r="P764">
        <v>57.8</v>
      </c>
      <c r="Q764">
        <v>1</v>
      </c>
      <c r="R764">
        <v>2</v>
      </c>
      <c r="S764">
        <v>1.08</v>
      </c>
      <c r="T764">
        <v>2.15</v>
      </c>
      <c r="U764">
        <v>1.6</v>
      </c>
      <c r="V764">
        <v>1.5</v>
      </c>
      <c r="W764">
        <v>1.05</v>
      </c>
      <c r="X764">
        <v>2.1</v>
      </c>
    </row>
    <row r="765" spans="2:24" hidden="1" x14ac:dyDescent="0.35">
      <c r="B765">
        <v>2018</v>
      </c>
      <c r="C765" s="1">
        <v>43323</v>
      </c>
      <c r="D765">
        <v>2411</v>
      </c>
      <c r="E765" t="s">
        <v>23</v>
      </c>
      <c r="F765" t="s">
        <v>44</v>
      </c>
      <c r="G765" t="s">
        <v>42</v>
      </c>
      <c r="H765">
        <v>60.2</v>
      </c>
      <c r="I765">
        <v>84.39</v>
      </c>
      <c r="J765">
        <v>0.16439999999999999</v>
      </c>
      <c r="K765">
        <v>0.59450000000000003</v>
      </c>
      <c r="L765">
        <v>0.24110000000000001</v>
      </c>
      <c r="M765">
        <v>0.85</v>
      </c>
      <c r="N765">
        <v>1.85</v>
      </c>
      <c r="O765">
        <v>36.1</v>
      </c>
      <c r="P765">
        <v>58.8</v>
      </c>
      <c r="Q765">
        <v>0</v>
      </c>
      <c r="R765">
        <v>3</v>
      </c>
      <c r="S765">
        <v>0.45</v>
      </c>
      <c r="T765">
        <v>2.16</v>
      </c>
      <c r="U765">
        <v>0.94</v>
      </c>
      <c r="V765">
        <v>1.35</v>
      </c>
      <c r="W765">
        <v>0</v>
      </c>
      <c r="X765">
        <v>2.9</v>
      </c>
    </row>
    <row r="766" spans="2:24" hidden="1" x14ac:dyDescent="0.35">
      <c r="B766">
        <v>2018</v>
      </c>
      <c r="C766" s="1">
        <v>43323</v>
      </c>
      <c r="D766">
        <v>2411</v>
      </c>
      <c r="E766" t="s">
        <v>23</v>
      </c>
      <c r="F766" t="s">
        <v>35</v>
      </c>
      <c r="G766" t="s">
        <v>45</v>
      </c>
      <c r="H766">
        <v>66.069999999999993</v>
      </c>
      <c r="I766">
        <v>63.08</v>
      </c>
      <c r="J766">
        <v>0.46929999999999999</v>
      </c>
      <c r="K766">
        <v>0.247</v>
      </c>
      <c r="L766">
        <v>0.28370000000000001</v>
      </c>
      <c r="M766">
        <v>1.47</v>
      </c>
      <c r="N766">
        <v>0.99</v>
      </c>
      <c r="O766">
        <v>29.5</v>
      </c>
      <c r="P766">
        <v>33.6</v>
      </c>
      <c r="Q766">
        <v>2</v>
      </c>
      <c r="R766">
        <v>0</v>
      </c>
      <c r="S766">
        <v>1.66</v>
      </c>
      <c r="T766">
        <v>0.32</v>
      </c>
      <c r="U766">
        <v>2.11</v>
      </c>
      <c r="V766">
        <v>0.98</v>
      </c>
      <c r="W766">
        <v>2.1</v>
      </c>
      <c r="X766">
        <v>0</v>
      </c>
    </row>
    <row r="767" spans="2:24" hidden="1" x14ac:dyDescent="0.35">
      <c r="B767">
        <v>2018</v>
      </c>
      <c r="C767" s="1">
        <v>43323</v>
      </c>
      <c r="D767">
        <v>2411</v>
      </c>
      <c r="E767" t="s">
        <v>23</v>
      </c>
      <c r="F767" t="s">
        <v>38</v>
      </c>
      <c r="G767" t="s">
        <v>47</v>
      </c>
      <c r="H767">
        <v>62.75</v>
      </c>
      <c r="I767">
        <v>59.47</v>
      </c>
      <c r="J767">
        <v>0.48859999999999998</v>
      </c>
      <c r="K767">
        <v>0.24510000000000001</v>
      </c>
      <c r="L767">
        <v>0.26640000000000003</v>
      </c>
      <c r="M767">
        <v>1.63</v>
      </c>
      <c r="N767">
        <v>1.08</v>
      </c>
      <c r="O767">
        <v>36.299999999999997</v>
      </c>
      <c r="P767">
        <v>40</v>
      </c>
      <c r="Q767">
        <v>2</v>
      </c>
      <c r="R767">
        <v>0</v>
      </c>
      <c r="S767">
        <v>2.2000000000000002</v>
      </c>
      <c r="T767">
        <v>0.96</v>
      </c>
      <c r="U767">
        <v>2.2799999999999998</v>
      </c>
      <c r="V767">
        <v>1.1599999999999999</v>
      </c>
      <c r="W767">
        <v>1.58</v>
      </c>
      <c r="X767">
        <v>0</v>
      </c>
    </row>
    <row r="768" spans="2:24" hidden="1" x14ac:dyDescent="0.35">
      <c r="B768">
        <v>2018</v>
      </c>
      <c r="C768" s="1">
        <v>43323</v>
      </c>
      <c r="D768">
        <v>2411</v>
      </c>
      <c r="E768" t="s">
        <v>23</v>
      </c>
      <c r="F768" t="s">
        <v>48</v>
      </c>
      <c r="G768" t="s">
        <v>30</v>
      </c>
      <c r="H768">
        <v>64.41</v>
      </c>
      <c r="I768">
        <v>70.2</v>
      </c>
      <c r="J768">
        <v>0.3881</v>
      </c>
      <c r="K768">
        <v>0.33410000000000001</v>
      </c>
      <c r="L768">
        <v>0.27779999999999999</v>
      </c>
      <c r="M768">
        <v>1.41</v>
      </c>
      <c r="N768">
        <v>1.29</v>
      </c>
      <c r="O768">
        <v>31.9</v>
      </c>
      <c r="P768">
        <v>18.100000000000001</v>
      </c>
      <c r="Q768">
        <v>0</v>
      </c>
      <c r="R768">
        <v>2</v>
      </c>
      <c r="S768">
        <v>0.6</v>
      </c>
      <c r="T768">
        <v>0.89</v>
      </c>
      <c r="U768">
        <v>1.38</v>
      </c>
      <c r="V768">
        <v>1.22</v>
      </c>
      <c r="W768">
        <v>0</v>
      </c>
      <c r="X768">
        <v>1.86</v>
      </c>
    </row>
    <row r="769" spans="2:24" hidden="1" x14ac:dyDescent="0.35">
      <c r="B769">
        <v>2018</v>
      </c>
      <c r="C769" s="1">
        <v>43323</v>
      </c>
      <c r="D769">
        <v>2411</v>
      </c>
      <c r="E769" t="s">
        <v>23</v>
      </c>
      <c r="F769" t="s">
        <v>49</v>
      </c>
      <c r="G769" t="s">
        <v>28</v>
      </c>
      <c r="H769">
        <v>62.92</v>
      </c>
      <c r="I769">
        <v>67.489999999999995</v>
      </c>
      <c r="J769">
        <v>0.39910000000000001</v>
      </c>
      <c r="K769">
        <v>0.317</v>
      </c>
      <c r="L769">
        <v>0.28389999999999999</v>
      </c>
      <c r="M769">
        <v>1.38</v>
      </c>
      <c r="N769">
        <v>1.2</v>
      </c>
      <c r="O769">
        <v>33.700000000000003</v>
      </c>
      <c r="P769">
        <v>24</v>
      </c>
      <c r="Q769">
        <v>2</v>
      </c>
      <c r="R769">
        <v>2</v>
      </c>
      <c r="S769">
        <v>0.92</v>
      </c>
      <c r="T769">
        <v>0.76</v>
      </c>
      <c r="U769">
        <v>0.53</v>
      </c>
      <c r="V769">
        <v>0.68</v>
      </c>
      <c r="W769">
        <v>1.68</v>
      </c>
      <c r="X769">
        <v>2.1</v>
      </c>
    </row>
    <row r="770" spans="2:24" hidden="1" x14ac:dyDescent="0.35">
      <c r="B770">
        <v>2018</v>
      </c>
      <c r="C770" s="1">
        <v>43324</v>
      </c>
      <c r="D770">
        <v>2411</v>
      </c>
      <c r="E770" t="s">
        <v>23</v>
      </c>
      <c r="F770" t="s">
        <v>41</v>
      </c>
      <c r="G770" t="s">
        <v>43</v>
      </c>
      <c r="H770">
        <v>88.86</v>
      </c>
      <c r="I770">
        <v>64.540000000000006</v>
      </c>
      <c r="J770">
        <v>0.82030000000000003</v>
      </c>
      <c r="K770">
        <v>5.0500000000000003E-2</v>
      </c>
      <c r="L770">
        <v>0.12920000000000001</v>
      </c>
      <c r="M770">
        <v>2.75</v>
      </c>
      <c r="N770">
        <v>0.55000000000000004</v>
      </c>
      <c r="O770">
        <v>54.8</v>
      </c>
      <c r="P770">
        <v>20.7</v>
      </c>
      <c r="Q770">
        <v>4</v>
      </c>
      <c r="R770">
        <v>0</v>
      </c>
      <c r="S770">
        <v>3.86</v>
      </c>
      <c r="T770">
        <v>0.38</v>
      </c>
      <c r="U770">
        <v>2.42</v>
      </c>
      <c r="V770">
        <v>0.66</v>
      </c>
      <c r="W770">
        <v>3.75</v>
      </c>
      <c r="X770">
        <v>0</v>
      </c>
    </row>
    <row r="771" spans="2:24" hidden="1" x14ac:dyDescent="0.35">
      <c r="B771">
        <v>2018</v>
      </c>
      <c r="C771" s="1">
        <v>43324</v>
      </c>
      <c r="D771">
        <v>2411</v>
      </c>
      <c r="E771" t="s">
        <v>23</v>
      </c>
      <c r="F771" t="s">
        <v>34</v>
      </c>
      <c r="G771" t="s">
        <v>32</v>
      </c>
      <c r="H771">
        <v>68.010000000000005</v>
      </c>
      <c r="I771">
        <v>64.97</v>
      </c>
      <c r="J771">
        <v>0.4677</v>
      </c>
      <c r="K771">
        <v>0.24199999999999999</v>
      </c>
      <c r="L771">
        <v>0.29020000000000001</v>
      </c>
      <c r="M771">
        <v>1.42</v>
      </c>
      <c r="N771">
        <v>0.94</v>
      </c>
      <c r="O771">
        <v>24</v>
      </c>
      <c r="P771">
        <v>28.8</v>
      </c>
      <c r="Q771">
        <v>0</v>
      </c>
      <c r="R771">
        <v>0</v>
      </c>
      <c r="S771">
        <v>0.89</v>
      </c>
      <c r="T771">
        <v>1.55</v>
      </c>
      <c r="U771">
        <v>1.48</v>
      </c>
      <c r="V771">
        <v>1.41</v>
      </c>
      <c r="W771">
        <v>0</v>
      </c>
      <c r="X771">
        <v>0</v>
      </c>
    </row>
    <row r="772" spans="2:24" hidden="1" x14ac:dyDescent="0.35">
      <c r="B772">
        <v>2018</v>
      </c>
      <c r="C772" s="1">
        <v>43324</v>
      </c>
      <c r="D772">
        <v>2411</v>
      </c>
      <c r="E772" t="s">
        <v>23</v>
      </c>
      <c r="F772" t="s">
        <v>40</v>
      </c>
      <c r="G772" t="s">
        <v>36</v>
      </c>
      <c r="H772">
        <v>81.569999999999993</v>
      </c>
      <c r="I772">
        <v>92.13</v>
      </c>
      <c r="J772">
        <v>0.27650000000000002</v>
      </c>
      <c r="K772">
        <v>0.4894</v>
      </c>
      <c r="L772">
        <v>0.2341</v>
      </c>
      <c r="M772">
        <v>1.47</v>
      </c>
      <c r="N772">
        <v>2</v>
      </c>
      <c r="O772">
        <v>68.099999999999994</v>
      </c>
      <c r="P772">
        <v>74.400000000000006</v>
      </c>
      <c r="Q772">
        <v>0</v>
      </c>
      <c r="R772">
        <v>2</v>
      </c>
      <c r="S772">
        <v>0.5</v>
      </c>
      <c r="T772">
        <v>1.82</v>
      </c>
      <c r="U772">
        <v>1.4</v>
      </c>
      <c r="V772">
        <v>1.26</v>
      </c>
      <c r="W772">
        <v>0</v>
      </c>
      <c r="X772">
        <v>2.1</v>
      </c>
    </row>
    <row r="773" spans="2:24" hidden="1" x14ac:dyDescent="0.35">
      <c r="B773">
        <v>2018</v>
      </c>
      <c r="C773" s="1">
        <v>43330</v>
      </c>
      <c r="D773">
        <v>2411</v>
      </c>
      <c r="E773" t="s">
        <v>23</v>
      </c>
      <c r="F773" t="s">
        <v>47</v>
      </c>
      <c r="G773" t="s">
        <v>46</v>
      </c>
      <c r="H773">
        <v>58.62</v>
      </c>
      <c r="I773">
        <v>67.27</v>
      </c>
      <c r="J773">
        <v>0.36430000000000001</v>
      </c>
      <c r="K773">
        <v>0.34200000000000003</v>
      </c>
      <c r="L773">
        <v>0.29360000000000003</v>
      </c>
      <c r="M773">
        <v>1.25</v>
      </c>
      <c r="N773">
        <v>1.2</v>
      </c>
      <c r="O773">
        <v>42.7</v>
      </c>
      <c r="P773">
        <v>26.4</v>
      </c>
      <c r="Q773">
        <v>0</v>
      </c>
      <c r="R773">
        <v>0</v>
      </c>
      <c r="S773">
        <v>1.1599999999999999</v>
      </c>
      <c r="T773">
        <v>1.78</v>
      </c>
      <c r="U773">
        <v>0.95</v>
      </c>
      <c r="V773">
        <v>0.74</v>
      </c>
      <c r="W773">
        <v>0</v>
      </c>
      <c r="X773">
        <v>0</v>
      </c>
    </row>
    <row r="774" spans="2:24" hidden="1" x14ac:dyDescent="0.35">
      <c r="B774">
        <v>2018</v>
      </c>
      <c r="C774" s="1">
        <v>43330</v>
      </c>
      <c r="D774">
        <v>2411</v>
      </c>
      <c r="E774" t="s">
        <v>23</v>
      </c>
      <c r="F774" t="s">
        <v>29</v>
      </c>
      <c r="G774" t="s">
        <v>48</v>
      </c>
      <c r="H774">
        <v>85.65</v>
      </c>
      <c r="I774">
        <v>63.69</v>
      </c>
      <c r="J774">
        <v>0.78059999999999996</v>
      </c>
      <c r="K774">
        <v>6.2700000000000006E-2</v>
      </c>
      <c r="L774">
        <v>0.15670000000000001</v>
      </c>
      <c r="M774">
        <v>2.44</v>
      </c>
      <c r="N774">
        <v>0.54</v>
      </c>
      <c r="O774">
        <v>60.1</v>
      </c>
      <c r="P774">
        <v>33.4</v>
      </c>
      <c r="Q774">
        <v>3</v>
      </c>
      <c r="R774">
        <v>1</v>
      </c>
      <c r="S774">
        <v>3.05</v>
      </c>
      <c r="T774">
        <v>1.3</v>
      </c>
      <c r="U774">
        <v>3.12</v>
      </c>
      <c r="V774">
        <v>1.1599999999999999</v>
      </c>
      <c r="W774">
        <v>2.97</v>
      </c>
      <c r="X774">
        <v>1.05</v>
      </c>
    </row>
    <row r="775" spans="2:24" hidden="1" x14ac:dyDescent="0.35">
      <c r="B775">
        <v>2018</v>
      </c>
      <c r="C775" s="1">
        <v>43330</v>
      </c>
      <c r="D775">
        <v>2411</v>
      </c>
      <c r="E775" t="s">
        <v>23</v>
      </c>
      <c r="F775" t="s">
        <v>43</v>
      </c>
      <c r="G775" t="s">
        <v>38</v>
      </c>
      <c r="H775">
        <v>63.44</v>
      </c>
      <c r="I775">
        <v>63.61</v>
      </c>
      <c r="J775">
        <v>0.44340000000000002</v>
      </c>
      <c r="K775">
        <v>0.29449999999999998</v>
      </c>
      <c r="L775">
        <v>0.2621</v>
      </c>
      <c r="M775">
        <v>1.63</v>
      </c>
      <c r="N775">
        <v>1.29</v>
      </c>
      <c r="O775">
        <v>30.4</v>
      </c>
      <c r="P775">
        <v>26.2</v>
      </c>
      <c r="Q775">
        <v>1</v>
      </c>
      <c r="R775">
        <v>2</v>
      </c>
      <c r="S775">
        <v>1.1100000000000001</v>
      </c>
      <c r="T775">
        <v>1.83</v>
      </c>
      <c r="U775">
        <v>1.06</v>
      </c>
      <c r="V775">
        <v>1.44</v>
      </c>
      <c r="W775">
        <v>1.05</v>
      </c>
      <c r="X775">
        <v>2.1</v>
      </c>
    </row>
    <row r="776" spans="2:24" hidden="1" x14ac:dyDescent="0.35">
      <c r="B776">
        <v>2018</v>
      </c>
      <c r="C776" s="1">
        <v>43330</v>
      </c>
      <c r="D776">
        <v>2411</v>
      </c>
      <c r="E776" t="s">
        <v>23</v>
      </c>
      <c r="F776" t="s">
        <v>28</v>
      </c>
      <c r="G776" t="s">
        <v>34</v>
      </c>
      <c r="H776">
        <v>67.91</v>
      </c>
      <c r="I776">
        <v>67.33</v>
      </c>
      <c r="J776">
        <v>0.44629999999999997</v>
      </c>
      <c r="K776">
        <v>0.26869999999999999</v>
      </c>
      <c r="L776">
        <v>0.28499999999999998</v>
      </c>
      <c r="M776">
        <v>1.44</v>
      </c>
      <c r="N776">
        <v>1.05</v>
      </c>
      <c r="O776">
        <v>26.5</v>
      </c>
      <c r="P776">
        <v>23.9</v>
      </c>
      <c r="Q776">
        <v>2</v>
      </c>
      <c r="R776">
        <v>1</v>
      </c>
      <c r="S776">
        <v>1.9</v>
      </c>
      <c r="T776">
        <v>1.77</v>
      </c>
      <c r="U776">
        <v>1.54</v>
      </c>
      <c r="V776">
        <v>0.92</v>
      </c>
      <c r="W776">
        <v>2.1</v>
      </c>
      <c r="X776">
        <v>1.05</v>
      </c>
    </row>
    <row r="777" spans="2:24" hidden="1" x14ac:dyDescent="0.35">
      <c r="B777">
        <v>2018</v>
      </c>
      <c r="C777" s="1">
        <v>43330</v>
      </c>
      <c r="D777">
        <v>2411</v>
      </c>
      <c r="E777" t="s">
        <v>23</v>
      </c>
      <c r="F777" t="s">
        <v>25</v>
      </c>
      <c r="G777" t="s">
        <v>49</v>
      </c>
      <c r="H777">
        <v>70.92</v>
      </c>
      <c r="I777">
        <v>62.66</v>
      </c>
      <c r="J777">
        <v>0.52659999999999996</v>
      </c>
      <c r="K777">
        <v>0.21190000000000001</v>
      </c>
      <c r="L777">
        <v>0.2616</v>
      </c>
      <c r="M777">
        <v>1.68</v>
      </c>
      <c r="N777">
        <v>0.97</v>
      </c>
      <c r="O777">
        <v>17.5</v>
      </c>
      <c r="P777">
        <v>30.1</v>
      </c>
      <c r="Q777">
        <v>2</v>
      </c>
      <c r="R777">
        <v>0</v>
      </c>
      <c r="S777">
        <v>0.19</v>
      </c>
      <c r="T777">
        <v>1.05</v>
      </c>
      <c r="U777">
        <v>0.85</v>
      </c>
      <c r="V777">
        <v>1.06</v>
      </c>
      <c r="W777">
        <v>2.1</v>
      </c>
      <c r="X777">
        <v>0</v>
      </c>
    </row>
    <row r="778" spans="2:24" hidden="1" x14ac:dyDescent="0.35">
      <c r="B778">
        <v>2018</v>
      </c>
      <c r="C778" s="1">
        <v>43330</v>
      </c>
      <c r="D778">
        <v>2411</v>
      </c>
      <c r="E778" t="s">
        <v>23</v>
      </c>
      <c r="F778" t="s">
        <v>42</v>
      </c>
      <c r="G778" t="s">
        <v>40</v>
      </c>
      <c r="H778">
        <v>85.12</v>
      </c>
      <c r="I778">
        <v>81.05</v>
      </c>
      <c r="J778">
        <v>0.50390000000000001</v>
      </c>
      <c r="K778">
        <v>0.25990000000000002</v>
      </c>
      <c r="L778">
        <v>0.23619999999999999</v>
      </c>
      <c r="M778">
        <v>1.98</v>
      </c>
      <c r="N778">
        <v>1.37</v>
      </c>
      <c r="O778">
        <v>65.599999999999994</v>
      </c>
      <c r="P778">
        <v>67.3</v>
      </c>
      <c r="Q778">
        <v>3</v>
      </c>
      <c r="R778">
        <v>2</v>
      </c>
      <c r="S778">
        <v>2.25</v>
      </c>
      <c r="T778">
        <v>2.4900000000000002</v>
      </c>
      <c r="U778">
        <v>1.85</v>
      </c>
      <c r="V778">
        <v>1.84</v>
      </c>
      <c r="W778">
        <v>3.15</v>
      </c>
      <c r="X778">
        <v>2.1</v>
      </c>
    </row>
    <row r="779" spans="2:24" hidden="1" x14ac:dyDescent="0.35">
      <c r="B779">
        <v>2018</v>
      </c>
      <c r="C779" s="1">
        <v>43331</v>
      </c>
      <c r="D779">
        <v>2411</v>
      </c>
      <c r="E779" t="s">
        <v>23</v>
      </c>
      <c r="F779" t="s">
        <v>32</v>
      </c>
      <c r="G779" t="s">
        <v>35</v>
      </c>
      <c r="H779">
        <v>65.91</v>
      </c>
      <c r="I779">
        <v>67.290000000000006</v>
      </c>
      <c r="J779">
        <v>0.4229</v>
      </c>
      <c r="K779">
        <v>0.28120000000000001</v>
      </c>
      <c r="L779">
        <v>0.2959</v>
      </c>
      <c r="M779">
        <v>1.33</v>
      </c>
      <c r="N779">
        <v>1.03</v>
      </c>
      <c r="O779">
        <v>27.1</v>
      </c>
      <c r="P779">
        <v>19.899999999999999</v>
      </c>
      <c r="Q779">
        <v>1</v>
      </c>
      <c r="R779">
        <v>3</v>
      </c>
      <c r="S779">
        <v>0.8</v>
      </c>
      <c r="T779">
        <v>1.71</v>
      </c>
      <c r="U779">
        <v>0.77</v>
      </c>
      <c r="V779">
        <v>1.63</v>
      </c>
      <c r="W779">
        <v>1.05</v>
      </c>
      <c r="X779">
        <v>3.15</v>
      </c>
    </row>
    <row r="780" spans="2:24" hidden="1" x14ac:dyDescent="0.35">
      <c r="B780">
        <v>2018</v>
      </c>
      <c r="C780" s="1">
        <v>43331</v>
      </c>
      <c r="D780">
        <v>2411</v>
      </c>
      <c r="E780" t="s">
        <v>23</v>
      </c>
      <c r="F780" t="s">
        <v>36</v>
      </c>
      <c r="G780" t="s">
        <v>44</v>
      </c>
      <c r="H780">
        <v>92.53</v>
      </c>
      <c r="I780">
        <v>59.29</v>
      </c>
      <c r="J780">
        <v>0.89270000000000005</v>
      </c>
      <c r="K780">
        <v>1.46E-2</v>
      </c>
      <c r="L780">
        <v>9.2700000000000005E-2</v>
      </c>
      <c r="M780">
        <v>2.76</v>
      </c>
      <c r="N780">
        <v>0.2</v>
      </c>
      <c r="O780">
        <v>91.3</v>
      </c>
      <c r="P780">
        <v>41.4</v>
      </c>
      <c r="Q780">
        <v>6</v>
      </c>
      <c r="R780">
        <v>1</v>
      </c>
      <c r="S780">
        <v>4.46</v>
      </c>
      <c r="T780">
        <v>0.74</v>
      </c>
      <c r="U780">
        <v>3.95</v>
      </c>
      <c r="V780">
        <v>0.52</v>
      </c>
      <c r="W780">
        <v>5.81</v>
      </c>
      <c r="X780">
        <v>1.05</v>
      </c>
    </row>
    <row r="781" spans="2:24" hidden="1" x14ac:dyDescent="0.35">
      <c r="B781">
        <v>2018</v>
      </c>
      <c r="C781" s="1">
        <v>43331</v>
      </c>
      <c r="D781">
        <v>2411</v>
      </c>
      <c r="E781" t="s">
        <v>23</v>
      </c>
      <c r="F781" t="s">
        <v>45</v>
      </c>
      <c r="G781" t="s">
        <v>39</v>
      </c>
      <c r="H781">
        <v>61.87</v>
      </c>
      <c r="I781">
        <v>81.59</v>
      </c>
      <c r="J781">
        <v>0.2142</v>
      </c>
      <c r="K781">
        <v>0.52649999999999997</v>
      </c>
      <c r="L781">
        <v>0.25929999999999997</v>
      </c>
      <c r="M781">
        <v>0.99</v>
      </c>
      <c r="N781">
        <v>1.7</v>
      </c>
      <c r="O781">
        <v>34.9</v>
      </c>
      <c r="P781">
        <v>56.1</v>
      </c>
      <c r="Q781">
        <v>3</v>
      </c>
      <c r="R781">
        <v>2</v>
      </c>
      <c r="S781">
        <v>1.63</v>
      </c>
      <c r="T781">
        <v>1.62</v>
      </c>
      <c r="U781">
        <v>0.68</v>
      </c>
      <c r="V781">
        <v>1.02</v>
      </c>
      <c r="W781">
        <v>3.15</v>
      </c>
      <c r="X781">
        <v>2.1</v>
      </c>
    </row>
    <row r="782" spans="2:24" hidden="1" x14ac:dyDescent="0.35">
      <c r="B782">
        <v>2018</v>
      </c>
      <c r="C782" s="1">
        <v>43332</v>
      </c>
      <c r="D782">
        <v>2411</v>
      </c>
      <c r="E782" t="s">
        <v>23</v>
      </c>
      <c r="F782" t="s">
        <v>30</v>
      </c>
      <c r="G782" t="s">
        <v>41</v>
      </c>
      <c r="H782">
        <v>71.17</v>
      </c>
      <c r="I782">
        <v>89.48</v>
      </c>
      <c r="J782">
        <v>0.1953</v>
      </c>
      <c r="K782">
        <v>0.57779999999999998</v>
      </c>
      <c r="L782">
        <v>0.22689999999999999</v>
      </c>
      <c r="M782">
        <v>1.1200000000000001</v>
      </c>
      <c r="N782">
        <v>2.06</v>
      </c>
      <c r="O782">
        <v>25.9</v>
      </c>
      <c r="P782">
        <v>49.6</v>
      </c>
      <c r="Q782">
        <v>0</v>
      </c>
      <c r="R782">
        <v>2</v>
      </c>
      <c r="S782">
        <v>0.47</v>
      </c>
      <c r="T782">
        <v>2.66</v>
      </c>
      <c r="U782">
        <v>0.87</v>
      </c>
      <c r="V782">
        <v>3.19</v>
      </c>
      <c r="W782">
        <v>0</v>
      </c>
      <c r="X782">
        <v>1.47</v>
      </c>
    </row>
    <row r="783" spans="2:24" hidden="1" x14ac:dyDescent="0.35">
      <c r="B783">
        <v>2018</v>
      </c>
      <c r="C783" s="1">
        <v>43337</v>
      </c>
      <c r="D783">
        <v>2411</v>
      </c>
      <c r="E783" t="s">
        <v>23</v>
      </c>
      <c r="F783" t="s">
        <v>49</v>
      </c>
      <c r="G783" t="s">
        <v>36</v>
      </c>
      <c r="H783">
        <v>63.22</v>
      </c>
      <c r="I783">
        <v>92.69</v>
      </c>
      <c r="J783">
        <v>9.4299999999999995E-2</v>
      </c>
      <c r="K783">
        <v>0.73040000000000005</v>
      </c>
      <c r="L783">
        <v>0.17530000000000001</v>
      </c>
      <c r="M783">
        <v>0.74</v>
      </c>
      <c r="N783">
        <v>2.41</v>
      </c>
      <c r="O783">
        <v>31.4</v>
      </c>
      <c r="P783">
        <v>73.5</v>
      </c>
      <c r="Q783">
        <v>1</v>
      </c>
      <c r="R783">
        <v>1</v>
      </c>
      <c r="S783">
        <v>1.19</v>
      </c>
      <c r="T783">
        <v>1.88</v>
      </c>
      <c r="U783">
        <v>0.64</v>
      </c>
      <c r="V783">
        <v>2.54</v>
      </c>
      <c r="W783">
        <v>1.05</v>
      </c>
      <c r="X783">
        <v>1.05</v>
      </c>
    </row>
    <row r="784" spans="2:24" hidden="1" x14ac:dyDescent="0.35">
      <c r="B784">
        <v>2018</v>
      </c>
      <c r="C784" s="1">
        <v>43337</v>
      </c>
      <c r="D784">
        <v>2411</v>
      </c>
      <c r="E784" t="s">
        <v>23</v>
      </c>
      <c r="F784" t="s">
        <v>34</v>
      </c>
      <c r="G784" t="s">
        <v>25</v>
      </c>
      <c r="H784">
        <v>66.989999999999995</v>
      </c>
      <c r="I784">
        <v>70.72</v>
      </c>
      <c r="J784">
        <v>0.40389999999999998</v>
      </c>
      <c r="K784">
        <v>0.31140000000000001</v>
      </c>
      <c r="L784">
        <v>0.28470000000000001</v>
      </c>
      <c r="M784">
        <v>1.38</v>
      </c>
      <c r="N784">
        <v>1.18</v>
      </c>
      <c r="O784">
        <v>28.7</v>
      </c>
      <c r="P784">
        <v>18.899999999999999</v>
      </c>
      <c r="Q784">
        <v>1</v>
      </c>
      <c r="R784">
        <v>2</v>
      </c>
      <c r="S784">
        <v>0.48</v>
      </c>
      <c r="T784">
        <v>0.56999999999999995</v>
      </c>
      <c r="U784">
        <v>1.32</v>
      </c>
      <c r="V784">
        <v>0.57999999999999996</v>
      </c>
      <c r="W784">
        <v>1.05</v>
      </c>
      <c r="X784">
        <v>1.89</v>
      </c>
    </row>
    <row r="785" spans="2:24" hidden="1" x14ac:dyDescent="0.35">
      <c r="B785">
        <v>2018</v>
      </c>
      <c r="C785" s="1">
        <v>43337</v>
      </c>
      <c r="D785">
        <v>2411</v>
      </c>
      <c r="E785" t="s">
        <v>23</v>
      </c>
      <c r="F785" t="s">
        <v>40</v>
      </c>
      <c r="G785" t="s">
        <v>43</v>
      </c>
      <c r="H785">
        <v>81.27</v>
      </c>
      <c r="I785">
        <v>62.33</v>
      </c>
      <c r="J785">
        <v>0.72709999999999997</v>
      </c>
      <c r="K785">
        <v>0.10349999999999999</v>
      </c>
      <c r="L785">
        <v>0.16950000000000001</v>
      </c>
      <c r="M785">
        <v>2.57</v>
      </c>
      <c r="N785">
        <v>0.87</v>
      </c>
      <c r="O785">
        <v>54.2</v>
      </c>
      <c r="P785">
        <v>30.3</v>
      </c>
      <c r="Q785">
        <v>3</v>
      </c>
      <c r="R785">
        <v>1</v>
      </c>
      <c r="S785">
        <v>1.81</v>
      </c>
      <c r="T785">
        <v>1.22</v>
      </c>
      <c r="U785">
        <v>1.72</v>
      </c>
      <c r="V785">
        <v>2.12</v>
      </c>
      <c r="W785">
        <v>2.63</v>
      </c>
      <c r="X785">
        <v>1.05</v>
      </c>
    </row>
    <row r="786" spans="2:24" hidden="1" x14ac:dyDescent="0.35">
      <c r="B786">
        <v>2018</v>
      </c>
      <c r="C786" s="1">
        <v>43337</v>
      </c>
      <c r="D786">
        <v>2411</v>
      </c>
      <c r="E786" t="s">
        <v>23</v>
      </c>
      <c r="F786" t="s">
        <v>38</v>
      </c>
      <c r="G786" t="s">
        <v>28</v>
      </c>
      <c r="H786">
        <v>64.75</v>
      </c>
      <c r="I786">
        <v>68</v>
      </c>
      <c r="J786">
        <v>0.4224</v>
      </c>
      <c r="K786">
        <v>0.30990000000000001</v>
      </c>
      <c r="L786">
        <v>0.26769999999999999</v>
      </c>
      <c r="M786">
        <v>1.55</v>
      </c>
      <c r="N786">
        <v>1.3</v>
      </c>
      <c r="O786">
        <v>23.3</v>
      </c>
      <c r="P786">
        <v>17.3</v>
      </c>
      <c r="Q786">
        <v>2</v>
      </c>
      <c r="R786">
        <v>2</v>
      </c>
      <c r="S786">
        <v>2.73</v>
      </c>
      <c r="T786">
        <v>0.63</v>
      </c>
      <c r="U786">
        <v>1.82</v>
      </c>
      <c r="V786">
        <v>1.4</v>
      </c>
      <c r="W786">
        <v>2.1</v>
      </c>
      <c r="X786">
        <v>2.1</v>
      </c>
    </row>
    <row r="787" spans="2:24" hidden="1" x14ac:dyDescent="0.35">
      <c r="B787">
        <v>2018</v>
      </c>
      <c r="C787" s="1">
        <v>43337</v>
      </c>
      <c r="D787">
        <v>2411</v>
      </c>
      <c r="E787" t="s">
        <v>23</v>
      </c>
      <c r="F787" t="s">
        <v>44</v>
      </c>
      <c r="G787" t="s">
        <v>47</v>
      </c>
      <c r="H787">
        <v>58.14</v>
      </c>
      <c r="I787">
        <v>58.6</v>
      </c>
      <c r="J787">
        <v>0.42830000000000001</v>
      </c>
      <c r="K787">
        <v>0.26629999999999998</v>
      </c>
      <c r="L787">
        <v>0.30530000000000002</v>
      </c>
      <c r="M787">
        <v>1.28</v>
      </c>
      <c r="N787">
        <v>0.95</v>
      </c>
      <c r="O787">
        <v>48.9</v>
      </c>
      <c r="P787">
        <v>45.9</v>
      </c>
      <c r="Q787">
        <v>0</v>
      </c>
      <c r="R787">
        <v>0</v>
      </c>
      <c r="S787">
        <v>0.25</v>
      </c>
      <c r="T787">
        <v>1.08</v>
      </c>
      <c r="U787">
        <v>0.59</v>
      </c>
      <c r="V787">
        <v>1.1599999999999999</v>
      </c>
      <c r="W787">
        <v>0</v>
      </c>
      <c r="X787">
        <v>0</v>
      </c>
    </row>
    <row r="788" spans="2:24" hidden="1" x14ac:dyDescent="0.35">
      <c r="B788">
        <v>2018</v>
      </c>
      <c r="C788" s="1">
        <v>43337</v>
      </c>
      <c r="D788">
        <v>2411</v>
      </c>
      <c r="E788" t="s">
        <v>23</v>
      </c>
      <c r="F788" t="s">
        <v>41</v>
      </c>
      <c r="G788" t="s">
        <v>45</v>
      </c>
      <c r="H788">
        <v>90.23</v>
      </c>
      <c r="I788">
        <v>62.9</v>
      </c>
      <c r="J788">
        <v>0.85819999999999996</v>
      </c>
      <c r="K788">
        <v>3.1E-2</v>
      </c>
      <c r="L788">
        <v>0.1108</v>
      </c>
      <c r="M788">
        <v>2.77</v>
      </c>
      <c r="N788">
        <v>0.38</v>
      </c>
      <c r="O788">
        <v>67.8</v>
      </c>
      <c r="P788">
        <v>22.9</v>
      </c>
      <c r="Q788">
        <v>1</v>
      </c>
      <c r="R788">
        <v>0</v>
      </c>
      <c r="S788">
        <v>1.94</v>
      </c>
      <c r="T788">
        <v>0.64</v>
      </c>
      <c r="U788">
        <v>2.42</v>
      </c>
      <c r="V788">
        <v>0.85</v>
      </c>
      <c r="W788">
        <v>1.05</v>
      </c>
      <c r="X788">
        <v>0</v>
      </c>
    </row>
    <row r="789" spans="2:24" hidden="1" x14ac:dyDescent="0.35">
      <c r="B789">
        <v>2018</v>
      </c>
      <c r="C789" s="1">
        <v>43338</v>
      </c>
      <c r="D789">
        <v>2411</v>
      </c>
      <c r="E789" t="s">
        <v>23</v>
      </c>
      <c r="F789" t="s">
        <v>35</v>
      </c>
      <c r="G789" t="s">
        <v>30</v>
      </c>
      <c r="H789">
        <v>68.97</v>
      </c>
      <c r="I789">
        <v>70.02</v>
      </c>
      <c r="J789">
        <v>0.42930000000000001</v>
      </c>
      <c r="K789">
        <v>0.29189999999999999</v>
      </c>
      <c r="L789">
        <v>0.27879999999999999</v>
      </c>
      <c r="M789">
        <v>1.47</v>
      </c>
      <c r="N789">
        <v>1.1599999999999999</v>
      </c>
      <c r="O789">
        <v>19</v>
      </c>
      <c r="P789">
        <v>17.7</v>
      </c>
      <c r="Q789">
        <v>2</v>
      </c>
      <c r="R789">
        <v>1</v>
      </c>
      <c r="S789">
        <v>1.1399999999999999</v>
      </c>
      <c r="T789">
        <v>1.1299999999999999</v>
      </c>
      <c r="U789">
        <v>1.54</v>
      </c>
      <c r="V789">
        <v>1.1399999999999999</v>
      </c>
      <c r="W789">
        <v>2.1</v>
      </c>
      <c r="X789">
        <v>1.05</v>
      </c>
    </row>
    <row r="790" spans="2:24" hidden="1" x14ac:dyDescent="0.35">
      <c r="B790">
        <v>2018</v>
      </c>
      <c r="C790" s="1">
        <v>43338</v>
      </c>
      <c r="D790">
        <v>2411</v>
      </c>
      <c r="E790" t="s">
        <v>23</v>
      </c>
      <c r="F790" t="s">
        <v>48</v>
      </c>
      <c r="G790" t="s">
        <v>32</v>
      </c>
      <c r="H790">
        <v>63.54</v>
      </c>
      <c r="I790">
        <v>63.93</v>
      </c>
      <c r="J790">
        <v>0.44369999999999998</v>
      </c>
      <c r="K790">
        <v>0.2676</v>
      </c>
      <c r="L790">
        <v>0.28870000000000001</v>
      </c>
      <c r="M790">
        <v>1.41</v>
      </c>
      <c r="N790">
        <v>1.03</v>
      </c>
      <c r="O790">
        <v>38.4</v>
      </c>
      <c r="P790">
        <v>36.299999999999997</v>
      </c>
      <c r="Q790">
        <v>4</v>
      </c>
      <c r="R790">
        <v>2</v>
      </c>
      <c r="S790">
        <v>1.49</v>
      </c>
      <c r="T790">
        <v>1.65</v>
      </c>
      <c r="U790">
        <v>1.81</v>
      </c>
      <c r="V790">
        <v>1.45</v>
      </c>
      <c r="W790">
        <v>3.87</v>
      </c>
      <c r="X790">
        <v>2.1</v>
      </c>
    </row>
    <row r="791" spans="2:24" hidden="1" x14ac:dyDescent="0.35">
      <c r="B791">
        <v>2018</v>
      </c>
      <c r="C791" s="1">
        <v>43338</v>
      </c>
      <c r="D791">
        <v>2411</v>
      </c>
      <c r="E791" t="s">
        <v>23</v>
      </c>
      <c r="F791" t="s">
        <v>46</v>
      </c>
      <c r="G791" t="s">
        <v>42</v>
      </c>
      <c r="H791">
        <v>67.72</v>
      </c>
      <c r="I791">
        <v>84.78</v>
      </c>
      <c r="J791">
        <v>0.2152</v>
      </c>
      <c r="K791">
        <v>0.53490000000000004</v>
      </c>
      <c r="L791">
        <v>0.24990000000000001</v>
      </c>
      <c r="M791">
        <v>1.05</v>
      </c>
      <c r="N791">
        <v>1.8</v>
      </c>
      <c r="O791">
        <v>24.2</v>
      </c>
      <c r="P791">
        <v>57.8</v>
      </c>
      <c r="Q791">
        <v>1</v>
      </c>
      <c r="R791">
        <v>2</v>
      </c>
      <c r="S791">
        <v>0.24</v>
      </c>
      <c r="T791">
        <v>1.62</v>
      </c>
      <c r="U791">
        <v>0.72</v>
      </c>
      <c r="V791">
        <v>2.11</v>
      </c>
      <c r="W791">
        <v>1.05</v>
      </c>
      <c r="X791">
        <v>2.1</v>
      </c>
    </row>
    <row r="792" spans="2:24" hidden="1" x14ac:dyDescent="0.35">
      <c r="B792">
        <v>2018</v>
      </c>
      <c r="C792" s="1">
        <v>43339</v>
      </c>
      <c r="D792">
        <v>2411</v>
      </c>
      <c r="E792" t="s">
        <v>23</v>
      </c>
      <c r="F792" t="s">
        <v>39</v>
      </c>
      <c r="G792" t="s">
        <v>29</v>
      </c>
      <c r="H792">
        <v>80.53</v>
      </c>
      <c r="I792">
        <v>85.5</v>
      </c>
      <c r="J792">
        <v>0.3669</v>
      </c>
      <c r="K792">
        <v>0.37390000000000001</v>
      </c>
      <c r="L792">
        <v>0.2591</v>
      </c>
      <c r="M792">
        <v>1.53</v>
      </c>
      <c r="N792">
        <v>1.54</v>
      </c>
      <c r="O792">
        <v>59.7</v>
      </c>
      <c r="P792">
        <v>64.900000000000006</v>
      </c>
      <c r="Q792">
        <v>0</v>
      </c>
      <c r="R792">
        <v>3</v>
      </c>
      <c r="S792">
        <v>1.57</v>
      </c>
      <c r="T792">
        <v>1.66</v>
      </c>
      <c r="U792">
        <v>2.2000000000000002</v>
      </c>
      <c r="V792">
        <v>1.25</v>
      </c>
      <c r="W792">
        <v>0</v>
      </c>
      <c r="X792">
        <v>2.78</v>
      </c>
    </row>
    <row r="793" spans="2:24" hidden="1" x14ac:dyDescent="0.35">
      <c r="B793">
        <v>2018</v>
      </c>
      <c r="C793" s="1">
        <v>43344</v>
      </c>
      <c r="D793">
        <v>2411</v>
      </c>
      <c r="E793" t="s">
        <v>23</v>
      </c>
      <c r="F793" t="s">
        <v>25</v>
      </c>
      <c r="G793" t="s">
        <v>41</v>
      </c>
      <c r="H793">
        <v>71.11</v>
      </c>
      <c r="I793">
        <v>90.02</v>
      </c>
      <c r="J793">
        <v>0.18179999999999999</v>
      </c>
      <c r="K793">
        <v>0.5907</v>
      </c>
      <c r="L793">
        <v>0.22750000000000001</v>
      </c>
      <c r="M793">
        <v>1.03</v>
      </c>
      <c r="N793">
        <v>2.0299999999999998</v>
      </c>
      <c r="O793">
        <v>25.2</v>
      </c>
      <c r="P793">
        <v>58.1</v>
      </c>
      <c r="Q793">
        <v>1</v>
      </c>
      <c r="R793">
        <v>2</v>
      </c>
      <c r="S793">
        <v>0.95</v>
      </c>
      <c r="T793">
        <v>1.51</v>
      </c>
      <c r="U793">
        <v>1.22</v>
      </c>
      <c r="V793">
        <v>1.1399999999999999</v>
      </c>
      <c r="W793">
        <v>1.05</v>
      </c>
      <c r="X793">
        <v>2.1</v>
      </c>
    </row>
    <row r="794" spans="2:24" hidden="1" x14ac:dyDescent="0.35">
      <c r="B794">
        <v>2018</v>
      </c>
      <c r="C794" s="1">
        <v>43344</v>
      </c>
      <c r="D794">
        <v>2411</v>
      </c>
      <c r="E794" t="s">
        <v>23</v>
      </c>
      <c r="F794" t="s">
        <v>45</v>
      </c>
      <c r="G794" t="s">
        <v>48</v>
      </c>
      <c r="H794">
        <v>63.49</v>
      </c>
      <c r="I794">
        <v>63.49</v>
      </c>
      <c r="J794">
        <v>0.43070000000000003</v>
      </c>
      <c r="K794">
        <v>0.28810000000000002</v>
      </c>
      <c r="L794">
        <v>0.28120000000000001</v>
      </c>
      <c r="M794">
        <v>1.45</v>
      </c>
      <c r="N794">
        <v>1.1399999999999999</v>
      </c>
      <c r="O794">
        <v>31.4</v>
      </c>
      <c r="P794">
        <v>33.799999999999997</v>
      </c>
      <c r="Q794">
        <v>2</v>
      </c>
      <c r="R794">
        <v>2</v>
      </c>
      <c r="S794">
        <v>2.94</v>
      </c>
      <c r="T794">
        <v>1.5</v>
      </c>
      <c r="U794">
        <v>1.1499999999999999</v>
      </c>
      <c r="V794">
        <v>0.9</v>
      </c>
      <c r="W794">
        <v>2.1</v>
      </c>
      <c r="X794">
        <v>2.1</v>
      </c>
    </row>
    <row r="795" spans="2:24" hidden="1" x14ac:dyDescent="0.35">
      <c r="B795">
        <v>2018</v>
      </c>
      <c r="C795" s="1">
        <v>43344</v>
      </c>
      <c r="D795">
        <v>2411</v>
      </c>
      <c r="E795" t="s">
        <v>23</v>
      </c>
      <c r="F795" t="s">
        <v>43</v>
      </c>
      <c r="G795" t="s">
        <v>49</v>
      </c>
      <c r="H795">
        <v>63.22</v>
      </c>
      <c r="I795">
        <v>63.83</v>
      </c>
      <c r="J795">
        <v>0.44819999999999999</v>
      </c>
      <c r="K795">
        <v>0.27350000000000002</v>
      </c>
      <c r="L795">
        <v>0.27829999999999999</v>
      </c>
      <c r="M795">
        <v>1.49</v>
      </c>
      <c r="N795">
        <v>1.1100000000000001</v>
      </c>
      <c r="O795">
        <v>37.799999999999997</v>
      </c>
      <c r="P795">
        <v>34.5</v>
      </c>
      <c r="Q795">
        <v>0</v>
      </c>
      <c r="R795">
        <v>1</v>
      </c>
      <c r="S795">
        <v>0.96</v>
      </c>
      <c r="T795">
        <v>1.27</v>
      </c>
      <c r="U795">
        <v>1.81</v>
      </c>
      <c r="V795">
        <v>0.76</v>
      </c>
      <c r="W795">
        <v>0</v>
      </c>
      <c r="X795">
        <v>1.05</v>
      </c>
    </row>
    <row r="796" spans="2:24" hidden="1" x14ac:dyDescent="0.35">
      <c r="B796">
        <v>2018</v>
      </c>
      <c r="C796" s="1">
        <v>43344</v>
      </c>
      <c r="D796">
        <v>2411</v>
      </c>
      <c r="E796" t="s">
        <v>23</v>
      </c>
      <c r="F796" t="s">
        <v>30</v>
      </c>
      <c r="G796" t="s">
        <v>34</v>
      </c>
      <c r="H796">
        <v>69.81</v>
      </c>
      <c r="I796">
        <v>66.83</v>
      </c>
      <c r="J796">
        <v>0.46760000000000002</v>
      </c>
      <c r="K796">
        <v>0.253</v>
      </c>
      <c r="L796">
        <v>0.27939999999999998</v>
      </c>
      <c r="M796">
        <v>1.5</v>
      </c>
      <c r="N796">
        <v>1.03</v>
      </c>
      <c r="O796">
        <v>18.8</v>
      </c>
      <c r="P796">
        <v>31.5</v>
      </c>
      <c r="Q796">
        <v>0</v>
      </c>
      <c r="R796">
        <v>2</v>
      </c>
      <c r="S796">
        <v>1.84</v>
      </c>
      <c r="T796">
        <v>3.11</v>
      </c>
      <c r="U796">
        <v>2.25</v>
      </c>
      <c r="V796">
        <v>1.38</v>
      </c>
      <c r="W796">
        <v>0</v>
      </c>
      <c r="X796">
        <v>1.58</v>
      </c>
    </row>
    <row r="797" spans="2:24" hidden="1" x14ac:dyDescent="0.35">
      <c r="B797">
        <v>2018</v>
      </c>
      <c r="C797" s="1">
        <v>43344</v>
      </c>
      <c r="D797">
        <v>2411</v>
      </c>
      <c r="E797" t="s">
        <v>23</v>
      </c>
      <c r="F797" t="s">
        <v>28</v>
      </c>
      <c r="G797" t="s">
        <v>44</v>
      </c>
      <c r="H797">
        <v>67.209999999999994</v>
      </c>
      <c r="I797">
        <v>57.45</v>
      </c>
      <c r="J797">
        <v>0.53680000000000005</v>
      </c>
      <c r="K797">
        <v>0.191</v>
      </c>
      <c r="L797">
        <v>0.2722</v>
      </c>
      <c r="M797">
        <v>1.58</v>
      </c>
      <c r="N797">
        <v>0.83</v>
      </c>
      <c r="O797">
        <v>23</v>
      </c>
      <c r="P797">
        <v>43.5</v>
      </c>
      <c r="Q797">
        <v>1</v>
      </c>
      <c r="R797">
        <v>1</v>
      </c>
      <c r="S797">
        <v>0.82</v>
      </c>
      <c r="T797">
        <v>0.59</v>
      </c>
      <c r="U797">
        <v>1.32</v>
      </c>
      <c r="V797">
        <v>1.06</v>
      </c>
      <c r="W797">
        <v>1.05</v>
      </c>
      <c r="X797">
        <v>1.05</v>
      </c>
    </row>
    <row r="798" spans="2:24" hidden="1" x14ac:dyDescent="0.35">
      <c r="B798">
        <v>2018</v>
      </c>
      <c r="C798" s="1">
        <v>43344</v>
      </c>
      <c r="D798">
        <v>2411</v>
      </c>
      <c r="E798" t="s">
        <v>23</v>
      </c>
      <c r="F798" t="s">
        <v>42</v>
      </c>
      <c r="G798" t="s">
        <v>38</v>
      </c>
      <c r="H798">
        <v>85.37</v>
      </c>
      <c r="I798">
        <v>65.290000000000006</v>
      </c>
      <c r="J798">
        <v>0.75449999999999995</v>
      </c>
      <c r="K798">
        <v>8.2900000000000001E-2</v>
      </c>
      <c r="L798">
        <v>0.16259999999999999</v>
      </c>
      <c r="M798">
        <v>2.52</v>
      </c>
      <c r="N798">
        <v>0.72</v>
      </c>
      <c r="O798">
        <v>55.9</v>
      </c>
      <c r="P798">
        <v>15.1</v>
      </c>
      <c r="Q798">
        <v>2</v>
      </c>
      <c r="R798">
        <v>0</v>
      </c>
      <c r="S798">
        <v>1.28</v>
      </c>
      <c r="T798">
        <v>1.1399999999999999</v>
      </c>
      <c r="U798">
        <v>2.79</v>
      </c>
      <c r="V798">
        <v>0.97</v>
      </c>
      <c r="W798">
        <v>1.72</v>
      </c>
      <c r="X798">
        <v>0</v>
      </c>
    </row>
    <row r="799" spans="2:24" hidden="1" x14ac:dyDescent="0.35">
      <c r="B799">
        <v>2018</v>
      </c>
      <c r="C799" s="1">
        <v>43344</v>
      </c>
      <c r="D799">
        <v>2411</v>
      </c>
      <c r="E799" t="s">
        <v>23</v>
      </c>
      <c r="F799" t="s">
        <v>36</v>
      </c>
      <c r="G799" t="s">
        <v>46</v>
      </c>
      <c r="H799">
        <v>92.43</v>
      </c>
      <c r="I799">
        <v>67.010000000000005</v>
      </c>
      <c r="J799">
        <v>0.86429999999999996</v>
      </c>
      <c r="K799">
        <v>2.64E-2</v>
      </c>
      <c r="L799">
        <v>0.10929999999999999</v>
      </c>
      <c r="M799">
        <v>2.72</v>
      </c>
      <c r="N799">
        <v>0.32</v>
      </c>
      <c r="O799">
        <v>77.3</v>
      </c>
      <c r="P799">
        <v>24.3</v>
      </c>
      <c r="Q799">
        <v>2</v>
      </c>
      <c r="R799">
        <v>1</v>
      </c>
      <c r="S799">
        <v>2.5499999999999998</v>
      </c>
      <c r="T799">
        <v>0.61</v>
      </c>
      <c r="U799">
        <v>2.34</v>
      </c>
      <c r="V799">
        <v>0.45</v>
      </c>
      <c r="W799">
        <v>2.1</v>
      </c>
      <c r="X799">
        <v>1.05</v>
      </c>
    </row>
    <row r="800" spans="2:24" hidden="1" x14ac:dyDescent="0.35">
      <c r="B800">
        <v>2018</v>
      </c>
      <c r="C800" s="1">
        <v>43345</v>
      </c>
      <c r="D800">
        <v>2411</v>
      </c>
      <c r="E800" t="s">
        <v>23</v>
      </c>
      <c r="F800" t="s">
        <v>47</v>
      </c>
      <c r="G800" t="s">
        <v>40</v>
      </c>
      <c r="H800">
        <v>59.99</v>
      </c>
      <c r="I800">
        <v>80.5</v>
      </c>
      <c r="J800">
        <v>0.2056</v>
      </c>
      <c r="K800">
        <v>0.56130000000000002</v>
      </c>
      <c r="L800">
        <v>0.2331</v>
      </c>
      <c r="M800">
        <v>1.1299999999999999</v>
      </c>
      <c r="N800">
        <v>1.99</v>
      </c>
      <c r="O800">
        <v>42.4</v>
      </c>
      <c r="P800">
        <v>49.6</v>
      </c>
      <c r="Q800">
        <v>2</v>
      </c>
      <c r="R800">
        <v>3</v>
      </c>
      <c r="S800">
        <v>1.01</v>
      </c>
      <c r="T800">
        <v>1.53</v>
      </c>
      <c r="U800">
        <v>1.33</v>
      </c>
      <c r="V800">
        <v>2.4500000000000002</v>
      </c>
      <c r="W800">
        <v>2.1</v>
      </c>
      <c r="X800">
        <v>3.15</v>
      </c>
    </row>
    <row r="801" spans="2:24" hidden="1" x14ac:dyDescent="0.35">
      <c r="B801">
        <v>2018</v>
      </c>
      <c r="C801" s="1">
        <v>43345</v>
      </c>
      <c r="D801">
        <v>2411</v>
      </c>
      <c r="E801" t="s">
        <v>23</v>
      </c>
      <c r="F801" t="s">
        <v>35</v>
      </c>
      <c r="G801" t="s">
        <v>29</v>
      </c>
      <c r="H801">
        <v>69.16</v>
      </c>
      <c r="I801">
        <v>85.94</v>
      </c>
      <c r="J801">
        <v>0.21820000000000001</v>
      </c>
      <c r="K801">
        <v>0.54059999999999997</v>
      </c>
      <c r="L801">
        <v>0.2412</v>
      </c>
      <c r="M801">
        <v>1.1299999999999999</v>
      </c>
      <c r="N801">
        <v>1.9</v>
      </c>
      <c r="O801">
        <v>24.8</v>
      </c>
      <c r="P801">
        <v>54.3</v>
      </c>
      <c r="Q801">
        <v>2</v>
      </c>
      <c r="R801">
        <v>1</v>
      </c>
      <c r="S801">
        <v>0.45</v>
      </c>
      <c r="T801">
        <v>0.83</v>
      </c>
      <c r="U801">
        <v>1.31</v>
      </c>
      <c r="V801">
        <v>1.8</v>
      </c>
      <c r="W801">
        <v>2.1</v>
      </c>
      <c r="X801">
        <v>1.05</v>
      </c>
    </row>
    <row r="802" spans="2:24" hidden="1" x14ac:dyDescent="0.35">
      <c r="B802">
        <v>2018</v>
      </c>
      <c r="C802" s="1">
        <v>43345</v>
      </c>
      <c r="D802">
        <v>2411</v>
      </c>
      <c r="E802" t="s">
        <v>23</v>
      </c>
      <c r="F802" t="s">
        <v>32</v>
      </c>
      <c r="G802" t="s">
        <v>39</v>
      </c>
      <c r="H802">
        <v>63.22</v>
      </c>
      <c r="I802">
        <v>80.010000000000005</v>
      </c>
      <c r="J802">
        <v>0.25319999999999998</v>
      </c>
      <c r="K802">
        <v>0.48149999999999998</v>
      </c>
      <c r="L802">
        <v>0.26529999999999998</v>
      </c>
      <c r="M802">
        <v>1.1200000000000001</v>
      </c>
      <c r="N802">
        <v>1.63</v>
      </c>
      <c r="O802">
        <v>36.799999999999997</v>
      </c>
      <c r="P802">
        <v>42.5</v>
      </c>
      <c r="Q802">
        <v>0</v>
      </c>
      <c r="R802">
        <v>2</v>
      </c>
      <c r="S802">
        <v>1.1299999999999999</v>
      </c>
      <c r="T802">
        <v>2.91</v>
      </c>
      <c r="U802">
        <v>1.34</v>
      </c>
      <c r="V802">
        <v>2.68</v>
      </c>
      <c r="W802">
        <v>0</v>
      </c>
      <c r="X802">
        <v>2.1</v>
      </c>
    </row>
    <row r="803" spans="2:24" hidden="1" x14ac:dyDescent="0.35">
      <c r="B803">
        <v>2018</v>
      </c>
      <c r="C803" s="1">
        <v>43358</v>
      </c>
      <c r="D803">
        <v>2411</v>
      </c>
      <c r="E803" t="s">
        <v>23</v>
      </c>
      <c r="F803" t="s">
        <v>29</v>
      </c>
      <c r="G803" t="s">
        <v>41</v>
      </c>
      <c r="H803">
        <v>85.53</v>
      </c>
      <c r="I803">
        <v>89.88</v>
      </c>
      <c r="J803">
        <v>0.36209999999999998</v>
      </c>
      <c r="K803">
        <v>0.38350000000000001</v>
      </c>
      <c r="L803">
        <v>0.25440000000000002</v>
      </c>
      <c r="M803">
        <v>1.56</v>
      </c>
      <c r="N803">
        <v>1.61</v>
      </c>
      <c r="O803">
        <v>57.5</v>
      </c>
      <c r="P803">
        <v>71.599999999999994</v>
      </c>
      <c r="Q803">
        <v>1</v>
      </c>
      <c r="R803">
        <v>2</v>
      </c>
      <c r="S803">
        <v>0.97</v>
      </c>
      <c r="T803">
        <v>2.71</v>
      </c>
      <c r="U803">
        <v>1.06</v>
      </c>
      <c r="V803">
        <v>1.1599999999999999</v>
      </c>
      <c r="W803">
        <v>1.05</v>
      </c>
      <c r="X803">
        <v>2.1</v>
      </c>
    </row>
    <row r="804" spans="2:24" hidden="1" x14ac:dyDescent="0.35">
      <c r="B804">
        <v>2018</v>
      </c>
      <c r="C804" s="1">
        <v>43358</v>
      </c>
      <c r="D804">
        <v>2411</v>
      </c>
      <c r="E804" t="s">
        <v>23</v>
      </c>
      <c r="F804" t="s">
        <v>38</v>
      </c>
      <c r="G804" t="s">
        <v>25</v>
      </c>
      <c r="H804">
        <v>65.52</v>
      </c>
      <c r="I804">
        <v>71.42</v>
      </c>
      <c r="J804">
        <v>0.39169999999999999</v>
      </c>
      <c r="K804">
        <v>0.3377</v>
      </c>
      <c r="L804">
        <v>0.27050000000000002</v>
      </c>
      <c r="M804">
        <v>1.48</v>
      </c>
      <c r="N804">
        <v>1.35</v>
      </c>
      <c r="O804">
        <v>19.600000000000001</v>
      </c>
      <c r="P804">
        <v>16.600000000000001</v>
      </c>
      <c r="Q804">
        <v>4</v>
      </c>
      <c r="R804">
        <v>2</v>
      </c>
      <c r="S804">
        <v>2.15</v>
      </c>
      <c r="T804">
        <v>1.96</v>
      </c>
      <c r="U804">
        <v>0.66</v>
      </c>
      <c r="V804">
        <v>1.44</v>
      </c>
      <c r="W804">
        <v>3.78</v>
      </c>
      <c r="X804">
        <v>2.1</v>
      </c>
    </row>
    <row r="805" spans="2:24" hidden="1" x14ac:dyDescent="0.35">
      <c r="B805">
        <v>2018</v>
      </c>
      <c r="C805" s="1">
        <v>43358</v>
      </c>
      <c r="D805">
        <v>2411</v>
      </c>
      <c r="E805" t="s">
        <v>23</v>
      </c>
      <c r="F805" t="s">
        <v>36</v>
      </c>
      <c r="G805" t="s">
        <v>48</v>
      </c>
      <c r="H805">
        <v>92.22</v>
      </c>
      <c r="I805">
        <v>62.99</v>
      </c>
      <c r="J805">
        <v>0.87480000000000002</v>
      </c>
      <c r="K805">
        <v>2.8199999999999999E-2</v>
      </c>
      <c r="L805">
        <v>9.7000000000000003E-2</v>
      </c>
      <c r="M805">
        <v>2.99</v>
      </c>
      <c r="N805">
        <v>0.41</v>
      </c>
      <c r="O805">
        <v>65.400000000000006</v>
      </c>
      <c r="P805">
        <v>30.2</v>
      </c>
      <c r="Q805">
        <v>3</v>
      </c>
      <c r="R805">
        <v>0</v>
      </c>
      <c r="S805">
        <v>4.62</v>
      </c>
      <c r="T805">
        <v>0.41</v>
      </c>
      <c r="U805">
        <v>3.82</v>
      </c>
      <c r="V805">
        <v>0.71</v>
      </c>
      <c r="W805">
        <v>3.15</v>
      </c>
      <c r="X805">
        <v>0</v>
      </c>
    </row>
    <row r="806" spans="2:24" hidden="1" x14ac:dyDescent="0.35">
      <c r="B806">
        <v>2018</v>
      </c>
      <c r="C806" s="1">
        <v>43358</v>
      </c>
      <c r="D806">
        <v>2411</v>
      </c>
      <c r="E806" t="s">
        <v>23</v>
      </c>
      <c r="F806" t="s">
        <v>42</v>
      </c>
      <c r="G806" t="s">
        <v>47</v>
      </c>
      <c r="H806">
        <v>85.31</v>
      </c>
      <c r="I806">
        <v>59.99</v>
      </c>
      <c r="J806">
        <v>0.80489999999999995</v>
      </c>
      <c r="K806">
        <v>4.7300000000000002E-2</v>
      </c>
      <c r="L806">
        <v>0.14779999999999999</v>
      </c>
      <c r="M806">
        <v>2.42</v>
      </c>
      <c r="N806">
        <v>0.42</v>
      </c>
      <c r="O806">
        <v>54.9</v>
      </c>
      <c r="P806">
        <v>31.5</v>
      </c>
      <c r="Q806">
        <v>4</v>
      </c>
      <c r="R806">
        <v>1</v>
      </c>
      <c r="S806">
        <v>2.65</v>
      </c>
      <c r="T806">
        <v>0.84</v>
      </c>
      <c r="U806">
        <v>2.2799999999999998</v>
      </c>
      <c r="V806">
        <v>0.77</v>
      </c>
      <c r="W806">
        <v>3.61</v>
      </c>
      <c r="X806">
        <v>1.05</v>
      </c>
    </row>
    <row r="807" spans="2:24" hidden="1" x14ac:dyDescent="0.35">
      <c r="B807">
        <v>2018</v>
      </c>
      <c r="C807" s="1">
        <v>43358</v>
      </c>
      <c r="D807">
        <v>2411</v>
      </c>
      <c r="E807" t="s">
        <v>23</v>
      </c>
      <c r="F807" t="s">
        <v>44</v>
      </c>
      <c r="G807" t="s">
        <v>30</v>
      </c>
      <c r="H807">
        <v>58.31</v>
      </c>
      <c r="I807">
        <v>68.290000000000006</v>
      </c>
      <c r="J807">
        <v>0.33900000000000002</v>
      </c>
      <c r="K807">
        <v>0.36409999999999998</v>
      </c>
      <c r="L807">
        <v>0.2969</v>
      </c>
      <c r="M807">
        <v>1.18</v>
      </c>
      <c r="N807">
        <v>1.23</v>
      </c>
      <c r="O807">
        <v>44.1</v>
      </c>
      <c r="P807">
        <v>23</v>
      </c>
      <c r="Q807">
        <v>0</v>
      </c>
      <c r="R807">
        <v>1</v>
      </c>
      <c r="S807">
        <v>1</v>
      </c>
      <c r="T807">
        <v>0.64</v>
      </c>
      <c r="U807">
        <v>2.11</v>
      </c>
      <c r="V807">
        <v>0.64</v>
      </c>
      <c r="W807">
        <v>0</v>
      </c>
      <c r="X807">
        <v>1.05</v>
      </c>
    </row>
    <row r="808" spans="2:24" hidden="1" x14ac:dyDescent="0.35">
      <c r="B808">
        <v>2018</v>
      </c>
      <c r="C808" s="1">
        <v>43358</v>
      </c>
      <c r="D808">
        <v>2411</v>
      </c>
      <c r="E808" t="s">
        <v>23</v>
      </c>
      <c r="F808" t="s">
        <v>46</v>
      </c>
      <c r="G808" t="s">
        <v>40</v>
      </c>
      <c r="H808">
        <v>67.42</v>
      </c>
      <c r="I808">
        <v>80.31</v>
      </c>
      <c r="J808">
        <v>0.25829999999999997</v>
      </c>
      <c r="K808">
        <v>0.49819999999999998</v>
      </c>
      <c r="L808">
        <v>0.24349999999999999</v>
      </c>
      <c r="M808">
        <v>1.3</v>
      </c>
      <c r="N808">
        <v>1.88</v>
      </c>
      <c r="O808">
        <v>25.7</v>
      </c>
      <c r="P808">
        <v>55.5</v>
      </c>
      <c r="Q808">
        <v>1</v>
      </c>
      <c r="R808">
        <v>2</v>
      </c>
      <c r="S808">
        <v>0.47</v>
      </c>
      <c r="T808">
        <v>1.05</v>
      </c>
      <c r="U808">
        <v>0.94</v>
      </c>
      <c r="V808">
        <v>1.4</v>
      </c>
      <c r="W808">
        <v>1.05</v>
      </c>
      <c r="X808">
        <v>2.1</v>
      </c>
    </row>
    <row r="809" spans="2:24" hidden="1" x14ac:dyDescent="0.35">
      <c r="B809">
        <v>2018</v>
      </c>
      <c r="C809" s="1">
        <v>43358</v>
      </c>
      <c r="D809">
        <v>2411</v>
      </c>
      <c r="E809" t="s">
        <v>23</v>
      </c>
      <c r="F809" t="s">
        <v>35</v>
      </c>
      <c r="G809" t="s">
        <v>39</v>
      </c>
      <c r="H809">
        <v>69.83</v>
      </c>
      <c r="I809">
        <v>80.97</v>
      </c>
      <c r="J809">
        <v>0.29199999999999998</v>
      </c>
      <c r="K809">
        <v>0.43780000000000002</v>
      </c>
      <c r="L809">
        <v>0.2702</v>
      </c>
      <c r="M809">
        <v>1.22</v>
      </c>
      <c r="N809">
        <v>1.55</v>
      </c>
      <c r="O809">
        <v>26.1</v>
      </c>
      <c r="P809">
        <v>47.3</v>
      </c>
      <c r="Q809">
        <v>1</v>
      </c>
      <c r="R809">
        <v>2</v>
      </c>
      <c r="S809">
        <v>0.87</v>
      </c>
      <c r="T809">
        <v>1.64</v>
      </c>
      <c r="U809">
        <v>1.83</v>
      </c>
      <c r="V809">
        <v>1.45</v>
      </c>
      <c r="W809">
        <v>1.05</v>
      </c>
      <c r="X809">
        <v>2.1</v>
      </c>
    </row>
    <row r="810" spans="2:24" hidden="1" x14ac:dyDescent="0.35">
      <c r="B810">
        <v>2018</v>
      </c>
      <c r="C810" s="1">
        <v>43359</v>
      </c>
      <c r="D810">
        <v>2411</v>
      </c>
      <c r="E810" t="s">
        <v>23</v>
      </c>
      <c r="F810" t="s">
        <v>49</v>
      </c>
      <c r="G810" t="s">
        <v>32</v>
      </c>
      <c r="H810">
        <v>64.52</v>
      </c>
      <c r="I810">
        <v>61.86</v>
      </c>
      <c r="J810">
        <v>0.45379999999999998</v>
      </c>
      <c r="K810">
        <v>0.25669999999999998</v>
      </c>
      <c r="L810">
        <v>0.28949999999999998</v>
      </c>
      <c r="M810">
        <v>1.41</v>
      </c>
      <c r="N810">
        <v>0.99</v>
      </c>
      <c r="O810">
        <v>32.4</v>
      </c>
      <c r="P810">
        <v>40</v>
      </c>
      <c r="Q810">
        <v>1</v>
      </c>
      <c r="R810">
        <v>0</v>
      </c>
      <c r="S810">
        <v>3.23</v>
      </c>
      <c r="T810">
        <v>0.25</v>
      </c>
      <c r="U810">
        <v>1.84</v>
      </c>
      <c r="V810">
        <v>0.73</v>
      </c>
      <c r="W810">
        <v>1.05</v>
      </c>
      <c r="X810">
        <v>0</v>
      </c>
    </row>
    <row r="811" spans="2:24" hidden="1" x14ac:dyDescent="0.35">
      <c r="B811">
        <v>2018</v>
      </c>
      <c r="C811" s="1">
        <v>43359</v>
      </c>
      <c r="D811">
        <v>2411</v>
      </c>
      <c r="E811" t="s">
        <v>23</v>
      </c>
      <c r="F811" t="s">
        <v>28</v>
      </c>
      <c r="G811" t="s">
        <v>43</v>
      </c>
      <c r="H811">
        <v>66.55</v>
      </c>
      <c r="I811">
        <v>62.8</v>
      </c>
      <c r="J811">
        <v>0.47010000000000002</v>
      </c>
      <c r="K811">
        <v>0.26229999999999998</v>
      </c>
      <c r="L811">
        <v>0.2676</v>
      </c>
      <c r="M811">
        <v>1.61</v>
      </c>
      <c r="N811">
        <v>1.1399999999999999</v>
      </c>
      <c r="O811">
        <v>23.6</v>
      </c>
      <c r="P811">
        <v>37.1</v>
      </c>
      <c r="Q811">
        <v>1</v>
      </c>
      <c r="R811">
        <v>3</v>
      </c>
      <c r="S811">
        <v>1.69</v>
      </c>
      <c r="T811">
        <v>1.28</v>
      </c>
      <c r="U811">
        <v>1.33</v>
      </c>
      <c r="V811">
        <v>1.1599999999999999</v>
      </c>
      <c r="W811">
        <v>1.05</v>
      </c>
      <c r="X811">
        <v>3.15</v>
      </c>
    </row>
    <row r="812" spans="2:24" hidden="1" x14ac:dyDescent="0.35">
      <c r="B812">
        <v>2018</v>
      </c>
      <c r="C812" s="1">
        <v>43360</v>
      </c>
      <c r="D812">
        <v>2411</v>
      </c>
      <c r="E812" t="s">
        <v>23</v>
      </c>
      <c r="F812" t="s">
        <v>34</v>
      </c>
      <c r="G812" t="s">
        <v>45</v>
      </c>
      <c r="H812">
        <v>68</v>
      </c>
      <c r="I812">
        <v>63.56</v>
      </c>
      <c r="J812">
        <v>0.48049999999999998</v>
      </c>
      <c r="K812">
        <v>0.23949999999999999</v>
      </c>
      <c r="L812">
        <v>0.28000000000000003</v>
      </c>
      <c r="M812">
        <v>1.5</v>
      </c>
      <c r="N812">
        <v>0.98</v>
      </c>
      <c r="O812">
        <v>25.2</v>
      </c>
      <c r="P812">
        <v>30.3</v>
      </c>
      <c r="Q812">
        <v>2</v>
      </c>
      <c r="R812">
        <v>2</v>
      </c>
      <c r="S812">
        <v>2.27</v>
      </c>
      <c r="T812">
        <v>2.15</v>
      </c>
      <c r="U812">
        <v>1.41</v>
      </c>
      <c r="V812">
        <v>1.52</v>
      </c>
      <c r="W812">
        <v>2.1</v>
      </c>
      <c r="X812">
        <v>2.1</v>
      </c>
    </row>
    <row r="813" spans="2:24" hidden="1" x14ac:dyDescent="0.35">
      <c r="B813">
        <v>2018</v>
      </c>
      <c r="C813" s="1">
        <v>43365</v>
      </c>
      <c r="D813">
        <v>2411</v>
      </c>
      <c r="E813" t="s">
        <v>23</v>
      </c>
      <c r="F813" t="s">
        <v>48</v>
      </c>
      <c r="G813" t="s">
        <v>35</v>
      </c>
      <c r="H813">
        <v>61.89</v>
      </c>
      <c r="I813">
        <v>69.59</v>
      </c>
      <c r="J813">
        <v>0.38579999999999998</v>
      </c>
      <c r="K813">
        <v>0.33889999999999998</v>
      </c>
      <c r="L813">
        <v>0.27529999999999999</v>
      </c>
      <c r="M813">
        <v>1.43</v>
      </c>
      <c r="N813">
        <v>1.32</v>
      </c>
      <c r="O813">
        <v>34.1</v>
      </c>
      <c r="P813">
        <v>15.8</v>
      </c>
      <c r="Q813">
        <v>1</v>
      </c>
      <c r="R813">
        <v>1</v>
      </c>
      <c r="S813">
        <v>1.53</v>
      </c>
      <c r="T813">
        <v>1.58</v>
      </c>
      <c r="U813">
        <v>1.85</v>
      </c>
      <c r="V813">
        <v>1.24</v>
      </c>
      <c r="W813">
        <v>1.05</v>
      </c>
      <c r="X813">
        <v>1.05</v>
      </c>
    </row>
    <row r="814" spans="2:24" hidden="1" x14ac:dyDescent="0.35">
      <c r="B814">
        <v>2018</v>
      </c>
      <c r="C814" s="1">
        <v>43365</v>
      </c>
      <c r="D814">
        <v>2411</v>
      </c>
      <c r="E814" t="s">
        <v>23</v>
      </c>
      <c r="F814" t="s">
        <v>39</v>
      </c>
      <c r="G814" t="s">
        <v>49</v>
      </c>
      <c r="H814">
        <v>82</v>
      </c>
      <c r="I814">
        <v>66.040000000000006</v>
      </c>
      <c r="J814">
        <v>0.67789999999999995</v>
      </c>
      <c r="K814">
        <v>0.11070000000000001</v>
      </c>
      <c r="L814">
        <v>0.21149999999999999</v>
      </c>
      <c r="M814">
        <v>2.0299999999999998</v>
      </c>
      <c r="N814">
        <v>0.68</v>
      </c>
      <c r="O814">
        <v>55.5</v>
      </c>
      <c r="P814">
        <v>15.9</v>
      </c>
      <c r="Q814">
        <v>1</v>
      </c>
      <c r="R814">
        <v>1</v>
      </c>
      <c r="S814">
        <v>0.59</v>
      </c>
      <c r="T814">
        <v>1.19</v>
      </c>
      <c r="U814">
        <v>2.38</v>
      </c>
      <c r="V814">
        <v>1.24</v>
      </c>
      <c r="W814">
        <v>1.05</v>
      </c>
      <c r="X814">
        <v>1.05</v>
      </c>
    </row>
    <row r="815" spans="2:24" hidden="1" x14ac:dyDescent="0.35">
      <c r="B815">
        <v>2018</v>
      </c>
      <c r="C815" s="1">
        <v>43365</v>
      </c>
      <c r="D815">
        <v>2411</v>
      </c>
      <c r="E815" t="s">
        <v>23</v>
      </c>
      <c r="F815" t="s">
        <v>47</v>
      </c>
      <c r="G815" t="s">
        <v>36</v>
      </c>
      <c r="H815">
        <v>59.83</v>
      </c>
      <c r="I815">
        <v>92.29</v>
      </c>
      <c r="J815">
        <v>8.8599999999999998E-2</v>
      </c>
      <c r="K815">
        <v>0.74319999999999997</v>
      </c>
      <c r="L815">
        <v>0.16819999999999999</v>
      </c>
      <c r="M815">
        <v>0.74</v>
      </c>
      <c r="N815">
        <v>2.48</v>
      </c>
      <c r="O815">
        <v>40.5</v>
      </c>
      <c r="P815">
        <v>66.2</v>
      </c>
      <c r="Q815">
        <v>0</v>
      </c>
      <c r="R815">
        <v>5</v>
      </c>
      <c r="S815">
        <v>0.14000000000000001</v>
      </c>
      <c r="T815">
        <v>3.32</v>
      </c>
      <c r="U815">
        <v>0.36</v>
      </c>
      <c r="V815">
        <v>3.26</v>
      </c>
      <c r="W815">
        <v>0</v>
      </c>
      <c r="X815">
        <v>4.7699999999999996</v>
      </c>
    </row>
    <row r="816" spans="2:24" hidden="1" x14ac:dyDescent="0.35">
      <c r="B816">
        <v>2018</v>
      </c>
      <c r="C816" s="1">
        <v>43365</v>
      </c>
      <c r="D816">
        <v>2411</v>
      </c>
      <c r="E816" t="s">
        <v>23</v>
      </c>
      <c r="F816" t="s">
        <v>41</v>
      </c>
      <c r="G816" t="s">
        <v>34</v>
      </c>
      <c r="H816">
        <v>90.63</v>
      </c>
      <c r="I816">
        <v>67.03</v>
      </c>
      <c r="J816">
        <v>0.83460000000000001</v>
      </c>
      <c r="K816">
        <v>4.0800000000000003E-2</v>
      </c>
      <c r="L816">
        <v>0.1246</v>
      </c>
      <c r="M816">
        <v>2.69</v>
      </c>
      <c r="N816">
        <v>0.45</v>
      </c>
      <c r="O816">
        <v>67.099999999999994</v>
      </c>
      <c r="P816">
        <v>18.7</v>
      </c>
      <c r="Q816">
        <v>3</v>
      </c>
      <c r="R816">
        <v>0</v>
      </c>
      <c r="S816">
        <v>1.68</v>
      </c>
      <c r="T816">
        <v>0.38</v>
      </c>
      <c r="U816">
        <v>2.21</v>
      </c>
      <c r="V816">
        <v>0.68</v>
      </c>
      <c r="W816">
        <v>3.15</v>
      </c>
      <c r="X816">
        <v>0</v>
      </c>
    </row>
    <row r="817" spans="2:24" hidden="1" x14ac:dyDescent="0.35">
      <c r="B817">
        <v>2018</v>
      </c>
      <c r="C817" s="1">
        <v>43365</v>
      </c>
      <c r="D817">
        <v>2411</v>
      </c>
      <c r="E817" t="s">
        <v>23</v>
      </c>
      <c r="F817" t="s">
        <v>30</v>
      </c>
      <c r="G817" t="s">
        <v>46</v>
      </c>
      <c r="H817">
        <v>68.03</v>
      </c>
      <c r="I817">
        <v>67.19</v>
      </c>
      <c r="J817">
        <v>0.44979999999999998</v>
      </c>
      <c r="K817">
        <v>0.26650000000000001</v>
      </c>
      <c r="L817">
        <v>0.28370000000000001</v>
      </c>
      <c r="M817">
        <v>1.45</v>
      </c>
      <c r="N817">
        <v>1.05</v>
      </c>
      <c r="O817">
        <v>20.6</v>
      </c>
      <c r="P817">
        <v>29.5</v>
      </c>
      <c r="Q817">
        <v>0</v>
      </c>
      <c r="R817">
        <v>0</v>
      </c>
      <c r="S817">
        <v>0.97</v>
      </c>
      <c r="T817">
        <v>0.28999999999999998</v>
      </c>
      <c r="U817">
        <v>1.28</v>
      </c>
      <c r="V817">
        <v>0.52</v>
      </c>
      <c r="W817">
        <v>0</v>
      </c>
      <c r="X817">
        <v>0</v>
      </c>
    </row>
    <row r="818" spans="2:24" hidden="1" x14ac:dyDescent="0.35">
      <c r="B818">
        <v>2018</v>
      </c>
      <c r="C818" s="1">
        <v>43365</v>
      </c>
      <c r="D818">
        <v>2411</v>
      </c>
      <c r="E818" t="s">
        <v>23</v>
      </c>
      <c r="F818" t="s">
        <v>32</v>
      </c>
      <c r="G818" t="s">
        <v>38</v>
      </c>
      <c r="H818">
        <v>60.33</v>
      </c>
      <c r="I818">
        <v>65.650000000000006</v>
      </c>
      <c r="J818">
        <v>0.39850000000000002</v>
      </c>
      <c r="K818">
        <v>0.33090000000000003</v>
      </c>
      <c r="L818">
        <v>0.27060000000000001</v>
      </c>
      <c r="M818">
        <v>1.49</v>
      </c>
      <c r="N818">
        <v>1.34</v>
      </c>
      <c r="O818">
        <v>43.2</v>
      </c>
      <c r="P818">
        <v>15.8</v>
      </c>
      <c r="Q818">
        <v>4</v>
      </c>
      <c r="R818">
        <v>0</v>
      </c>
      <c r="S818">
        <v>2.3199999999999998</v>
      </c>
      <c r="T818">
        <v>1.06</v>
      </c>
      <c r="U818">
        <v>1.56</v>
      </c>
      <c r="V818">
        <v>2</v>
      </c>
      <c r="W818">
        <v>3.39</v>
      </c>
      <c r="X818">
        <v>0</v>
      </c>
    </row>
    <row r="819" spans="2:24" hidden="1" x14ac:dyDescent="0.35">
      <c r="B819">
        <v>2018</v>
      </c>
      <c r="C819" s="1">
        <v>43365</v>
      </c>
      <c r="D819">
        <v>2411</v>
      </c>
      <c r="E819" t="s">
        <v>23</v>
      </c>
      <c r="F819" t="s">
        <v>25</v>
      </c>
      <c r="G819" t="s">
        <v>44</v>
      </c>
      <c r="H819">
        <v>70.900000000000006</v>
      </c>
      <c r="I819">
        <v>58.85</v>
      </c>
      <c r="J819">
        <v>0.55920000000000003</v>
      </c>
      <c r="K819">
        <v>0.17230000000000001</v>
      </c>
      <c r="L819">
        <v>0.26850000000000002</v>
      </c>
      <c r="M819">
        <v>1.6</v>
      </c>
      <c r="N819">
        <v>0.76</v>
      </c>
      <c r="O819">
        <v>17</v>
      </c>
      <c r="P819">
        <v>40.799999999999997</v>
      </c>
      <c r="Q819">
        <v>3</v>
      </c>
      <c r="R819">
        <v>1</v>
      </c>
      <c r="S819">
        <v>1.76</v>
      </c>
      <c r="T819">
        <v>0.67</v>
      </c>
      <c r="U819">
        <v>1.26</v>
      </c>
      <c r="V819">
        <v>0.96</v>
      </c>
      <c r="W819">
        <v>3.02</v>
      </c>
      <c r="X819">
        <v>1.05</v>
      </c>
    </row>
    <row r="820" spans="2:24" hidden="1" x14ac:dyDescent="0.35">
      <c r="B820">
        <v>2018</v>
      </c>
      <c r="C820" s="1">
        <v>43365</v>
      </c>
      <c r="D820">
        <v>2411</v>
      </c>
      <c r="E820" t="s">
        <v>23</v>
      </c>
      <c r="F820" t="s">
        <v>45</v>
      </c>
      <c r="G820" t="s">
        <v>29</v>
      </c>
      <c r="H820">
        <v>63.96</v>
      </c>
      <c r="I820">
        <v>84.48</v>
      </c>
      <c r="J820">
        <v>0.19309999999999999</v>
      </c>
      <c r="K820">
        <v>0.57579999999999998</v>
      </c>
      <c r="L820">
        <v>0.2311</v>
      </c>
      <c r="M820">
        <v>1.07</v>
      </c>
      <c r="N820">
        <v>2</v>
      </c>
      <c r="O820">
        <v>26.2</v>
      </c>
      <c r="P820">
        <v>58.8</v>
      </c>
      <c r="Q820">
        <v>1</v>
      </c>
      <c r="R820">
        <v>2</v>
      </c>
      <c r="S820">
        <v>0.8</v>
      </c>
      <c r="T820">
        <v>2.06</v>
      </c>
      <c r="U820">
        <v>0.75</v>
      </c>
      <c r="V820">
        <v>1.25</v>
      </c>
      <c r="W820">
        <v>1.05</v>
      </c>
      <c r="X820">
        <v>1.94</v>
      </c>
    </row>
    <row r="821" spans="2:24" hidden="1" x14ac:dyDescent="0.35">
      <c r="B821">
        <v>2018</v>
      </c>
      <c r="C821" s="1">
        <v>43366</v>
      </c>
      <c r="D821">
        <v>2411</v>
      </c>
      <c r="E821" t="s">
        <v>23</v>
      </c>
      <c r="F821" t="s">
        <v>43</v>
      </c>
      <c r="G821" t="s">
        <v>42</v>
      </c>
      <c r="H821">
        <v>63.86</v>
      </c>
      <c r="I821">
        <v>86.27</v>
      </c>
      <c r="J821">
        <v>0.18010000000000001</v>
      </c>
      <c r="K821">
        <v>0.59730000000000005</v>
      </c>
      <c r="L821">
        <v>0.22259999999999999</v>
      </c>
      <c r="M821">
        <v>1.06</v>
      </c>
      <c r="N821">
        <v>2.09</v>
      </c>
      <c r="O821">
        <v>26.6</v>
      </c>
      <c r="P821">
        <v>52.8</v>
      </c>
      <c r="Q821">
        <v>0</v>
      </c>
      <c r="R821">
        <v>0</v>
      </c>
      <c r="S821">
        <v>0.84</v>
      </c>
      <c r="T821">
        <v>1.73</v>
      </c>
      <c r="U821">
        <v>0.49</v>
      </c>
      <c r="V821">
        <v>2.37</v>
      </c>
      <c r="W821">
        <v>0</v>
      </c>
      <c r="X821">
        <v>0</v>
      </c>
    </row>
    <row r="822" spans="2:24" hidden="1" x14ac:dyDescent="0.35">
      <c r="B822">
        <v>2018</v>
      </c>
      <c r="C822" s="1">
        <v>43366</v>
      </c>
      <c r="D822">
        <v>2411</v>
      </c>
      <c r="E822" t="s">
        <v>23</v>
      </c>
      <c r="F822" t="s">
        <v>40</v>
      </c>
      <c r="G822" t="s">
        <v>28</v>
      </c>
      <c r="H822">
        <v>80.83</v>
      </c>
      <c r="I822">
        <v>65.31</v>
      </c>
      <c r="J822">
        <v>0.6784</v>
      </c>
      <c r="K822">
        <v>0.1336</v>
      </c>
      <c r="L822">
        <v>0.188</v>
      </c>
      <c r="M822">
        <v>2.44</v>
      </c>
      <c r="N822">
        <v>1</v>
      </c>
      <c r="O822">
        <v>53.3</v>
      </c>
      <c r="P822">
        <v>24.1</v>
      </c>
      <c r="Q822">
        <v>2</v>
      </c>
      <c r="R822">
        <v>0</v>
      </c>
      <c r="S822">
        <v>0.92</v>
      </c>
      <c r="T822">
        <v>1</v>
      </c>
      <c r="U822">
        <v>1.98</v>
      </c>
      <c r="V822">
        <v>0.75</v>
      </c>
      <c r="W822">
        <v>2.1</v>
      </c>
      <c r="X822">
        <v>0</v>
      </c>
    </row>
    <row r="823" spans="2:24" hidden="1" x14ac:dyDescent="0.35">
      <c r="B823">
        <v>2018</v>
      </c>
      <c r="C823" s="1">
        <v>43372</v>
      </c>
      <c r="D823">
        <v>2411</v>
      </c>
      <c r="E823" t="s">
        <v>23</v>
      </c>
      <c r="F823" t="s">
        <v>43</v>
      </c>
      <c r="G823" t="s">
        <v>39</v>
      </c>
      <c r="H823">
        <v>63.69</v>
      </c>
      <c r="I823">
        <v>81.11</v>
      </c>
      <c r="J823">
        <v>0.24360000000000001</v>
      </c>
      <c r="K823">
        <v>0.50270000000000004</v>
      </c>
      <c r="L823">
        <v>0.25380000000000003</v>
      </c>
      <c r="M823">
        <v>1.1499999999999999</v>
      </c>
      <c r="N823">
        <v>1.76</v>
      </c>
      <c r="O823">
        <v>32.1</v>
      </c>
      <c r="P823">
        <v>44.7</v>
      </c>
      <c r="Q823">
        <v>3</v>
      </c>
      <c r="R823">
        <v>1</v>
      </c>
      <c r="S823">
        <v>1.35</v>
      </c>
      <c r="T823">
        <v>0.66</v>
      </c>
      <c r="U823">
        <v>1.36</v>
      </c>
      <c r="V823">
        <v>1.19</v>
      </c>
      <c r="W823">
        <v>3.06</v>
      </c>
      <c r="X823">
        <v>1.05</v>
      </c>
    </row>
    <row r="824" spans="2:24" hidden="1" x14ac:dyDescent="0.35">
      <c r="B824">
        <v>2018</v>
      </c>
      <c r="C824" s="1">
        <v>43372</v>
      </c>
      <c r="D824">
        <v>2411</v>
      </c>
      <c r="E824" t="s">
        <v>23</v>
      </c>
      <c r="F824" t="s">
        <v>44</v>
      </c>
      <c r="G824" t="s">
        <v>29</v>
      </c>
      <c r="H824">
        <v>58.58</v>
      </c>
      <c r="I824">
        <v>84.67</v>
      </c>
      <c r="J824">
        <v>0.155</v>
      </c>
      <c r="K824">
        <v>0.61329999999999996</v>
      </c>
      <c r="L824">
        <v>0.23180000000000001</v>
      </c>
      <c r="M824">
        <v>0.85</v>
      </c>
      <c r="N824">
        <v>1.93</v>
      </c>
      <c r="O824">
        <v>46.1</v>
      </c>
      <c r="P824">
        <v>61.6</v>
      </c>
      <c r="Q824">
        <v>0</v>
      </c>
      <c r="R824">
        <v>2</v>
      </c>
      <c r="S824">
        <v>0.43</v>
      </c>
      <c r="T824">
        <v>2.17</v>
      </c>
      <c r="U824">
        <v>0.78</v>
      </c>
      <c r="V824">
        <v>0.62</v>
      </c>
      <c r="W824">
        <v>0</v>
      </c>
      <c r="X824">
        <v>2.1</v>
      </c>
    </row>
    <row r="825" spans="2:24" hidden="1" x14ac:dyDescent="0.35">
      <c r="B825">
        <v>2018</v>
      </c>
      <c r="C825" s="1">
        <v>43372</v>
      </c>
      <c r="D825">
        <v>2411</v>
      </c>
      <c r="E825" t="s">
        <v>23</v>
      </c>
      <c r="F825" t="s">
        <v>49</v>
      </c>
      <c r="G825" t="s">
        <v>34</v>
      </c>
      <c r="H825">
        <v>67.150000000000006</v>
      </c>
      <c r="I825">
        <v>66.8</v>
      </c>
      <c r="J825">
        <v>0.43130000000000002</v>
      </c>
      <c r="K825">
        <v>0.27779999999999999</v>
      </c>
      <c r="L825">
        <v>0.29089999999999999</v>
      </c>
      <c r="M825">
        <v>1.38</v>
      </c>
      <c r="N825">
        <v>1.05</v>
      </c>
      <c r="O825">
        <v>19</v>
      </c>
      <c r="P825">
        <v>24.7</v>
      </c>
      <c r="Q825">
        <v>2</v>
      </c>
      <c r="R825">
        <v>0</v>
      </c>
      <c r="S825">
        <v>1.51</v>
      </c>
      <c r="T825">
        <v>0.86</v>
      </c>
      <c r="U825">
        <v>1.52</v>
      </c>
      <c r="V825">
        <v>1.08</v>
      </c>
      <c r="W825">
        <v>1.67</v>
      </c>
      <c r="X825">
        <v>0</v>
      </c>
    </row>
    <row r="826" spans="2:24" hidden="1" x14ac:dyDescent="0.35">
      <c r="B826">
        <v>2018</v>
      </c>
      <c r="C826" s="1">
        <v>43372</v>
      </c>
      <c r="D826">
        <v>2411</v>
      </c>
      <c r="E826" t="s">
        <v>23</v>
      </c>
      <c r="F826" t="s">
        <v>28</v>
      </c>
      <c r="G826" t="s">
        <v>48</v>
      </c>
      <c r="H826">
        <v>65.5</v>
      </c>
      <c r="I826">
        <v>62.06</v>
      </c>
      <c r="J826">
        <v>0.47160000000000002</v>
      </c>
      <c r="K826">
        <v>0.26340000000000002</v>
      </c>
      <c r="L826">
        <v>0.26500000000000001</v>
      </c>
      <c r="M826">
        <v>1.63</v>
      </c>
      <c r="N826">
        <v>1.1599999999999999</v>
      </c>
      <c r="O826">
        <v>33.1</v>
      </c>
      <c r="P826">
        <v>37.200000000000003</v>
      </c>
      <c r="Q826">
        <v>3</v>
      </c>
      <c r="R826">
        <v>0</v>
      </c>
      <c r="S826">
        <v>2.34</v>
      </c>
      <c r="T826">
        <v>0.55000000000000004</v>
      </c>
      <c r="U826">
        <v>1.0900000000000001</v>
      </c>
      <c r="V826">
        <v>0.95</v>
      </c>
      <c r="W826">
        <v>2.66</v>
      </c>
      <c r="X826">
        <v>0</v>
      </c>
    </row>
    <row r="827" spans="2:24" hidden="1" x14ac:dyDescent="0.35">
      <c r="B827">
        <v>2018</v>
      </c>
      <c r="C827" s="1">
        <v>43372</v>
      </c>
      <c r="D827">
        <v>2411</v>
      </c>
      <c r="E827" t="s">
        <v>23</v>
      </c>
      <c r="F827" t="s">
        <v>46</v>
      </c>
      <c r="G827" t="s">
        <v>25</v>
      </c>
      <c r="H827">
        <v>67.41</v>
      </c>
      <c r="I827">
        <v>70.92</v>
      </c>
      <c r="J827">
        <v>0.40500000000000003</v>
      </c>
      <c r="K827">
        <v>0.30359999999999998</v>
      </c>
      <c r="L827">
        <v>0.2913</v>
      </c>
      <c r="M827">
        <v>1.34</v>
      </c>
      <c r="N827">
        <v>1.1200000000000001</v>
      </c>
      <c r="O827">
        <v>31</v>
      </c>
      <c r="P827">
        <v>12.4</v>
      </c>
      <c r="Q827">
        <v>0</v>
      </c>
      <c r="R827">
        <v>2</v>
      </c>
      <c r="S827">
        <v>0.45</v>
      </c>
      <c r="T827">
        <v>1.54</v>
      </c>
      <c r="U827">
        <v>0.56000000000000005</v>
      </c>
      <c r="V827">
        <v>1.1100000000000001</v>
      </c>
      <c r="W827">
        <v>0</v>
      </c>
      <c r="X827">
        <v>2.0499999999999998</v>
      </c>
    </row>
    <row r="828" spans="2:24" hidden="1" x14ac:dyDescent="0.35">
      <c r="B828">
        <v>2018</v>
      </c>
      <c r="C828" s="1">
        <v>43372</v>
      </c>
      <c r="D828">
        <v>2411</v>
      </c>
      <c r="E828" t="s">
        <v>23</v>
      </c>
      <c r="F828" t="s">
        <v>40</v>
      </c>
      <c r="G828" t="s">
        <v>35</v>
      </c>
      <c r="H828">
        <v>80.92</v>
      </c>
      <c r="I828">
        <v>69.42</v>
      </c>
      <c r="J828">
        <v>0.64629999999999999</v>
      </c>
      <c r="K828">
        <v>0.14879999999999999</v>
      </c>
      <c r="L828">
        <v>0.20499999999999999</v>
      </c>
      <c r="M828">
        <v>2.25</v>
      </c>
      <c r="N828">
        <v>0.98</v>
      </c>
      <c r="O828">
        <v>68.3</v>
      </c>
      <c r="P828">
        <v>24.7</v>
      </c>
      <c r="Q828">
        <v>2</v>
      </c>
      <c r="R828">
        <v>0</v>
      </c>
      <c r="S828">
        <v>1.7</v>
      </c>
      <c r="T828">
        <v>2.31</v>
      </c>
      <c r="U828">
        <v>1.61</v>
      </c>
      <c r="V828">
        <v>1.37</v>
      </c>
      <c r="W828">
        <v>1.76</v>
      </c>
      <c r="X828">
        <v>0</v>
      </c>
    </row>
    <row r="829" spans="2:24" hidden="1" x14ac:dyDescent="0.35">
      <c r="B829">
        <v>2018</v>
      </c>
      <c r="C829" s="1">
        <v>43372</v>
      </c>
      <c r="D829">
        <v>2411</v>
      </c>
      <c r="E829" t="s">
        <v>23</v>
      </c>
      <c r="F829" t="s">
        <v>36</v>
      </c>
      <c r="G829" t="s">
        <v>45</v>
      </c>
      <c r="H829">
        <v>93.2</v>
      </c>
      <c r="I829">
        <v>63.83</v>
      </c>
      <c r="J829">
        <v>0.88990000000000002</v>
      </c>
      <c r="K829">
        <v>2.12E-2</v>
      </c>
      <c r="L829">
        <v>8.8900000000000007E-2</v>
      </c>
      <c r="M829">
        <v>2.99</v>
      </c>
      <c r="N829">
        <v>0.32</v>
      </c>
      <c r="O829">
        <v>65.2</v>
      </c>
      <c r="P829">
        <v>21</v>
      </c>
      <c r="Q829">
        <v>2</v>
      </c>
      <c r="R829">
        <v>0</v>
      </c>
      <c r="S829">
        <v>3.06</v>
      </c>
      <c r="T829">
        <v>0.33</v>
      </c>
      <c r="U829">
        <v>4.4800000000000004</v>
      </c>
      <c r="V829">
        <v>0.42</v>
      </c>
      <c r="W829">
        <v>2.1</v>
      </c>
      <c r="X829">
        <v>0</v>
      </c>
    </row>
    <row r="830" spans="2:24" hidden="1" x14ac:dyDescent="0.35">
      <c r="B830">
        <v>2018</v>
      </c>
      <c r="C830" s="1">
        <v>43372</v>
      </c>
      <c r="D830">
        <v>2411</v>
      </c>
      <c r="E830" t="s">
        <v>23</v>
      </c>
      <c r="F830" t="s">
        <v>42</v>
      </c>
      <c r="G830" t="s">
        <v>41</v>
      </c>
      <c r="H830">
        <v>86.65</v>
      </c>
      <c r="I830">
        <v>90.83</v>
      </c>
      <c r="J830">
        <v>0.3488</v>
      </c>
      <c r="K830">
        <v>0.3906</v>
      </c>
      <c r="L830">
        <v>0.2606</v>
      </c>
      <c r="M830">
        <v>1.47</v>
      </c>
      <c r="N830">
        <v>1.57</v>
      </c>
      <c r="O830">
        <v>52.8</v>
      </c>
      <c r="P830">
        <v>77.8</v>
      </c>
      <c r="Q830">
        <v>1</v>
      </c>
      <c r="R830">
        <v>1</v>
      </c>
      <c r="S830">
        <v>1.75</v>
      </c>
      <c r="T830">
        <v>2.09</v>
      </c>
      <c r="U830">
        <v>1.17</v>
      </c>
      <c r="V830">
        <v>2.76</v>
      </c>
      <c r="W830">
        <v>1.05</v>
      </c>
      <c r="X830">
        <v>1.05</v>
      </c>
    </row>
    <row r="831" spans="2:24" hidden="1" x14ac:dyDescent="0.35">
      <c r="B831">
        <v>2018</v>
      </c>
      <c r="C831" s="1">
        <v>43373</v>
      </c>
      <c r="D831">
        <v>2411</v>
      </c>
      <c r="E831" t="s">
        <v>23</v>
      </c>
      <c r="F831" t="s">
        <v>47</v>
      </c>
      <c r="G831" t="s">
        <v>32</v>
      </c>
      <c r="H831">
        <v>57.81</v>
      </c>
      <c r="I831">
        <v>61.71</v>
      </c>
      <c r="J831">
        <v>0.3982</v>
      </c>
      <c r="K831">
        <v>0.30730000000000002</v>
      </c>
      <c r="L831">
        <v>0.29459999999999997</v>
      </c>
      <c r="M831">
        <v>1.31</v>
      </c>
      <c r="N831">
        <v>1.1100000000000001</v>
      </c>
      <c r="O831">
        <v>49.9</v>
      </c>
      <c r="P831">
        <v>44.2</v>
      </c>
      <c r="Q831">
        <v>1</v>
      </c>
      <c r="R831">
        <v>2</v>
      </c>
      <c r="S831">
        <v>1.65</v>
      </c>
      <c r="T831">
        <v>0.18</v>
      </c>
      <c r="U831">
        <v>2.64</v>
      </c>
      <c r="V831">
        <v>0.78</v>
      </c>
      <c r="W831">
        <v>1.05</v>
      </c>
      <c r="X831">
        <v>2.1</v>
      </c>
    </row>
    <row r="832" spans="2:24" hidden="1" x14ac:dyDescent="0.35">
      <c r="B832">
        <v>2018</v>
      </c>
      <c r="C832" s="1">
        <v>43374</v>
      </c>
      <c r="D832">
        <v>2411</v>
      </c>
      <c r="E832" t="s">
        <v>23</v>
      </c>
      <c r="F832" t="s">
        <v>38</v>
      </c>
      <c r="G832" t="s">
        <v>30</v>
      </c>
      <c r="H832">
        <v>63.97</v>
      </c>
      <c r="I832">
        <v>68.41</v>
      </c>
      <c r="J832">
        <v>0.41510000000000002</v>
      </c>
      <c r="K832">
        <v>0.31940000000000002</v>
      </c>
      <c r="L832">
        <v>0.2656</v>
      </c>
      <c r="M832">
        <v>1.56</v>
      </c>
      <c r="N832">
        <v>1.34</v>
      </c>
      <c r="O832">
        <v>21</v>
      </c>
      <c r="P832">
        <v>17.100000000000001</v>
      </c>
      <c r="Q832">
        <v>2</v>
      </c>
      <c r="R832">
        <v>1</v>
      </c>
      <c r="S832">
        <v>1.97</v>
      </c>
      <c r="T832">
        <v>0.42</v>
      </c>
      <c r="U832">
        <v>1.29</v>
      </c>
      <c r="V832">
        <v>1.62</v>
      </c>
      <c r="W832">
        <v>2.1</v>
      </c>
      <c r="X832">
        <v>1.05</v>
      </c>
    </row>
    <row r="833" spans="2:24" hidden="1" x14ac:dyDescent="0.35">
      <c r="B833">
        <v>2018</v>
      </c>
      <c r="C833" s="1">
        <v>43378</v>
      </c>
      <c r="D833">
        <v>2411</v>
      </c>
      <c r="E833" t="s">
        <v>23</v>
      </c>
      <c r="F833" t="s">
        <v>45</v>
      </c>
      <c r="G833" t="s">
        <v>43</v>
      </c>
      <c r="H833">
        <v>63.15</v>
      </c>
      <c r="I833">
        <v>65.3</v>
      </c>
      <c r="J833">
        <v>0.42509999999999998</v>
      </c>
      <c r="K833">
        <v>0.29670000000000002</v>
      </c>
      <c r="L833">
        <v>0.2782</v>
      </c>
      <c r="M833">
        <v>1.47</v>
      </c>
      <c r="N833">
        <v>1.18</v>
      </c>
      <c r="O833">
        <v>34.9</v>
      </c>
      <c r="P833">
        <v>25.7</v>
      </c>
      <c r="Q833">
        <v>1</v>
      </c>
      <c r="R833">
        <v>0</v>
      </c>
      <c r="S833">
        <v>1.05</v>
      </c>
      <c r="T833">
        <v>1.48</v>
      </c>
      <c r="U833">
        <v>0.97</v>
      </c>
      <c r="V833">
        <v>2.35</v>
      </c>
      <c r="W833">
        <v>1.05</v>
      </c>
      <c r="X833">
        <v>0</v>
      </c>
    </row>
    <row r="834" spans="2:24" hidden="1" x14ac:dyDescent="0.35">
      <c r="B834">
        <v>2018</v>
      </c>
      <c r="C834" s="1">
        <v>43379</v>
      </c>
      <c r="D834">
        <v>2411</v>
      </c>
      <c r="E834" t="s">
        <v>23</v>
      </c>
      <c r="F834" t="s">
        <v>32</v>
      </c>
      <c r="G834" t="s">
        <v>44</v>
      </c>
      <c r="H834">
        <v>60.87</v>
      </c>
      <c r="I834">
        <v>58.22</v>
      </c>
      <c r="J834">
        <v>0.47820000000000001</v>
      </c>
      <c r="K834">
        <v>0.22589999999999999</v>
      </c>
      <c r="L834">
        <v>0.2959</v>
      </c>
      <c r="M834">
        <v>1.39</v>
      </c>
      <c r="N834">
        <v>0.86</v>
      </c>
      <c r="O834">
        <v>47.3</v>
      </c>
      <c r="P834">
        <v>48.2</v>
      </c>
      <c r="Q834">
        <v>1</v>
      </c>
      <c r="R834">
        <v>1</v>
      </c>
      <c r="S834">
        <v>0.49</v>
      </c>
      <c r="T834">
        <v>1.07</v>
      </c>
      <c r="U834">
        <v>0.79</v>
      </c>
      <c r="V834">
        <v>1.1499999999999999</v>
      </c>
      <c r="W834">
        <v>1.05</v>
      </c>
      <c r="X834">
        <v>1.05</v>
      </c>
    </row>
    <row r="835" spans="2:24" hidden="1" x14ac:dyDescent="0.35">
      <c r="B835">
        <v>2018</v>
      </c>
      <c r="C835" s="1">
        <v>43379</v>
      </c>
      <c r="D835">
        <v>2411</v>
      </c>
      <c r="E835" t="s">
        <v>23</v>
      </c>
      <c r="F835" t="s">
        <v>35</v>
      </c>
      <c r="G835" t="s">
        <v>38</v>
      </c>
      <c r="H835">
        <v>70.010000000000005</v>
      </c>
      <c r="I835">
        <v>64.58</v>
      </c>
      <c r="J835">
        <v>0.49120000000000003</v>
      </c>
      <c r="K835">
        <v>0.25190000000000001</v>
      </c>
      <c r="L835">
        <v>0.25690000000000002</v>
      </c>
      <c r="M835">
        <v>1.72</v>
      </c>
      <c r="N835">
        <v>1.17</v>
      </c>
      <c r="O835">
        <v>12.7</v>
      </c>
      <c r="P835">
        <v>13.2</v>
      </c>
      <c r="Q835">
        <v>0</v>
      </c>
      <c r="R835">
        <v>4</v>
      </c>
      <c r="S835">
        <v>1.18</v>
      </c>
      <c r="T835">
        <v>3.5</v>
      </c>
      <c r="U835">
        <v>1.1499999999999999</v>
      </c>
      <c r="V835">
        <v>1.46</v>
      </c>
      <c r="W835">
        <v>0</v>
      </c>
      <c r="X835">
        <v>3.57</v>
      </c>
    </row>
    <row r="836" spans="2:24" hidden="1" x14ac:dyDescent="0.35">
      <c r="B836">
        <v>2018</v>
      </c>
      <c r="C836" s="1">
        <v>43379</v>
      </c>
      <c r="D836">
        <v>2411</v>
      </c>
      <c r="E836" t="s">
        <v>23</v>
      </c>
      <c r="F836" t="s">
        <v>30</v>
      </c>
      <c r="G836" t="s">
        <v>49</v>
      </c>
      <c r="H836">
        <v>67.86</v>
      </c>
      <c r="I836">
        <v>67.849999999999994</v>
      </c>
      <c r="J836">
        <v>0.45639999999999997</v>
      </c>
      <c r="K836">
        <v>0.25590000000000002</v>
      </c>
      <c r="L836">
        <v>0.28760000000000002</v>
      </c>
      <c r="M836">
        <v>1.43</v>
      </c>
      <c r="N836">
        <v>1</v>
      </c>
      <c r="O836">
        <v>22.4</v>
      </c>
      <c r="P836">
        <v>9.5</v>
      </c>
      <c r="Q836">
        <v>0</v>
      </c>
      <c r="R836">
        <v>1</v>
      </c>
      <c r="S836">
        <v>1.23</v>
      </c>
      <c r="T836">
        <v>0.75</v>
      </c>
      <c r="U836">
        <v>1.79</v>
      </c>
      <c r="V836">
        <v>0.52</v>
      </c>
      <c r="W836">
        <v>0</v>
      </c>
      <c r="X836">
        <v>1.05</v>
      </c>
    </row>
    <row r="837" spans="2:24" hidden="1" x14ac:dyDescent="0.35">
      <c r="B837">
        <v>2018</v>
      </c>
      <c r="C837" s="1">
        <v>43379</v>
      </c>
      <c r="D837">
        <v>2411</v>
      </c>
      <c r="E837" t="s">
        <v>23</v>
      </c>
      <c r="F837" t="s">
        <v>25</v>
      </c>
      <c r="G837" t="s">
        <v>28</v>
      </c>
      <c r="H837">
        <v>72.61</v>
      </c>
      <c r="I837">
        <v>66.7</v>
      </c>
      <c r="J837">
        <v>0.51029999999999998</v>
      </c>
      <c r="K837">
        <v>0.2263</v>
      </c>
      <c r="L837">
        <v>0.26340000000000002</v>
      </c>
      <c r="M837">
        <v>1.66</v>
      </c>
      <c r="N837">
        <v>1.02</v>
      </c>
      <c r="O837">
        <v>20.2</v>
      </c>
      <c r="P837">
        <v>20</v>
      </c>
      <c r="Q837">
        <v>1</v>
      </c>
      <c r="R837">
        <v>2</v>
      </c>
      <c r="S837">
        <v>1.17</v>
      </c>
      <c r="T837">
        <v>1.24</v>
      </c>
      <c r="U837">
        <v>0.96</v>
      </c>
      <c r="V837">
        <v>1.35</v>
      </c>
      <c r="W837">
        <v>1.05</v>
      </c>
      <c r="X837">
        <v>1.89</v>
      </c>
    </row>
    <row r="838" spans="2:24" hidden="1" x14ac:dyDescent="0.35">
      <c r="B838">
        <v>2018</v>
      </c>
      <c r="C838" s="1">
        <v>43379</v>
      </c>
      <c r="D838">
        <v>2411</v>
      </c>
      <c r="E838" t="s">
        <v>23</v>
      </c>
      <c r="F838" t="s">
        <v>29</v>
      </c>
      <c r="G838" t="s">
        <v>47</v>
      </c>
      <c r="H838">
        <v>84.5</v>
      </c>
      <c r="I838">
        <v>58.45</v>
      </c>
      <c r="J838">
        <v>0.8024</v>
      </c>
      <c r="K838">
        <v>5.0700000000000002E-2</v>
      </c>
      <c r="L838">
        <v>0.1469</v>
      </c>
      <c r="M838">
        <v>2.46</v>
      </c>
      <c r="N838">
        <v>0.46</v>
      </c>
      <c r="O838">
        <v>63.4</v>
      </c>
      <c r="P838">
        <v>47.6</v>
      </c>
      <c r="Q838">
        <v>1</v>
      </c>
      <c r="R838">
        <v>0</v>
      </c>
      <c r="S838">
        <v>2.1800000000000002</v>
      </c>
      <c r="T838">
        <v>1.32</v>
      </c>
      <c r="U838">
        <v>2.25</v>
      </c>
      <c r="V838">
        <v>0.51</v>
      </c>
      <c r="W838">
        <v>1.05</v>
      </c>
      <c r="X838">
        <v>0</v>
      </c>
    </row>
    <row r="839" spans="2:24" hidden="1" x14ac:dyDescent="0.35">
      <c r="B839">
        <v>2018</v>
      </c>
      <c r="C839" s="1">
        <v>43379</v>
      </c>
      <c r="D839">
        <v>2411</v>
      </c>
      <c r="E839" t="s">
        <v>23</v>
      </c>
      <c r="F839" t="s">
        <v>39</v>
      </c>
      <c r="G839" t="s">
        <v>46</v>
      </c>
      <c r="H839">
        <v>79.78</v>
      </c>
      <c r="I839">
        <v>65.930000000000007</v>
      </c>
      <c r="J839">
        <v>0.61560000000000004</v>
      </c>
      <c r="K839">
        <v>0.14269999999999999</v>
      </c>
      <c r="L839">
        <v>0.2417</v>
      </c>
      <c r="M839">
        <v>1.81</v>
      </c>
      <c r="N839">
        <v>0.73</v>
      </c>
      <c r="O839">
        <v>34.200000000000003</v>
      </c>
      <c r="P839">
        <v>34.4</v>
      </c>
      <c r="Q839">
        <v>3</v>
      </c>
      <c r="R839">
        <v>2</v>
      </c>
      <c r="S839">
        <v>2.63</v>
      </c>
      <c r="T839">
        <v>1.65</v>
      </c>
      <c r="U839">
        <v>3.47</v>
      </c>
      <c r="V839">
        <v>1.38</v>
      </c>
      <c r="W839">
        <v>3.15</v>
      </c>
      <c r="X839">
        <v>2.1</v>
      </c>
    </row>
    <row r="840" spans="2:24" hidden="1" x14ac:dyDescent="0.35">
      <c r="B840">
        <v>2018</v>
      </c>
      <c r="C840" s="1">
        <v>43380</v>
      </c>
      <c r="D840">
        <v>2411</v>
      </c>
      <c r="E840" t="s">
        <v>23</v>
      </c>
      <c r="F840" t="s">
        <v>48</v>
      </c>
      <c r="G840" t="s">
        <v>40</v>
      </c>
      <c r="H840">
        <v>60.93</v>
      </c>
      <c r="I840">
        <v>80.900000000000006</v>
      </c>
      <c r="J840">
        <v>0.21310000000000001</v>
      </c>
      <c r="K840">
        <v>0.56840000000000002</v>
      </c>
      <c r="L840">
        <v>0.2185</v>
      </c>
      <c r="M840">
        <v>1.29</v>
      </c>
      <c r="N840">
        <v>2.2000000000000002</v>
      </c>
      <c r="O840">
        <v>36.4</v>
      </c>
      <c r="P840">
        <v>55.4</v>
      </c>
      <c r="Q840">
        <v>1</v>
      </c>
      <c r="R840">
        <v>5</v>
      </c>
      <c r="S840">
        <v>1.47</v>
      </c>
      <c r="T840">
        <v>1.29</v>
      </c>
      <c r="U840">
        <v>0.96</v>
      </c>
      <c r="V840">
        <v>1.31</v>
      </c>
      <c r="W840">
        <v>1.05</v>
      </c>
      <c r="X840">
        <v>4.5</v>
      </c>
    </row>
    <row r="841" spans="2:24" hidden="1" x14ac:dyDescent="0.35">
      <c r="B841">
        <v>2018</v>
      </c>
      <c r="C841" s="1">
        <v>43380</v>
      </c>
      <c r="D841">
        <v>2411</v>
      </c>
      <c r="E841" t="s">
        <v>23</v>
      </c>
      <c r="F841" t="s">
        <v>34</v>
      </c>
      <c r="G841" t="s">
        <v>42</v>
      </c>
      <c r="H841">
        <v>66.17</v>
      </c>
      <c r="I841">
        <v>85.84</v>
      </c>
      <c r="J841">
        <v>0.19719999999999999</v>
      </c>
      <c r="K841">
        <v>0.5615</v>
      </c>
      <c r="L841">
        <v>0.24129999999999999</v>
      </c>
      <c r="M841">
        <v>1.02</v>
      </c>
      <c r="N841">
        <v>1.88</v>
      </c>
      <c r="O841">
        <v>28.5</v>
      </c>
      <c r="P841">
        <v>57.4</v>
      </c>
      <c r="Q841">
        <v>0</v>
      </c>
      <c r="R841">
        <v>3</v>
      </c>
      <c r="S841">
        <v>1.72</v>
      </c>
      <c r="T841">
        <v>3.47</v>
      </c>
      <c r="U841">
        <v>0.59</v>
      </c>
      <c r="V841">
        <v>2.5299999999999998</v>
      </c>
      <c r="W841">
        <v>0</v>
      </c>
      <c r="X841">
        <v>2.63</v>
      </c>
    </row>
    <row r="842" spans="2:24" hidden="1" x14ac:dyDescent="0.35">
      <c r="B842">
        <v>2018</v>
      </c>
      <c r="C842" s="1">
        <v>43380</v>
      </c>
      <c r="D842">
        <v>2411</v>
      </c>
      <c r="E842" t="s">
        <v>23</v>
      </c>
      <c r="F842" t="s">
        <v>41</v>
      </c>
      <c r="G842" t="s">
        <v>36</v>
      </c>
      <c r="H842">
        <v>90.64</v>
      </c>
      <c r="I842">
        <v>93.72</v>
      </c>
      <c r="J842">
        <v>0.37580000000000002</v>
      </c>
      <c r="K842">
        <v>0.36580000000000001</v>
      </c>
      <c r="L842">
        <v>0.25829999999999997</v>
      </c>
      <c r="M842">
        <v>1.55</v>
      </c>
      <c r="N842">
        <v>1.53</v>
      </c>
      <c r="O842">
        <v>100</v>
      </c>
      <c r="P842">
        <v>100</v>
      </c>
      <c r="Q842">
        <v>0</v>
      </c>
      <c r="R842">
        <v>0</v>
      </c>
      <c r="S842">
        <v>0.42</v>
      </c>
      <c r="T842">
        <v>1.05</v>
      </c>
      <c r="U842">
        <v>0.81</v>
      </c>
      <c r="V842">
        <v>0.62</v>
      </c>
      <c r="W842">
        <v>0</v>
      </c>
      <c r="X842">
        <v>0</v>
      </c>
    </row>
    <row r="843" spans="2:24" hidden="1" x14ac:dyDescent="0.35">
      <c r="B843">
        <v>2018</v>
      </c>
      <c r="C843" s="1">
        <v>43393</v>
      </c>
      <c r="D843">
        <v>2411</v>
      </c>
      <c r="E843" t="s">
        <v>23</v>
      </c>
      <c r="F843" t="s">
        <v>42</v>
      </c>
      <c r="G843" t="s">
        <v>39</v>
      </c>
      <c r="H843">
        <v>86.66</v>
      </c>
      <c r="I843">
        <v>79.39</v>
      </c>
      <c r="J843">
        <v>0.56399999999999995</v>
      </c>
      <c r="K843">
        <v>0.20330000000000001</v>
      </c>
      <c r="L843">
        <v>0.23269999999999999</v>
      </c>
      <c r="M843">
        <v>1.99</v>
      </c>
      <c r="N843">
        <v>1.1200000000000001</v>
      </c>
      <c r="O843">
        <v>59</v>
      </c>
      <c r="P843">
        <v>50.2</v>
      </c>
      <c r="Q843">
        <v>2</v>
      </c>
      <c r="R843">
        <v>2</v>
      </c>
      <c r="S843">
        <v>2.4300000000000002</v>
      </c>
      <c r="T843">
        <v>0.89</v>
      </c>
      <c r="U843">
        <v>1.83</v>
      </c>
      <c r="V843">
        <v>1.19</v>
      </c>
      <c r="W843">
        <v>2.1</v>
      </c>
      <c r="X843">
        <v>2.1</v>
      </c>
    </row>
    <row r="844" spans="2:24" hidden="1" x14ac:dyDescent="0.35">
      <c r="B844">
        <v>2018</v>
      </c>
      <c r="C844" s="1">
        <v>43393</v>
      </c>
      <c r="D844">
        <v>2411</v>
      </c>
      <c r="E844" t="s">
        <v>23</v>
      </c>
      <c r="F844" t="s">
        <v>46</v>
      </c>
      <c r="G844" t="s">
        <v>45</v>
      </c>
      <c r="H844">
        <v>65.599999999999994</v>
      </c>
      <c r="I844">
        <v>62.64</v>
      </c>
      <c r="J844">
        <v>0.47639999999999999</v>
      </c>
      <c r="K844">
        <v>0.23910000000000001</v>
      </c>
      <c r="L844">
        <v>0.28460000000000002</v>
      </c>
      <c r="M844">
        <v>1.47</v>
      </c>
      <c r="N844">
        <v>0.96</v>
      </c>
      <c r="O844">
        <v>44</v>
      </c>
      <c r="P844">
        <v>29.9</v>
      </c>
      <c r="Q844">
        <v>0</v>
      </c>
      <c r="R844">
        <v>1</v>
      </c>
      <c r="S844">
        <v>1.93</v>
      </c>
      <c r="T844">
        <v>0.63</v>
      </c>
      <c r="U844">
        <v>2.15</v>
      </c>
      <c r="V844">
        <v>0.9</v>
      </c>
      <c r="W844">
        <v>0</v>
      </c>
      <c r="X844">
        <v>1.05</v>
      </c>
    </row>
    <row r="845" spans="2:24" hidden="1" x14ac:dyDescent="0.35">
      <c r="B845">
        <v>2018</v>
      </c>
      <c r="C845" s="1">
        <v>43393</v>
      </c>
      <c r="D845">
        <v>2411</v>
      </c>
      <c r="E845" t="s">
        <v>23</v>
      </c>
      <c r="F845" t="s">
        <v>36</v>
      </c>
      <c r="G845" t="s">
        <v>32</v>
      </c>
      <c r="H845">
        <v>93.78</v>
      </c>
      <c r="I845">
        <v>59.88</v>
      </c>
      <c r="J845">
        <v>0.9113</v>
      </c>
      <c r="K845">
        <v>1.32E-2</v>
      </c>
      <c r="L845">
        <v>7.5499999999999998E-2</v>
      </c>
      <c r="M845">
        <v>3.05</v>
      </c>
      <c r="N845">
        <v>0.23</v>
      </c>
      <c r="O845">
        <v>74.900000000000006</v>
      </c>
      <c r="P845">
        <v>44.8</v>
      </c>
      <c r="Q845">
        <v>5</v>
      </c>
      <c r="R845">
        <v>0</v>
      </c>
      <c r="S845">
        <v>5.25</v>
      </c>
      <c r="T845">
        <v>0.34</v>
      </c>
      <c r="U845">
        <v>2.95</v>
      </c>
      <c r="V845">
        <v>0.61</v>
      </c>
      <c r="W845">
        <v>4.41</v>
      </c>
      <c r="X845">
        <v>0</v>
      </c>
    </row>
    <row r="846" spans="2:24" hidden="1" x14ac:dyDescent="0.35">
      <c r="B846">
        <v>2018</v>
      </c>
      <c r="C846" s="1">
        <v>43393</v>
      </c>
      <c r="D846">
        <v>2411</v>
      </c>
      <c r="E846" t="s">
        <v>23</v>
      </c>
      <c r="F846" t="s">
        <v>43</v>
      </c>
      <c r="G846" t="s">
        <v>29</v>
      </c>
      <c r="H846">
        <v>65.959999999999994</v>
      </c>
      <c r="I846">
        <v>84.23</v>
      </c>
      <c r="J846">
        <v>0.20619999999999999</v>
      </c>
      <c r="K846">
        <v>0.5534</v>
      </c>
      <c r="L846">
        <v>0.2404</v>
      </c>
      <c r="M846">
        <v>1.08</v>
      </c>
      <c r="N846">
        <v>1.9</v>
      </c>
      <c r="O846">
        <v>20.399999999999999</v>
      </c>
      <c r="P846">
        <v>63.4</v>
      </c>
      <c r="Q846">
        <v>0</v>
      </c>
      <c r="R846">
        <v>1</v>
      </c>
      <c r="S846">
        <v>0.78</v>
      </c>
      <c r="T846">
        <v>1.22</v>
      </c>
      <c r="U846">
        <v>2.02</v>
      </c>
      <c r="V846">
        <v>0.84</v>
      </c>
      <c r="W846">
        <v>0</v>
      </c>
      <c r="X846">
        <v>1.05</v>
      </c>
    </row>
    <row r="847" spans="2:24" hidden="1" x14ac:dyDescent="0.35">
      <c r="B847">
        <v>2018</v>
      </c>
      <c r="C847" s="1">
        <v>43393</v>
      </c>
      <c r="D847">
        <v>2411</v>
      </c>
      <c r="E847" t="s">
        <v>23</v>
      </c>
      <c r="F847" t="s">
        <v>38</v>
      </c>
      <c r="G847" t="s">
        <v>34</v>
      </c>
      <c r="H847">
        <v>67.28</v>
      </c>
      <c r="I847">
        <v>64.81</v>
      </c>
      <c r="J847">
        <v>0.46750000000000003</v>
      </c>
      <c r="K847">
        <v>0.27410000000000001</v>
      </c>
      <c r="L847">
        <v>0.25850000000000001</v>
      </c>
      <c r="M847">
        <v>1.69</v>
      </c>
      <c r="N847">
        <v>1.24</v>
      </c>
      <c r="O847">
        <v>10.4</v>
      </c>
      <c r="P847">
        <v>34.4</v>
      </c>
      <c r="Q847">
        <v>0</v>
      </c>
      <c r="R847">
        <v>0</v>
      </c>
      <c r="S847">
        <v>1.1599999999999999</v>
      </c>
      <c r="T847">
        <v>0.74</v>
      </c>
      <c r="U847">
        <v>1.01</v>
      </c>
      <c r="V847">
        <v>0.91</v>
      </c>
      <c r="W847">
        <v>0</v>
      </c>
      <c r="X847">
        <v>0</v>
      </c>
    </row>
    <row r="848" spans="2:24" hidden="1" x14ac:dyDescent="0.35">
      <c r="B848">
        <v>2018</v>
      </c>
      <c r="C848" s="1">
        <v>43393</v>
      </c>
      <c r="D848">
        <v>2411</v>
      </c>
      <c r="E848" t="s">
        <v>23</v>
      </c>
      <c r="F848" t="s">
        <v>47</v>
      </c>
      <c r="G848" t="s">
        <v>48</v>
      </c>
      <c r="H848">
        <v>58.96</v>
      </c>
      <c r="I848">
        <v>60.57</v>
      </c>
      <c r="J848">
        <v>0.41539999999999999</v>
      </c>
      <c r="K848">
        <v>0.30159999999999998</v>
      </c>
      <c r="L848">
        <v>0.28310000000000002</v>
      </c>
      <c r="M848">
        <v>1.41</v>
      </c>
      <c r="N848">
        <v>1.17</v>
      </c>
      <c r="O848">
        <v>50.8</v>
      </c>
      <c r="P848">
        <v>45.7</v>
      </c>
      <c r="Q848">
        <v>4</v>
      </c>
      <c r="R848">
        <v>2</v>
      </c>
      <c r="S848">
        <v>1.93</v>
      </c>
      <c r="T848">
        <v>0.95</v>
      </c>
      <c r="U848">
        <v>2.0299999999999998</v>
      </c>
      <c r="V848">
        <v>1.27</v>
      </c>
      <c r="W848">
        <v>3.76</v>
      </c>
      <c r="X848">
        <v>2.1</v>
      </c>
    </row>
    <row r="849" spans="2:24" hidden="1" x14ac:dyDescent="0.35">
      <c r="B849">
        <v>2018</v>
      </c>
      <c r="C849" s="1">
        <v>43393</v>
      </c>
      <c r="D849">
        <v>2411</v>
      </c>
      <c r="E849" t="s">
        <v>23</v>
      </c>
      <c r="F849" t="s">
        <v>49</v>
      </c>
      <c r="G849" t="s">
        <v>35</v>
      </c>
      <c r="H849">
        <v>68.16</v>
      </c>
      <c r="I849">
        <v>67.180000000000007</v>
      </c>
      <c r="J849">
        <v>0.43830000000000002</v>
      </c>
      <c r="K849">
        <v>0.27129999999999999</v>
      </c>
      <c r="L849">
        <v>0.29039999999999999</v>
      </c>
      <c r="M849">
        <v>1.39</v>
      </c>
      <c r="N849">
        <v>1.03</v>
      </c>
      <c r="O849">
        <v>9</v>
      </c>
      <c r="P849">
        <v>10.6</v>
      </c>
      <c r="Q849">
        <v>0</v>
      </c>
      <c r="R849">
        <v>2</v>
      </c>
      <c r="S849">
        <v>0.53</v>
      </c>
      <c r="T849">
        <v>1.06</v>
      </c>
      <c r="U849">
        <v>1.66</v>
      </c>
      <c r="V849">
        <v>0.84</v>
      </c>
      <c r="W849">
        <v>0</v>
      </c>
      <c r="X849">
        <v>2.1</v>
      </c>
    </row>
    <row r="850" spans="2:24" hidden="1" x14ac:dyDescent="0.35">
      <c r="B850">
        <v>2018</v>
      </c>
      <c r="C850" s="1">
        <v>43393</v>
      </c>
      <c r="D850">
        <v>2411</v>
      </c>
      <c r="E850" t="s">
        <v>23</v>
      </c>
      <c r="F850" t="s">
        <v>44</v>
      </c>
      <c r="G850" t="s">
        <v>41</v>
      </c>
      <c r="H850">
        <v>59.37</v>
      </c>
      <c r="I850">
        <v>90.56</v>
      </c>
      <c r="J850">
        <v>0.10539999999999999</v>
      </c>
      <c r="K850">
        <v>0.68810000000000004</v>
      </c>
      <c r="L850">
        <v>0.20649999999999999</v>
      </c>
      <c r="M850">
        <v>0.66</v>
      </c>
      <c r="N850">
        <v>2.0699999999999998</v>
      </c>
      <c r="O850">
        <v>50.7</v>
      </c>
      <c r="P850">
        <v>67.099999999999994</v>
      </c>
      <c r="Q850">
        <v>0</v>
      </c>
      <c r="R850">
        <v>1</v>
      </c>
      <c r="S850">
        <v>0.87</v>
      </c>
      <c r="T850">
        <v>0.77</v>
      </c>
      <c r="U850">
        <v>1.07</v>
      </c>
      <c r="V850">
        <v>2.02</v>
      </c>
      <c r="W850">
        <v>0</v>
      </c>
      <c r="X850">
        <v>1.05</v>
      </c>
    </row>
    <row r="851" spans="2:24" hidden="1" x14ac:dyDescent="0.35">
      <c r="B851">
        <v>2018</v>
      </c>
      <c r="C851" s="1">
        <v>43394</v>
      </c>
      <c r="D851">
        <v>2411</v>
      </c>
      <c r="E851" t="s">
        <v>23</v>
      </c>
      <c r="F851" t="s">
        <v>28</v>
      </c>
      <c r="G851" t="s">
        <v>30</v>
      </c>
      <c r="H851">
        <v>67.88</v>
      </c>
      <c r="I851">
        <v>67.819999999999993</v>
      </c>
      <c r="J851">
        <v>0.43319999999999997</v>
      </c>
      <c r="K851">
        <v>0.28449999999999998</v>
      </c>
      <c r="L851">
        <v>0.28239999999999998</v>
      </c>
      <c r="M851">
        <v>1.44</v>
      </c>
      <c r="N851">
        <v>1.1200000000000001</v>
      </c>
      <c r="O851">
        <v>14.6</v>
      </c>
      <c r="P851">
        <v>26.4</v>
      </c>
      <c r="Q851">
        <v>2</v>
      </c>
      <c r="R851">
        <v>0</v>
      </c>
      <c r="S851">
        <v>1.61</v>
      </c>
      <c r="T851">
        <v>1.1000000000000001</v>
      </c>
      <c r="U851">
        <v>1.81</v>
      </c>
      <c r="V851">
        <v>0.8</v>
      </c>
      <c r="W851">
        <v>1.62</v>
      </c>
      <c r="X851">
        <v>0</v>
      </c>
    </row>
    <row r="852" spans="2:24" hidden="1" x14ac:dyDescent="0.35">
      <c r="B852">
        <v>2018</v>
      </c>
      <c r="C852" s="1">
        <v>43395</v>
      </c>
      <c r="D852">
        <v>2411</v>
      </c>
      <c r="E852" t="s">
        <v>23</v>
      </c>
      <c r="F852" t="s">
        <v>40</v>
      </c>
      <c r="G852" t="s">
        <v>25</v>
      </c>
      <c r="H852">
        <v>81.19</v>
      </c>
      <c r="I852">
        <v>71.52</v>
      </c>
      <c r="J852">
        <v>0.62680000000000002</v>
      </c>
      <c r="K852">
        <v>0.1638</v>
      </c>
      <c r="L852">
        <v>0.2094</v>
      </c>
      <c r="M852">
        <v>2.23</v>
      </c>
      <c r="N852">
        <v>1.05</v>
      </c>
      <c r="O852">
        <v>61.7</v>
      </c>
      <c r="P852">
        <v>15.1</v>
      </c>
      <c r="Q852">
        <v>3</v>
      </c>
      <c r="R852">
        <v>1</v>
      </c>
      <c r="S852">
        <v>2.91</v>
      </c>
      <c r="T852">
        <v>0.98</v>
      </c>
      <c r="U852">
        <v>2.21</v>
      </c>
      <c r="V852">
        <v>0.75</v>
      </c>
      <c r="W852">
        <v>3.15</v>
      </c>
      <c r="X852">
        <v>1.05</v>
      </c>
    </row>
    <row r="853" spans="2:24" hidden="1" x14ac:dyDescent="0.35">
      <c r="B853">
        <v>2018</v>
      </c>
      <c r="C853" s="1">
        <v>43400</v>
      </c>
      <c r="D853">
        <v>2411</v>
      </c>
      <c r="E853" t="s">
        <v>23</v>
      </c>
      <c r="F853" t="s">
        <v>41</v>
      </c>
      <c r="G853" t="s">
        <v>47</v>
      </c>
      <c r="H853">
        <v>91.03</v>
      </c>
      <c r="I853">
        <v>59.7</v>
      </c>
      <c r="J853">
        <v>0.874</v>
      </c>
      <c r="K853">
        <v>2.3599999999999999E-2</v>
      </c>
      <c r="L853">
        <v>0.1024</v>
      </c>
      <c r="M853">
        <v>2.78</v>
      </c>
      <c r="N853">
        <v>0.31</v>
      </c>
      <c r="O853">
        <v>68.7</v>
      </c>
      <c r="P853">
        <v>43.7</v>
      </c>
      <c r="Q853">
        <v>4</v>
      </c>
      <c r="R853">
        <v>1</v>
      </c>
      <c r="S853">
        <v>3</v>
      </c>
      <c r="T853">
        <v>0.62</v>
      </c>
      <c r="U853">
        <v>2.81</v>
      </c>
      <c r="V853">
        <v>0.04</v>
      </c>
      <c r="W853">
        <v>3.42</v>
      </c>
      <c r="X853">
        <v>1.05</v>
      </c>
    </row>
    <row r="854" spans="2:24" hidden="1" x14ac:dyDescent="0.35">
      <c r="B854">
        <v>2018</v>
      </c>
      <c r="C854" s="1">
        <v>43400</v>
      </c>
      <c r="D854">
        <v>2411</v>
      </c>
      <c r="E854" t="s">
        <v>23</v>
      </c>
      <c r="F854" t="s">
        <v>48</v>
      </c>
      <c r="G854" t="s">
        <v>38</v>
      </c>
      <c r="H854">
        <v>59.11</v>
      </c>
      <c r="I854">
        <v>67.25</v>
      </c>
      <c r="J854">
        <v>0.39019999999999999</v>
      </c>
      <c r="K854">
        <v>0.35310000000000002</v>
      </c>
      <c r="L854">
        <v>0.25669999999999998</v>
      </c>
      <c r="M854">
        <v>1.6</v>
      </c>
      <c r="N854">
        <v>1.51</v>
      </c>
      <c r="O854">
        <v>43.7</v>
      </c>
      <c r="P854">
        <v>8</v>
      </c>
      <c r="Q854">
        <v>0</v>
      </c>
      <c r="R854">
        <v>3</v>
      </c>
      <c r="S854">
        <v>0.4</v>
      </c>
      <c r="T854">
        <v>1.75</v>
      </c>
      <c r="U854">
        <v>0.86</v>
      </c>
      <c r="V854">
        <v>1.86</v>
      </c>
      <c r="W854">
        <v>0</v>
      </c>
      <c r="X854">
        <v>2.61</v>
      </c>
    </row>
    <row r="855" spans="2:24" hidden="1" x14ac:dyDescent="0.35">
      <c r="B855">
        <v>2018</v>
      </c>
      <c r="C855" s="1">
        <v>43400</v>
      </c>
      <c r="D855">
        <v>2411</v>
      </c>
      <c r="E855" t="s">
        <v>23</v>
      </c>
      <c r="F855" t="s">
        <v>35</v>
      </c>
      <c r="G855" t="s">
        <v>44</v>
      </c>
      <c r="H855">
        <v>68.38</v>
      </c>
      <c r="I855">
        <v>60.01</v>
      </c>
      <c r="J855">
        <v>0.50180000000000002</v>
      </c>
      <c r="K855">
        <v>0.20569999999999999</v>
      </c>
      <c r="L855">
        <v>0.29239999999999999</v>
      </c>
      <c r="M855">
        <v>1.42</v>
      </c>
      <c r="N855">
        <v>0.8</v>
      </c>
      <c r="O855">
        <v>9.1999999999999993</v>
      </c>
      <c r="P855">
        <v>47.3</v>
      </c>
      <c r="Q855">
        <v>3</v>
      </c>
      <c r="R855">
        <v>0</v>
      </c>
      <c r="S855">
        <v>1.79</v>
      </c>
      <c r="T855">
        <v>0.56000000000000005</v>
      </c>
      <c r="U855">
        <v>1.78</v>
      </c>
      <c r="V855">
        <v>1.36</v>
      </c>
      <c r="W855">
        <v>2.9</v>
      </c>
      <c r="X855">
        <v>0</v>
      </c>
    </row>
    <row r="856" spans="2:24" hidden="1" x14ac:dyDescent="0.35">
      <c r="B856">
        <v>2018</v>
      </c>
      <c r="C856" s="1">
        <v>43400</v>
      </c>
      <c r="D856">
        <v>2411</v>
      </c>
      <c r="E856" t="s">
        <v>23</v>
      </c>
      <c r="F856" t="s">
        <v>34</v>
      </c>
      <c r="G856" t="s">
        <v>46</v>
      </c>
      <c r="H856">
        <v>65.44</v>
      </c>
      <c r="I856">
        <v>65.7</v>
      </c>
      <c r="J856">
        <v>0.4355</v>
      </c>
      <c r="K856">
        <v>0.26860000000000001</v>
      </c>
      <c r="L856">
        <v>0.2959</v>
      </c>
      <c r="M856">
        <v>1.35</v>
      </c>
      <c r="N856">
        <v>1</v>
      </c>
      <c r="O856">
        <v>41.1</v>
      </c>
      <c r="P856">
        <v>42.6</v>
      </c>
      <c r="Q856">
        <v>0</v>
      </c>
      <c r="R856">
        <v>0</v>
      </c>
      <c r="S856">
        <v>1.26</v>
      </c>
      <c r="T856">
        <v>0.42</v>
      </c>
      <c r="U856">
        <v>1.75</v>
      </c>
      <c r="V856">
        <v>0.5</v>
      </c>
      <c r="W856">
        <v>0</v>
      </c>
      <c r="X856">
        <v>0</v>
      </c>
    </row>
    <row r="857" spans="2:24" hidden="1" x14ac:dyDescent="0.35">
      <c r="B857">
        <v>2018</v>
      </c>
      <c r="C857" s="1">
        <v>43400</v>
      </c>
      <c r="D857">
        <v>2411</v>
      </c>
      <c r="E857" t="s">
        <v>23</v>
      </c>
      <c r="F857" t="s">
        <v>45</v>
      </c>
      <c r="G857" t="s">
        <v>49</v>
      </c>
      <c r="H857">
        <v>62.63</v>
      </c>
      <c r="I857">
        <v>67.12</v>
      </c>
      <c r="J857">
        <v>0.4133</v>
      </c>
      <c r="K857">
        <v>0.2893</v>
      </c>
      <c r="L857">
        <v>0.2974</v>
      </c>
      <c r="M857">
        <v>1.31</v>
      </c>
      <c r="N857">
        <v>1.05</v>
      </c>
      <c r="O857">
        <v>25.5</v>
      </c>
      <c r="P857">
        <v>9.8000000000000007</v>
      </c>
      <c r="Q857">
        <v>1</v>
      </c>
      <c r="R857">
        <v>0</v>
      </c>
      <c r="S857">
        <v>1.04</v>
      </c>
      <c r="T857">
        <v>1.6</v>
      </c>
      <c r="U857">
        <v>0.68</v>
      </c>
      <c r="V857">
        <v>1.97</v>
      </c>
      <c r="W857">
        <v>1.05</v>
      </c>
      <c r="X857">
        <v>0</v>
      </c>
    </row>
    <row r="858" spans="2:24" hidden="1" x14ac:dyDescent="0.35">
      <c r="B858">
        <v>2018</v>
      </c>
      <c r="C858" s="1">
        <v>43400</v>
      </c>
      <c r="D858">
        <v>2411</v>
      </c>
      <c r="E858" t="s">
        <v>23</v>
      </c>
      <c r="F858" t="s">
        <v>25</v>
      </c>
      <c r="G858" t="s">
        <v>43</v>
      </c>
      <c r="H858">
        <v>70.77</v>
      </c>
      <c r="I858">
        <v>66.47</v>
      </c>
      <c r="J858">
        <v>0.47939999999999999</v>
      </c>
      <c r="K858">
        <v>0.25059999999999999</v>
      </c>
      <c r="L858">
        <v>0.27010000000000001</v>
      </c>
      <c r="M858">
        <v>1.59</v>
      </c>
      <c r="N858">
        <v>1.08</v>
      </c>
      <c r="O858">
        <v>8.1999999999999993</v>
      </c>
      <c r="P858">
        <v>22.5</v>
      </c>
      <c r="Q858">
        <v>1</v>
      </c>
      <c r="R858">
        <v>1</v>
      </c>
      <c r="S858">
        <v>2.37</v>
      </c>
      <c r="T858">
        <v>1.64</v>
      </c>
      <c r="U858">
        <v>1.79</v>
      </c>
      <c r="V858">
        <v>1.1499999999999999</v>
      </c>
      <c r="W858">
        <v>0.84</v>
      </c>
      <c r="X858">
        <v>1.05</v>
      </c>
    </row>
    <row r="859" spans="2:24" hidden="1" x14ac:dyDescent="0.35">
      <c r="B859">
        <v>2018</v>
      </c>
      <c r="C859" s="1">
        <v>43401</v>
      </c>
      <c r="D859">
        <v>2411</v>
      </c>
      <c r="E859" t="s">
        <v>23</v>
      </c>
      <c r="F859" t="s">
        <v>32</v>
      </c>
      <c r="G859" t="s">
        <v>42</v>
      </c>
      <c r="H859">
        <v>58.73</v>
      </c>
      <c r="I859">
        <v>86.53</v>
      </c>
      <c r="J859">
        <v>0.1467</v>
      </c>
      <c r="K859">
        <v>0.64670000000000005</v>
      </c>
      <c r="L859">
        <v>0.20669999999999999</v>
      </c>
      <c r="M859">
        <v>0.95</v>
      </c>
      <c r="N859">
        <v>2.2200000000000002</v>
      </c>
      <c r="O859">
        <v>40.799999999999997</v>
      </c>
      <c r="P859">
        <v>55.9</v>
      </c>
      <c r="Q859">
        <v>0</v>
      </c>
      <c r="R859">
        <v>4</v>
      </c>
      <c r="S859">
        <v>0.38</v>
      </c>
      <c r="T859">
        <v>3.22</v>
      </c>
      <c r="U859">
        <v>0.28999999999999998</v>
      </c>
      <c r="V859">
        <v>1.28</v>
      </c>
      <c r="W859">
        <v>0</v>
      </c>
      <c r="X859">
        <v>3.68</v>
      </c>
    </row>
    <row r="860" spans="2:24" hidden="1" x14ac:dyDescent="0.35">
      <c r="B860">
        <v>2018</v>
      </c>
      <c r="C860" s="1">
        <v>43401</v>
      </c>
      <c r="D860">
        <v>2411</v>
      </c>
      <c r="E860" t="s">
        <v>23</v>
      </c>
      <c r="F860" t="s">
        <v>30</v>
      </c>
      <c r="G860" t="s">
        <v>40</v>
      </c>
      <c r="H860">
        <v>67.11</v>
      </c>
      <c r="I860">
        <v>82.03</v>
      </c>
      <c r="J860">
        <v>0.23880000000000001</v>
      </c>
      <c r="K860">
        <v>0.52059999999999995</v>
      </c>
      <c r="L860">
        <v>0.24060000000000001</v>
      </c>
      <c r="M860">
        <v>1.23</v>
      </c>
      <c r="N860">
        <v>1.92</v>
      </c>
      <c r="O860">
        <v>27.4</v>
      </c>
      <c r="P860">
        <v>59.5</v>
      </c>
      <c r="Q860">
        <v>2</v>
      </c>
      <c r="R860">
        <v>2</v>
      </c>
      <c r="S860">
        <v>2.16</v>
      </c>
      <c r="T860">
        <v>0.9</v>
      </c>
      <c r="U860">
        <v>0.83</v>
      </c>
      <c r="V860">
        <v>0.64</v>
      </c>
      <c r="W860">
        <v>2.1</v>
      </c>
      <c r="X860">
        <v>2.1</v>
      </c>
    </row>
    <row r="861" spans="2:24" hidden="1" x14ac:dyDescent="0.35">
      <c r="B861">
        <v>2018</v>
      </c>
      <c r="C861" s="1">
        <v>43401</v>
      </c>
      <c r="D861">
        <v>2411</v>
      </c>
      <c r="E861" t="s">
        <v>23</v>
      </c>
      <c r="F861" t="s">
        <v>39</v>
      </c>
      <c r="G861" t="s">
        <v>28</v>
      </c>
      <c r="H861">
        <v>78.88</v>
      </c>
      <c r="I861">
        <v>68.69</v>
      </c>
      <c r="J861">
        <v>0.59589999999999999</v>
      </c>
      <c r="K861">
        <v>0.1709</v>
      </c>
      <c r="L861">
        <v>0.23319999999999999</v>
      </c>
      <c r="M861">
        <v>1.94</v>
      </c>
      <c r="N861">
        <v>0.93</v>
      </c>
      <c r="O861">
        <v>31.6</v>
      </c>
      <c r="P861">
        <v>8.1</v>
      </c>
      <c r="Q861">
        <v>2</v>
      </c>
      <c r="R861">
        <v>1</v>
      </c>
      <c r="S861">
        <v>2.64</v>
      </c>
      <c r="T861">
        <v>1.53</v>
      </c>
      <c r="U861">
        <v>1.1299999999999999</v>
      </c>
      <c r="V861">
        <v>1.28</v>
      </c>
      <c r="W861">
        <v>2.1</v>
      </c>
      <c r="X861">
        <v>1.05</v>
      </c>
    </row>
    <row r="862" spans="2:24" hidden="1" x14ac:dyDescent="0.35">
      <c r="B862">
        <v>2018</v>
      </c>
      <c r="C862" s="1">
        <v>43402</v>
      </c>
      <c r="D862">
        <v>2411</v>
      </c>
      <c r="E862" t="s">
        <v>23</v>
      </c>
      <c r="F862" t="s">
        <v>29</v>
      </c>
      <c r="G862" t="s">
        <v>36</v>
      </c>
      <c r="H862">
        <v>84.81</v>
      </c>
      <c r="I862">
        <v>94.35</v>
      </c>
      <c r="J862">
        <v>0.24149999999999999</v>
      </c>
      <c r="K862">
        <v>0.51449999999999996</v>
      </c>
      <c r="L862">
        <v>0.24410000000000001</v>
      </c>
      <c r="M862">
        <v>1.22</v>
      </c>
      <c r="N862">
        <v>1.87</v>
      </c>
      <c r="O862">
        <v>59.2</v>
      </c>
      <c r="P862">
        <v>86.2</v>
      </c>
      <c r="Q862">
        <v>0</v>
      </c>
      <c r="R862">
        <v>1</v>
      </c>
      <c r="S862">
        <v>0.54</v>
      </c>
      <c r="T862">
        <v>2.15</v>
      </c>
      <c r="U862">
        <v>0.56999999999999995</v>
      </c>
      <c r="V862">
        <v>2.08</v>
      </c>
      <c r="W862">
        <v>0</v>
      </c>
      <c r="X862">
        <v>1.05</v>
      </c>
    </row>
    <row r="863" spans="2:24" hidden="1" x14ac:dyDescent="0.35">
      <c r="B863">
        <v>2018</v>
      </c>
      <c r="C863" s="1">
        <v>43407</v>
      </c>
      <c r="D863">
        <v>2411</v>
      </c>
      <c r="E863" t="s">
        <v>23</v>
      </c>
      <c r="F863" t="s">
        <v>38</v>
      </c>
      <c r="G863" t="s">
        <v>39</v>
      </c>
      <c r="H863">
        <v>69.06</v>
      </c>
      <c r="I863">
        <v>78.569999999999993</v>
      </c>
      <c r="J863">
        <v>0.32219999999999999</v>
      </c>
      <c r="K863">
        <v>0.42370000000000002</v>
      </c>
      <c r="L863">
        <v>0.25419999999999998</v>
      </c>
      <c r="M863">
        <v>1.45</v>
      </c>
      <c r="N863">
        <v>1.69</v>
      </c>
      <c r="O863">
        <v>13.4</v>
      </c>
      <c r="P863">
        <v>33</v>
      </c>
      <c r="Q863">
        <v>1</v>
      </c>
      <c r="R863">
        <v>2</v>
      </c>
      <c r="S863">
        <v>2.09</v>
      </c>
      <c r="T863">
        <v>3.21</v>
      </c>
      <c r="U863">
        <v>2.25</v>
      </c>
      <c r="V863">
        <v>1.71</v>
      </c>
      <c r="W863">
        <v>1.05</v>
      </c>
      <c r="X863">
        <v>2.1</v>
      </c>
    </row>
    <row r="864" spans="2:24" hidden="1" x14ac:dyDescent="0.35">
      <c r="B864">
        <v>2018</v>
      </c>
      <c r="C864" s="1">
        <v>43407</v>
      </c>
      <c r="D864">
        <v>2411</v>
      </c>
      <c r="E864" t="s">
        <v>23</v>
      </c>
      <c r="F864" t="s">
        <v>47</v>
      </c>
      <c r="G864" t="s">
        <v>25</v>
      </c>
      <c r="H864">
        <v>59.49</v>
      </c>
      <c r="I864">
        <v>70.510000000000005</v>
      </c>
      <c r="J864">
        <v>0.35139999999999999</v>
      </c>
      <c r="K864">
        <v>0.36749999999999999</v>
      </c>
      <c r="L864">
        <v>0.28110000000000002</v>
      </c>
      <c r="M864">
        <v>1.31</v>
      </c>
      <c r="N864">
        <v>1.34</v>
      </c>
      <c r="O864">
        <v>40.299999999999997</v>
      </c>
      <c r="P864">
        <v>8.1</v>
      </c>
      <c r="Q864">
        <v>0</v>
      </c>
      <c r="R864">
        <v>1</v>
      </c>
      <c r="S864">
        <v>0.97</v>
      </c>
      <c r="T864">
        <v>2.72</v>
      </c>
      <c r="U864">
        <v>1.81</v>
      </c>
      <c r="V864">
        <v>1.44</v>
      </c>
      <c r="W864">
        <v>0</v>
      </c>
      <c r="X864">
        <v>1.05</v>
      </c>
    </row>
    <row r="865" spans="2:24" hidden="1" x14ac:dyDescent="0.35">
      <c r="B865">
        <v>2018</v>
      </c>
      <c r="C865" s="1">
        <v>43407</v>
      </c>
      <c r="D865">
        <v>2411</v>
      </c>
      <c r="E865" t="s">
        <v>23</v>
      </c>
      <c r="F865" t="s">
        <v>28</v>
      </c>
      <c r="G865" t="s">
        <v>45</v>
      </c>
      <c r="H865">
        <v>68.930000000000007</v>
      </c>
      <c r="I865">
        <v>62.09</v>
      </c>
      <c r="J865">
        <v>0.51080000000000003</v>
      </c>
      <c r="K865">
        <v>0.22059999999999999</v>
      </c>
      <c r="L865">
        <v>0.26860000000000001</v>
      </c>
      <c r="M865">
        <v>1.61</v>
      </c>
      <c r="N865">
        <v>0.97</v>
      </c>
      <c r="O865">
        <v>9.5</v>
      </c>
      <c r="P865">
        <v>16.100000000000001</v>
      </c>
      <c r="Q865">
        <v>3</v>
      </c>
      <c r="R865">
        <v>1</v>
      </c>
      <c r="S865">
        <v>2.4</v>
      </c>
      <c r="T865">
        <v>0.54</v>
      </c>
      <c r="U865">
        <v>1.91</v>
      </c>
      <c r="V865">
        <v>0.51</v>
      </c>
      <c r="W865">
        <v>2.98</v>
      </c>
      <c r="X865">
        <v>1.05</v>
      </c>
    </row>
    <row r="866" spans="2:24" hidden="1" x14ac:dyDescent="0.35">
      <c r="B866">
        <v>2018</v>
      </c>
      <c r="C866" s="1">
        <v>43407</v>
      </c>
      <c r="D866">
        <v>2411</v>
      </c>
      <c r="E866" t="s">
        <v>23</v>
      </c>
      <c r="F866" t="s">
        <v>46</v>
      </c>
      <c r="G866" t="s">
        <v>35</v>
      </c>
      <c r="H866">
        <v>65.53</v>
      </c>
      <c r="I866">
        <v>69.12</v>
      </c>
      <c r="J866">
        <v>0.42030000000000001</v>
      </c>
      <c r="K866">
        <v>0.28620000000000001</v>
      </c>
      <c r="L866">
        <v>0.29339999999999999</v>
      </c>
      <c r="M866">
        <v>1.35</v>
      </c>
      <c r="N866">
        <v>1.06</v>
      </c>
      <c r="O866">
        <v>43.1</v>
      </c>
      <c r="P866">
        <v>10.3</v>
      </c>
      <c r="Q866">
        <v>1</v>
      </c>
      <c r="R866">
        <v>0</v>
      </c>
      <c r="S866">
        <v>0.76</v>
      </c>
      <c r="T866">
        <v>2.42</v>
      </c>
      <c r="U866">
        <v>1.1499999999999999</v>
      </c>
      <c r="V866">
        <v>2.0499999999999998</v>
      </c>
      <c r="W866">
        <v>1.05</v>
      </c>
      <c r="X866">
        <v>0</v>
      </c>
    </row>
    <row r="867" spans="2:24" hidden="1" x14ac:dyDescent="0.35">
      <c r="B867">
        <v>2018</v>
      </c>
      <c r="C867" s="1">
        <v>43407</v>
      </c>
      <c r="D867">
        <v>2411</v>
      </c>
      <c r="E867" t="s">
        <v>23</v>
      </c>
      <c r="F867" t="s">
        <v>43</v>
      </c>
      <c r="G867" t="s">
        <v>32</v>
      </c>
      <c r="H867">
        <v>66.63</v>
      </c>
      <c r="I867">
        <v>57.26</v>
      </c>
      <c r="J867">
        <v>0.5262</v>
      </c>
      <c r="K867">
        <v>0.20960000000000001</v>
      </c>
      <c r="L867">
        <v>0.26419999999999999</v>
      </c>
      <c r="M867">
        <v>1.65</v>
      </c>
      <c r="N867">
        <v>0.95</v>
      </c>
      <c r="O867">
        <v>28.7</v>
      </c>
      <c r="P867">
        <v>44.2</v>
      </c>
      <c r="Q867">
        <v>4</v>
      </c>
      <c r="R867">
        <v>2</v>
      </c>
      <c r="S867">
        <v>2.48</v>
      </c>
      <c r="T867">
        <v>0.98</v>
      </c>
      <c r="U867">
        <v>1.86</v>
      </c>
      <c r="V867">
        <v>0.59</v>
      </c>
      <c r="W867">
        <v>3.68</v>
      </c>
      <c r="X867">
        <v>2.1</v>
      </c>
    </row>
    <row r="868" spans="2:24" hidden="1" x14ac:dyDescent="0.35">
      <c r="B868">
        <v>2018</v>
      </c>
      <c r="C868" s="1">
        <v>43407</v>
      </c>
      <c r="D868">
        <v>2411</v>
      </c>
      <c r="E868" t="s">
        <v>23</v>
      </c>
      <c r="F868" t="s">
        <v>40</v>
      </c>
      <c r="G868" t="s">
        <v>41</v>
      </c>
      <c r="H868">
        <v>81.23</v>
      </c>
      <c r="I868">
        <v>91.06</v>
      </c>
      <c r="J868">
        <v>0.29520000000000002</v>
      </c>
      <c r="K868">
        <v>0.46479999999999999</v>
      </c>
      <c r="L868">
        <v>0.24</v>
      </c>
      <c r="M868">
        <v>1.49</v>
      </c>
      <c r="N868">
        <v>1.91</v>
      </c>
      <c r="O868">
        <v>65.900000000000006</v>
      </c>
      <c r="P868">
        <v>68.3</v>
      </c>
      <c r="Q868">
        <v>1</v>
      </c>
      <c r="R868">
        <v>1</v>
      </c>
      <c r="S868">
        <v>1.59</v>
      </c>
      <c r="T868">
        <v>1.46</v>
      </c>
      <c r="U868">
        <v>2.0099999999999998</v>
      </c>
      <c r="V868">
        <v>1.6</v>
      </c>
      <c r="W868">
        <v>1.05</v>
      </c>
      <c r="X868">
        <v>1.05</v>
      </c>
    </row>
    <row r="869" spans="2:24" hidden="1" x14ac:dyDescent="0.35">
      <c r="B869">
        <v>2018</v>
      </c>
      <c r="C869" s="1">
        <v>43407</v>
      </c>
      <c r="D869">
        <v>2411</v>
      </c>
      <c r="E869" t="s">
        <v>23</v>
      </c>
      <c r="F869" t="s">
        <v>49</v>
      </c>
      <c r="G869" t="s">
        <v>29</v>
      </c>
      <c r="H869">
        <v>67.75</v>
      </c>
      <c r="I869">
        <v>84.12</v>
      </c>
      <c r="J869">
        <v>0.2056</v>
      </c>
      <c r="K869">
        <v>0.53120000000000001</v>
      </c>
      <c r="L869">
        <v>0.26319999999999999</v>
      </c>
      <c r="M869">
        <v>0.93</v>
      </c>
      <c r="N869">
        <v>1.66</v>
      </c>
      <c r="O869">
        <v>8.1</v>
      </c>
      <c r="P869">
        <v>62.3</v>
      </c>
      <c r="Q869">
        <v>2</v>
      </c>
      <c r="R869">
        <v>3</v>
      </c>
      <c r="S869">
        <v>2.54</v>
      </c>
      <c r="T869">
        <v>1.96</v>
      </c>
      <c r="U869">
        <v>1.28</v>
      </c>
      <c r="V869">
        <v>0.97</v>
      </c>
      <c r="W869">
        <v>2.1</v>
      </c>
      <c r="X869">
        <v>3.15</v>
      </c>
    </row>
    <row r="870" spans="2:24" hidden="1" x14ac:dyDescent="0.35">
      <c r="B870">
        <v>2018</v>
      </c>
      <c r="C870" s="1">
        <v>43408</v>
      </c>
      <c r="D870">
        <v>2411</v>
      </c>
      <c r="E870" t="s">
        <v>23</v>
      </c>
      <c r="F870" t="s">
        <v>36</v>
      </c>
      <c r="G870" t="s">
        <v>34</v>
      </c>
      <c r="H870">
        <v>94.33</v>
      </c>
      <c r="I870">
        <v>66.09</v>
      </c>
      <c r="J870">
        <v>0.90390000000000004</v>
      </c>
      <c r="K870">
        <v>1.2999999999999999E-2</v>
      </c>
      <c r="L870">
        <v>8.3099999999999993E-2</v>
      </c>
      <c r="M870">
        <v>2.89</v>
      </c>
      <c r="N870">
        <v>0.2</v>
      </c>
      <c r="O870">
        <v>77.400000000000006</v>
      </c>
      <c r="P870">
        <v>25.6</v>
      </c>
      <c r="Q870">
        <v>6</v>
      </c>
      <c r="R870">
        <v>1</v>
      </c>
      <c r="S870">
        <v>2.4900000000000002</v>
      </c>
      <c r="T870">
        <v>1.96</v>
      </c>
      <c r="U870">
        <v>5.13</v>
      </c>
      <c r="V870">
        <v>1.22</v>
      </c>
      <c r="W870">
        <v>5.78</v>
      </c>
      <c r="X870">
        <v>1.05</v>
      </c>
    </row>
    <row r="871" spans="2:24" hidden="1" x14ac:dyDescent="0.35">
      <c r="B871">
        <v>2018</v>
      </c>
      <c r="C871" s="1">
        <v>43408</v>
      </c>
      <c r="D871">
        <v>2411</v>
      </c>
      <c r="E871" t="s">
        <v>23</v>
      </c>
      <c r="F871" t="s">
        <v>42</v>
      </c>
      <c r="G871" t="s">
        <v>30</v>
      </c>
      <c r="H871">
        <v>87.58</v>
      </c>
      <c r="I871">
        <v>68.12</v>
      </c>
      <c r="J871">
        <v>0.755</v>
      </c>
      <c r="K871">
        <v>7.46E-2</v>
      </c>
      <c r="L871">
        <v>0.1704</v>
      </c>
      <c r="M871">
        <v>2.34</v>
      </c>
      <c r="N871">
        <v>0.59</v>
      </c>
      <c r="O871">
        <v>49</v>
      </c>
      <c r="P871">
        <v>19.5</v>
      </c>
      <c r="Q871">
        <v>3</v>
      </c>
      <c r="R871">
        <v>1</v>
      </c>
      <c r="S871">
        <v>2.09</v>
      </c>
      <c r="T871">
        <v>0.38</v>
      </c>
      <c r="U871">
        <v>1.54</v>
      </c>
      <c r="V871">
        <v>0.54</v>
      </c>
      <c r="W871">
        <v>3.15</v>
      </c>
      <c r="X871">
        <v>1.05</v>
      </c>
    </row>
    <row r="872" spans="2:24" hidden="1" x14ac:dyDescent="0.35">
      <c r="B872">
        <v>2018</v>
      </c>
      <c r="C872" s="1">
        <v>43409</v>
      </c>
      <c r="D872">
        <v>2411</v>
      </c>
      <c r="E872" t="s">
        <v>23</v>
      </c>
      <c r="F872" t="s">
        <v>44</v>
      </c>
      <c r="G872" t="s">
        <v>48</v>
      </c>
      <c r="H872">
        <v>59</v>
      </c>
      <c r="I872">
        <v>57.48</v>
      </c>
      <c r="J872">
        <v>0.42520000000000002</v>
      </c>
      <c r="K872">
        <v>0.28039999999999998</v>
      </c>
      <c r="L872">
        <v>0.29449999999999998</v>
      </c>
      <c r="M872">
        <v>1.35</v>
      </c>
      <c r="N872">
        <v>1.04</v>
      </c>
      <c r="O872">
        <v>50.6</v>
      </c>
      <c r="P872">
        <v>49.5</v>
      </c>
      <c r="Q872">
        <v>1</v>
      </c>
      <c r="R872">
        <v>0</v>
      </c>
      <c r="S872">
        <v>0.73</v>
      </c>
      <c r="T872">
        <v>0.38</v>
      </c>
      <c r="U872">
        <v>0.94</v>
      </c>
      <c r="V872">
        <v>0.73</v>
      </c>
      <c r="W872">
        <v>1.05</v>
      </c>
      <c r="X872">
        <v>0</v>
      </c>
    </row>
    <row r="873" spans="2:24" hidden="1" x14ac:dyDescent="0.35">
      <c r="B873">
        <v>2018</v>
      </c>
      <c r="C873" s="1">
        <v>43414</v>
      </c>
      <c r="D873">
        <v>2411</v>
      </c>
      <c r="E873" t="s">
        <v>23</v>
      </c>
      <c r="F873" t="s">
        <v>47</v>
      </c>
      <c r="G873" t="s">
        <v>45</v>
      </c>
      <c r="H873">
        <v>58.75</v>
      </c>
      <c r="I873">
        <v>60.8</v>
      </c>
      <c r="J873">
        <v>0.44019999999999998</v>
      </c>
      <c r="K873">
        <v>0.27510000000000001</v>
      </c>
      <c r="L873">
        <v>0.28470000000000001</v>
      </c>
      <c r="M873">
        <v>1.43</v>
      </c>
      <c r="N873">
        <v>1.08</v>
      </c>
      <c r="O873">
        <v>49.3</v>
      </c>
      <c r="P873">
        <v>24.4</v>
      </c>
      <c r="Q873">
        <v>2</v>
      </c>
      <c r="R873">
        <v>1</v>
      </c>
      <c r="S873">
        <v>1.98</v>
      </c>
      <c r="T873">
        <v>0.8</v>
      </c>
      <c r="U873">
        <v>0.77</v>
      </c>
      <c r="V873">
        <v>0.51</v>
      </c>
      <c r="W873">
        <v>1.89</v>
      </c>
      <c r="X873">
        <v>1.05</v>
      </c>
    </row>
    <row r="874" spans="2:24" hidden="1" x14ac:dyDescent="0.35">
      <c r="B874">
        <v>2018</v>
      </c>
      <c r="C874" s="1">
        <v>43414</v>
      </c>
      <c r="D874">
        <v>2411</v>
      </c>
      <c r="E874" t="s">
        <v>23</v>
      </c>
      <c r="F874" t="s">
        <v>34</v>
      </c>
      <c r="G874" t="s">
        <v>35</v>
      </c>
      <c r="H874">
        <v>66.22</v>
      </c>
      <c r="I874">
        <v>69.88</v>
      </c>
      <c r="J874">
        <v>0.42330000000000001</v>
      </c>
      <c r="K874">
        <v>0.29609999999999997</v>
      </c>
      <c r="L874">
        <v>0.28060000000000002</v>
      </c>
      <c r="M874">
        <v>1.44</v>
      </c>
      <c r="N874">
        <v>1.1599999999999999</v>
      </c>
      <c r="O874">
        <v>32.799999999999997</v>
      </c>
      <c r="P874">
        <v>7.5</v>
      </c>
      <c r="Q874">
        <v>1</v>
      </c>
      <c r="R874">
        <v>1</v>
      </c>
      <c r="S874">
        <v>1.49</v>
      </c>
      <c r="T874">
        <v>1.1599999999999999</v>
      </c>
      <c r="U874">
        <v>0.95</v>
      </c>
      <c r="V874">
        <v>1.21</v>
      </c>
      <c r="W874">
        <v>1.05</v>
      </c>
      <c r="X874">
        <v>1.05</v>
      </c>
    </row>
    <row r="875" spans="2:24" hidden="1" x14ac:dyDescent="0.35">
      <c r="B875">
        <v>2018</v>
      </c>
      <c r="C875" s="1">
        <v>43414</v>
      </c>
      <c r="D875">
        <v>2411</v>
      </c>
      <c r="E875" t="s">
        <v>23</v>
      </c>
      <c r="F875" t="s">
        <v>46</v>
      </c>
      <c r="G875" t="s">
        <v>38</v>
      </c>
      <c r="H875">
        <v>64.739999999999995</v>
      </c>
      <c r="I875">
        <v>68.67</v>
      </c>
      <c r="J875">
        <v>0.40450000000000003</v>
      </c>
      <c r="K875">
        <v>0.316</v>
      </c>
      <c r="L875">
        <v>0.27950000000000003</v>
      </c>
      <c r="M875">
        <v>1.43</v>
      </c>
      <c r="N875">
        <v>1.23</v>
      </c>
      <c r="O875">
        <v>36.5</v>
      </c>
      <c r="P875">
        <v>9.1999999999999993</v>
      </c>
      <c r="Q875">
        <v>2</v>
      </c>
      <c r="R875">
        <v>1</v>
      </c>
      <c r="S875">
        <v>2.42</v>
      </c>
      <c r="T875">
        <v>1.82</v>
      </c>
      <c r="U875">
        <v>1.22</v>
      </c>
      <c r="V875">
        <v>1.27</v>
      </c>
      <c r="W875">
        <v>2.1</v>
      </c>
      <c r="X875">
        <v>1.05</v>
      </c>
    </row>
    <row r="876" spans="2:24" hidden="1" x14ac:dyDescent="0.35">
      <c r="B876">
        <v>2018</v>
      </c>
      <c r="C876" s="1">
        <v>43414</v>
      </c>
      <c r="D876">
        <v>2411</v>
      </c>
      <c r="E876" t="s">
        <v>23</v>
      </c>
      <c r="F876" t="s">
        <v>44</v>
      </c>
      <c r="G876" t="s">
        <v>43</v>
      </c>
      <c r="H876">
        <v>59.58</v>
      </c>
      <c r="I876">
        <v>66.989999999999995</v>
      </c>
      <c r="J876">
        <v>0.36940000000000001</v>
      </c>
      <c r="K876">
        <v>0.32300000000000001</v>
      </c>
      <c r="L876">
        <v>0.30769999999999997</v>
      </c>
      <c r="M876">
        <v>1.18</v>
      </c>
      <c r="N876">
        <v>1.08</v>
      </c>
      <c r="O876">
        <v>54</v>
      </c>
      <c r="P876">
        <v>19.8</v>
      </c>
      <c r="Q876">
        <v>1</v>
      </c>
      <c r="R876">
        <v>1</v>
      </c>
      <c r="S876">
        <v>1.1200000000000001</v>
      </c>
      <c r="T876">
        <v>1.93</v>
      </c>
      <c r="U876">
        <v>1</v>
      </c>
      <c r="V876">
        <v>1</v>
      </c>
      <c r="W876">
        <v>1.05</v>
      </c>
      <c r="X876">
        <v>1.05</v>
      </c>
    </row>
    <row r="877" spans="2:24" hidden="1" x14ac:dyDescent="0.35">
      <c r="B877">
        <v>2018</v>
      </c>
      <c r="C877" s="1">
        <v>43414</v>
      </c>
      <c r="D877">
        <v>2411</v>
      </c>
      <c r="E877" t="s">
        <v>23</v>
      </c>
      <c r="F877" t="s">
        <v>25</v>
      </c>
      <c r="G877" t="s">
        <v>32</v>
      </c>
      <c r="H877">
        <v>71.22</v>
      </c>
      <c r="I877">
        <v>56.31</v>
      </c>
      <c r="J877">
        <v>0.56950000000000001</v>
      </c>
      <c r="K877">
        <v>0.1852</v>
      </c>
      <c r="L877">
        <v>0.24540000000000001</v>
      </c>
      <c r="M877">
        <v>1.83</v>
      </c>
      <c r="N877">
        <v>0.94</v>
      </c>
      <c r="O877">
        <v>6.2</v>
      </c>
      <c r="P877">
        <v>44.7</v>
      </c>
      <c r="Q877">
        <v>0</v>
      </c>
      <c r="R877">
        <v>0</v>
      </c>
      <c r="S877">
        <v>1.45</v>
      </c>
      <c r="T877">
        <v>0.44</v>
      </c>
      <c r="U877">
        <v>1.99</v>
      </c>
      <c r="V877">
        <v>0.57999999999999996</v>
      </c>
      <c r="W877">
        <v>0</v>
      </c>
      <c r="X877">
        <v>0</v>
      </c>
    </row>
    <row r="878" spans="2:24" hidden="1" x14ac:dyDescent="0.35">
      <c r="B878">
        <v>2018</v>
      </c>
      <c r="C878" s="1">
        <v>43414</v>
      </c>
      <c r="D878">
        <v>2411</v>
      </c>
      <c r="E878" t="s">
        <v>23</v>
      </c>
      <c r="F878" t="s">
        <v>30</v>
      </c>
      <c r="G878" t="s">
        <v>29</v>
      </c>
      <c r="H878">
        <v>68.02</v>
      </c>
      <c r="I878">
        <v>84.21</v>
      </c>
      <c r="J878">
        <v>0.22500000000000001</v>
      </c>
      <c r="K878">
        <v>0.52349999999999997</v>
      </c>
      <c r="L878">
        <v>0.25140000000000001</v>
      </c>
      <c r="M878">
        <v>1.0900000000000001</v>
      </c>
      <c r="N878">
        <v>1.79</v>
      </c>
      <c r="O878">
        <v>26</v>
      </c>
      <c r="P878">
        <v>60.3</v>
      </c>
      <c r="Q878">
        <v>0</v>
      </c>
      <c r="R878">
        <v>1</v>
      </c>
      <c r="S878">
        <v>0.84</v>
      </c>
      <c r="T878">
        <v>1.64</v>
      </c>
      <c r="U878">
        <v>0.81</v>
      </c>
      <c r="V878">
        <v>0.98</v>
      </c>
      <c r="W878">
        <v>0</v>
      </c>
      <c r="X878">
        <v>1.05</v>
      </c>
    </row>
    <row r="879" spans="2:24" hidden="1" x14ac:dyDescent="0.35">
      <c r="B879">
        <v>2018</v>
      </c>
      <c r="C879" s="1">
        <v>43415</v>
      </c>
      <c r="D879">
        <v>2411</v>
      </c>
      <c r="E879" t="s">
        <v>23</v>
      </c>
      <c r="F879" t="s">
        <v>41</v>
      </c>
      <c r="G879" t="s">
        <v>48</v>
      </c>
      <c r="H879">
        <v>90.54</v>
      </c>
      <c r="I879">
        <v>57.5</v>
      </c>
      <c r="J879">
        <v>0.86040000000000005</v>
      </c>
      <c r="K879">
        <v>3.3099999999999997E-2</v>
      </c>
      <c r="L879">
        <v>0.1065</v>
      </c>
      <c r="M879">
        <v>2.9</v>
      </c>
      <c r="N879">
        <v>0.44</v>
      </c>
      <c r="O879">
        <v>35.4</v>
      </c>
      <c r="P879">
        <v>45.6</v>
      </c>
      <c r="Q879">
        <v>2</v>
      </c>
      <c r="R879">
        <v>0</v>
      </c>
      <c r="S879">
        <v>2.4500000000000002</v>
      </c>
      <c r="T879">
        <v>0.54</v>
      </c>
      <c r="U879">
        <v>1.93</v>
      </c>
      <c r="V879">
        <v>0.26</v>
      </c>
      <c r="W879">
        <v>2.1</v>
      </c>
      <c r="X879">
        <v>0</v>
      </c>
    </row>
    <row r="880" spans="2:24" hidden="1" x14ac:dyDescent="0.35">
      <c r="B880">
        <v>2018</v>
      </c>
      <c r="C880" s="1">
        <v>43415</v>
      </c>
      <c r="D880">
        <v>2411</v>
      </c>
      <c r="E880" t="s">
        <v>23</v>
      </c>
      <c r="F880" t="s">
        <v>42</v>
      </c>
      <c r="G880" t="s">
        <v>28</v>
      </c>
      <c r="H880">
        <v>87.28</v>
      </c>
      <c r="I880">
        <v>69.959999999999994</v>
      </c>
      <c r="J880">
        <v>0.71130000000000004</v>
      </c>
      <c r="K880">
        <v>0.10009999999999999</v>
      </c>
      <c r="L880">
        <v>0.18859999999999999</v>
      </c>
      <c r="M880">
        <v>2.2599999999999998</v>
      </c>
      <c r="N880">
        <v>0.71</v>
      </c>
      <c r="O880">
        <v>49.9</v>
      </c>
      <c r="P880">
        <v>10.3</v>
      </c>
      <c r="Q880">
        <v>0</v>
      </c>
      <c r="R880">
        <v>0</v>
      </c>
      <c r="S880">
        <v>1.23</v>
      </c>
      <c r="T880">
        <v>0.28000000000000003</v>
      </c>
      <c r="U880">
        <v>1.45</v>
      </c>
      <c r="V880">
        <v>0.59</v>
      </c>
      <c r="W880">
        <v>0</v>
      </c>
      <c r="X880">
        <v>0</v>
      </c>
    </row>
    <row r="881" spans="2:24" hidden="1" x14ac:dyDescent="0.35">
      <c r="B881">
        <v>2018</v>
      </c>
      <c r="C881" s="1">
        <v>43415</v>
      </c>
      <c r="D881">
        <v>2411</v>
      </c>
      <c r="E881" t="s">
        <v>23</v>
      </c>
      <c r="F881" t="s">
        <v>36</v>
      </c>
      <c r="G881" t="s">
        <v>39</v>
      </c>
      <c r="H881">
        <v>95</v>
      </c>
      <c r="I881">
        <v>79.05</v>
      </c>
      <c r="J881">
        <v>0.80179999999999996</v>
      </c>
      <c r="K881">
        <v>6.3500000000000001E-2</v>
      </c>
      <c r="L881">
        <v>0.13469999999999999</v>
      </c>
      <c r="M881">
        <v>2.82</v>
      </c>
      <c r="N881">
        <v>0.69</v>
      </c>
      <c r="O881">
        <v>82.4</v>
      </c>
      <c r="P881">
        <v>46</v>
      </c>
      <c r="Q881">
        <v>3</v>
      </c>
      <c r="R881">
        <v>1</v>
      </c>
      <c r="S881">
        <v>1.87</v>
      </c>
      <c r="T881">
        <v>1</v>
      </c>
      <c r="U881">
        <v>2.31</v>
      </c>
      <c r="V881">
        <v>0.91</v>
      </c>
      <c r="W881">
        <v>2.74</v>
      </c>
      <c r="X881">
        <v>1.05</v>
      </c>
    </row>
    <row r="882" spans="2:24" hidden="1" x14ac:dyDescent="0.35">
      <c r="B882">
        <v>2018</v>
      </c>
      <c r="C882" s="1">
        <v>43415</v>
      </c>
      <c r="D882">
        <v>2411</v>
      </c>
      <c r="E882" t="s">
        <v>23</v>
      </c>
      <c r="F882" t="s">
        <v>40</v>
      </c>
      <c r="G882" t="s">
        <v>49</v>
      </c>
      <c r="H882">
        <v>81.5</v>
      </c>
      <c r="I882">
        <v>68.34</v>
      </c>
      <c r="J882">
        <v>0.67110000000000003</v>
      </c>
      <c r="K882">
        <v>0.1234</v>
      </c>
      <c r="L882">
        <v>0.2056</v>
      </c>
      <c r="M882">
        <v>2.15</v>
      </c>
      <c r="N882">
        <v>0.79</v>
      </c>
      <c r="O882">
        <v>61.8</v>
      </c>
      <c r="P882">
        <v>7.6</v>
      </c>
      <c r="Q882">
        <v>1</v>
      </c>
      <c r="R882">
        <v>1</v>
      </c>
      <c r="S882">
        <v>1.0900000000000001</v>
      </c>
      <c r="T882">
        <v>2.08</v>
      </c>
      <c r="U882">
        <v>1.36</v>
      </c>
      <c r="V882">
        <v>1.4</v>
      </c>
      <c r="W882">
        <v>1.05</v>
      </c>
      <c r="X882">
        <v>1.05</v>
      </c>
    </row>
    <row r="883" spans="2:24" hidden="1" x14ac:dyDescent="0.35">
      <c r="B883">
        <v>2018</v>
      </c>
      <c r="C883" s="1">
        <v>43428</v>
      </c>
      <c r="D883">
        <v>2411</v>
      </c>
      <c r="E883" t="s">
        <v>23</v>
      </c>
      <c r="F883" t="s">
        <v>28</v>
      </c>
      <c r="G883" t="s">
        <v>47</v>
      </c>
      <c r="H883">
        <v>70.599999999999994</v>
      </c>
      <c r="I883">
        <v>59.38</v>
      </c>
      <c r="J883">
        <v>0.52639999999999998</v>
      </c>
      <c r="K883">
        <v>0.20549999999999999</v>
      </c>
      <c r="L883">
        <v>0.26800000000000002</v>
      </c>
      <c r="M883">
        <v>1.62</v>
      </c>
      <c r="N883">
        <v>0.91</v>
      </c>
      <c r="O883">
        <v>6.1</v>
      </c>
      <c r="P883">
        <v>42.4</v>
      </c>
      <c r="Q883">
        <v>1</v>
      </c>
      <c r="R883">
        <v>0</v>
      </c>
      <c r="S883">
        <v>2.66</v>
      </c>
      <c r="T883">
        <v>0.96</v>
      </c>
      <c r="U883">
        <v>2.2400000000000002</v>
      </c>
      <c r="V883">
        <v>1.1000000000000001</v>
      </c>
      <c r="W883">
        <v>1.05</v>
      </c>
      <c r="X883">
        <v>0</v>
      </c>
    </row>
    <row r="884" spans="2:24" hidden="1" x14ac:dyDescent="0.35">
      <c r="B884">
        <v>2018</v>
      </c>
      <c r="C884" s="1">
        <v>43428</v>
      </c>
      <c r="D884">
        <v>2411</v>
      </c>
      <c r="E884" t="s">
        <v>23</v>
      </c>
      <c r="F884" t="s">
        <v>35</v>
      </c>
      <c r="G884" t="s">
        <v>41</v>
      </c>
      <c r="H884">
        <v>70.13</v>
      </c>
      <c r="I884">
        <v>90.57</v>
      </c>
      <c r="J884">
        <v>0.1638</v>
      </c>
      <c r="K884">
        <v>0.60980000000000001</v>
      </c>
      <c r="L884">
        <v>0.22639999999999999</v>
      </c>
      <c r="M884">
        <v>0.93</v>
      </c>
      <c r="N884">
        <v>2.0099999999999998</v>
      </c>
      <c r="O884">
        <v>9.4</v>
      </c>
      <c r="P884">
        <v>50.8</v>
      </c>
      <c r="Q884">
        <v>0</v>
      </c>
      <c r="R884">
        <v>3</v>
      </c>
      <c r="S884">
        <v>0.7</v>
      </c>
      <c r="T884">
        <v>2.21</v>
      </c>
      <c r="U884">
        <v>0.85</v>
      </c>
      <c r="V884">
        <v>1.38</v>
      </c>
      <c r="W884">
        <v>0</v>
      </c>
      <c r="X884">
        <v>2.5299999999999998</v>
      </c>
    </row>
    <row r="885" spans="2:24" hidden="1" x14ac:dyDescent="0.35">
      <c r="B885">
        <v>2018</v>
      </c>
      <c r="C885" s="1">
        <v>43428</v>
      </c>
      <c r="D885">
        <v>2411</v>
      </c>
      <c r="E885" t="s">
        <v>23</v>
      </c>
      <c r="F885" t="s">
        <v>48</v>
      </c>
      <c r="G885" t="s">
        <v>34</v>
      </c>
      <c r="H885">
        <v>57.7</v>
      </c>
      <c r="I885">
        <v>66.08</v>
      </c>
      <c r="J885">
        <v>0.37090000000000001</v>
      </c>
      <c r="K885">
        <v>0.3483</v>
      </c>
      <c r="L885">
        <v>0.28079999999999999</v>
      </c>
      <c r="M885">
        <v>1.35</v>
      </c>
      <c r="N885">
        <v>1.3</v>
      </c>
      <c r="O885">
        <v>49.5</v>
      </c>
      <c r="P885">
        <v>39.700000000000003</v>
      </c>
      <c r="Q885">
        <v>3</v>
      </c>
      <c r="R885">
        <v>2</v>
      </c>
      <c r="S885">
        <v>1.34</v>
      </c>
      <c r="T885">
        <v>2.02</v>
      </c>
      <c r="U885">
        <v>1.34</v>
      </c>
      <c r="V885">
        <v>2.0299999999999998</v>
      </c>
      <c r="W885">
        <v>3.15</v>
      </c>
      <c r="X885">
        <v>2.1</v>
      </c>
    </row>
    <row r="886" spans="2:24" hidden="1" x14ac:dyDescent="0.35">
      <c r="B886">
        <v>2018</v>
      </c>
      <c r="C886" s="1">
        <v>43428</v>
      </c>
      <c r="D886">
        <v>2411</v>
      </c>
      <c r="E886" t="s">
        <v>23</v>
      </c>
      <c r="F886" t="s">
        <v>43</v>
      </c>
      <c r="G886" t="s">
        <v>36</v>
      </c>
      <c r="H886">
        <v>67.25</v>
      </c>
      <c r="I886">
        <v>94.85</v>
      </c>
      <c r="J886">
        <v>8.6599999999999996E-2</v>
      </c>
      <c r="K886">
        <v>0.75790000000000002</v>
      </c>
      <c r="L886">
        <v>0.1555</v>
      </c>
      <c r="M886">
        <v>0.81</v>
      </c>
      <c r="N886">
        <v>2.68</v>
      </c>
      <c r="O886">
        <v>15.2</v>
      </c>
      <c r="P886">
        <v>63.5</v>
      </c>
      <c r="Q886">
        <v>0</v>
      </c>
      <c r="R886">
        <v>4</v>
      </c>
      <c r="S886">
        <v>0.81</v>
      </c>
      <c r="T886">
        <v>2.33</v>
      </c>
      <c r="U886">
        <v>1.04</v>
      </c>
      <c r="V886">
        <v>1.93</v>
      </c>
      <c r="W886">
        <v>0</v>
      </c>
      <c r="X886">
        <v>3.68</v>
      </c>
    </row>
    <row r="887" spans="2:24" hidden="1" x14ac:dyDescent="0.35">
      <c r="B887">
        <v>2018</v>
      </c>
      <c r="C887" s="1">
        <v>43428</v>
      </c>
      <c r="D887">
        <v>2411</v>
      </c>
      <c r="E887" t="s">
        <v>23</v>
      </c>
      <c r="F887" t="s">
        <v>39</v>
      </c>
      <c r="G887" t="s">
        <v>30</v>
      </c>
      <c r="H887">
        <v>79.400000000000006</v>
      </c>
      <c r="I887">
        <v>67.84</v>
      </c>
      <c r="J887">
        <v>0.60899999999999999</v>
      </c>
      <c r="K887">
        <v>0.16070000000000001</v>
      </c>
      <c r="L887">
        <v>0.23039999999999999</v>
      </c>
      <c r="M887">
        <v>1.96</v>
      </c>
      <c r="N887">
        <v>0.89</v>
      </c>
      <c r="O887">
        <v>40.200000000000003</v>
      </c>
      <c r="P887">
        <v>27.6</v>
      </c>
      <c r="Q887">
        <v>0</v>
      </c>
      <c r="R887">
        <v>0</v>
      </c>
      <c r="S887">
        <v>1.52</v>
      </c>
      <c r="T887">
        <v>1.1000000000000001</v>
      </c>
      <c r="U887">
        <v>1.61</v>
      </c>
      <c r="V887">
        <v>0.75</v>
      </c>
      <c r="W887">
        <v>0</v>
      </c>
      <c r="X887">
        <v>0</v>
      </c>
    </row>
    <row r="888" spans="2:24" hidden="1" x14ac:dyDescent="0.35">
      <c r="B888">
        <v>2018</v>
      </c>
      <c r="C888" s="1">
        <v>43428</v>
      </c>
      <c r="D888">
        <v>2411</v>
      </c>
      <c r="E888" t="s">
        <v>23</v>
      </c>
      <c r="F888" t="s">
        <v>45</v>
      </c>
      <c r="G888" t="s">
        <v>25</v>
      </c>
      <c r="H888">
        <v>60.25</v>
      </c>
      <c r="I888">
        <v>71.430000000000007</v>
      </c>
      <c r="J888">
        <v>0.34420000000000001</v>
      </c>
      <c r="K888">
        <v>0.37209999999999999</v>
      </c>
      <c r="L888">
        <v>0.28370000000000001</v>
      </c>
      <c r="M888">
        <v>1.27</v>
      </c>
      <c r="N888">
        <v>1.34</v>
      </c>
      <c r="O888">
        <v>27.8</v>
      </c>
      <c r="P888">
        <v>5.2</v>
      </c>
      <c r="Q888">
        <v>1</v>
      </c>
      <c r="R888">
        <v>1</v>
      </c>
      <c r="S888">
        <v>0.89</v>
      </c>
      <c r="T888">
        <v>1.18</v>
      </c>
      <c r="U888">
        <v>0.85</v>
      </c>
      <c r="V888">
        <v>1.03</v>
      </c>
      <c r="W888">
        <v>1.05</v>
      </c>
      <c r="X888">
        <v>1.05</v>
      </c>
    </row>
    <row r="889" spans="2:24" hidden="1" x14ac:dyDescent="0.35">
      <c r="B889">
        <v>2018</v>
      </c>
      <c r="C889" s="1">
        <v>43428</v>
      </c>
      <c r="D889">
        <v>2411</v>
      </c>
      <c r="E889" t="s">
        <v>23</v>
      </c>
      <c r="F889" t="s">
        <v>29</v>
      </c>
      <c r="G889" t="s">
        <v>42</v>
      </c>
      <c r="H889">
        <v>84.6</v>
      </c>
      <c r="I889">
        <v>87.15</v>
      </c>
      <c r="J889">
        <v>0.41930000000000001</v>
      </c>
      <c r="K889">
        <v>0.3155</v>
      </c>
      <c r="L889">
        <v>0.26529999999999998</v>
      </c>
      <c r="M889">
        <v>1.57</v>
      </c>
      <c r="N889">
        <v>1.33</v>
      </c>
      <c r="O889">
        <v>69.400000000000006</v>
      </c>
      <c r="P889">
        <v>54.1</v>
      </c>
      <c r="Q889">
        <v>3</v>
      </c>
      <c r="R889">
        <v>1</v>
      </c>
      <c r="S889">
        <v>4.03</v>
      </c>
      <c r="T889">
        <v>1.29</v>
      </c>
      <c r="U889">
        <v>1.97</v>
      </c>
      <c r="V889">
        <v>1.53</v>
      </c>
      <c r="W889">
        <v>3.15</v>
      </c>
      <c r="X889">
        <v>1.05</v>
      </c>
    </row>
    <row r="890" spans="2:24" hidden="1" x14ac:dyDescent="0.35">
      <c r="B890">
        <v>2018</v>
      </c>
      <c r="C890" s="1">
        <v>43429</v>
      </c>
      <c r="D890">
        <v>2411</v>
      </c>
      <c r="E890" t="s">
        <v>23</v>
      </c>
      <c r="F890" t="s">
        <v>38</v>
      </c>
      <c r="G890" t="s">
        <v>40</v>
      </c>
      <c r="H890">
        <v>68.010000000000005</v>
      </c>
      <c r="I890">
        <v>80.260000000000005</v>
      </c>
      <c r="J890">
        <v>0.26939999999999997</v>
      </c>
      <c r="K890">
        <v>0.49630000000000002</v>
      </c>
      <c r="L890">
        <v>0.23430000000000001</v>
      </c>
      <c r="M890">
        <v>1.43</v>
      </c>
      <c r="N890">
        <v>2</v>
      </c>
      <c r="O890">
        <v>6.3</v>
      </c>
      <c r="P890">
        <v>56.7</v>
      </c>
      <c r="Q890">
        <v>1</v>
      </c>
      <c r="R890">
        <v>2</v>
      </c>
      <c r="S890">
        <v>0.62</v>
      </c>
      <c r="T890">
        <v>1.56</v>
      </c>
      <c r="U890">
        <v>1.1599999999999999</v>
      </c>
      <c r="V890">
        <v>2.23</v>
      </c>
      <c r="W890">
        <v>1.05</v>
      </c>
      <c r="X890">
        <v>2.1</v>
      </c>
    </row>
    <row r="891" spans="2:24" hidden="1" x14ac:dyDescent="0.35">
      <c r="B891">
        <v>2018</v>
      </c>
      <c r="C891" s="1">
        <v>43429</v>
      </c>
      <c r="D891">
        <v>2411</v>
      </c>
      <c r="E891" t="s">
        <v>23</v>
      </c>
      <c r="F891" t="s">
        <v>49</v>
      </c>
      <c r="G891" t="s">
        <v>44</v>
      </c>
      <c r="H891">
        <v>69.819999999999993</v>
      </c>
      <c r="I891">
        <v>59.27</v>
      </c>
      <c r="J891">
        <v>0.5121</v>
      </c>
      <c r="K891">
        <v>0.18779999999999999</v>
      </c>
      <c r="L891">
        <v>0.3</v>
      </c>
      <c r="M891">
        <v>1.37</v>
      </c>
      <c r="N891">
        <v>0.71</v>
      </c>
      <c r="O891">
        <v>11.2</v>
      </c>
      <c r="P891">
        <v>51.2</v>
      </c>
      <c r="Q891">
        <v>0</v>
      </c>
      <c r="R891">
        <v>2</v>
      </c>
      <c r="S891">
        <v>0.73</v>
      </c>
      <c r="T891">
        <v>0.65</v>
      </c>
      <c r="U891">
        <v>0.92</v>
      </c>
      <c r="V891">
        <v>0.87</v>
      </c>
      <c r="W891">
        <v>0</v>
      </c>
      <c r="X891">
        <v>2.02</v>
      </c>
    </row>
    <row r="892" spans="2:24" hidden="1" x14ac:dyDescent="0.35">
      <c r="B892">
        <v>2018</v>
      </c>
      <c r="C892" s="1">
        <v>43430</v>
      </c>
      <c r="D892">
        <v>2411</v>
      </c>
      <c r="E892" t="s">
        <v>23</v>
      </c>
      <c r="F892" t="s">
        <v>32</v>
      </c>
      <c r="G892" t="s">
        <v>46</v>
      </c>
      <c r="H892">
        <v>56.63</v>
      </c>
      <c r="I892">
        <v>65.13</v>
      </c>
      <c r="J892">
        <v>0.3725</v>
      </c>
      <c r="K892">
        <v>0.3301</v>
      </c>
      <c r="L892">
        <v>0.2974</v>
      </c>
      <c r="M892">
        <v>1.24</v>
      </c>
      <c r="N892">
        <v>1.1499999999999999</v>
      </c>
      <c r="O892">
        <v>53.3</v>
      </c>
      <c r="P892">
        <v>40.4</v>
      </c>
      <c r="Q892">
        <v>1</v>
      </c>
      <c r="R892">
        <v>2</v>
      </c>
      <c r="S892">
        <v>0.95</v>
      </c>
      <c r="T892">
        <v>1.88</v>
      </c>
      <c r="U892">
        <v>1.99</v>
      </c>
      <c r="V892">
        <v>1.07</v>
      </c>
      <c r="W892">
        <v>1.05</v>
      </c>
      <c r="X892">
        <v>2.1</v>
      </c>
    </row>
    <row r="893" spans="2:24" hidden="1" x14ac:dyDescent="0.35">
      <c r="B893">
        <v>2018</v>
      </c>
      <c r="C893" s="1">
        <v>43434</v>
      </c>
      <c r="D893">
        <v>2411</v>
      </c>
      <c r="E893" t="s">
        <v>23</v>
      </c>
      <c r="F893" t="s">
        <v>47</v>
      </c>
      <c r="G893" t="s">
        <v>49</v>
      </c>
      <c r="H893">
        <v>58.84</v>
      </c>
      <c r="I893">
        <v>68.06</v>
      </c>
      <c r="J893">
        <v>0.38059999999999999</v>
      </c>
      <c r="K893">
        <v>0.32240000000000002</v>
      </c>
      <c r="L893">
        <v>0.29699999999999999</v>
      </c>
      <c r="M893">
        <v>1.26</v>
      </c>
      <c r="N893">
        <v>1.1399999999999999</v>
      </c>
      <c r="O893">
        <v>48.4</v>
      </c>
      <c r="P893">
        <v>13.7</v>
      </c>
      <c r="Q893">
        <v>2</v>
      </c>
      <c r="R893">
        <v>1</v>
      </c>
      <c r="S893">
        <v>1.1100000000000001</v>
      </c>
      <c r="T893">
        <v>1.1299999999999999</v>
      </c>
      <c r="U893">
        <v>1.1599999999999999</v>
      </c>
      <c r="V893">
        <v>1.3</v>
      </c>
      <c r="W893">
        <v>2.1</v>
      </c>
      <c r="X893">
        <v>1.05</v>
      </c>
    </row>
    <row r="894" spans="2:24" hidden="1" x14ac:dyDescent="0.35">
      <c r="B894">
        <v>2018</v>
      </c>
      <c r="C894" s="1">
        <v>43435</v>
      </c>
      <c r="D894">
        <v>2411</v>
      </c>
      <c r="E894" t="s">
        <v>23</v>
      </c>
      <c r="F894" t="s">
        <v>44</v>
      </c>
      <c r="G894" t="s">
        <v>45</v>
      </c>
      <c r="H894">
        <v>61.19</v>
      </c>
      <c r="I894">
        <v>60.28</v>
      </c>
      <c r="J894">
        <v>0.44209999999999999</v>
      </c>
      <c r="K894">
        <v>0.2457</v>
      </c>
      <c r="L894">
        <v>0.31219999999999998</v>
      </c>
      <c r="M894">
        <v>1.26</v>
      </c>
      <c r="N894">
        <v>0.86</v>
      </c>
      <c r="O894">
        <v>51.5</v>
      </c>
      <c r="P894">
        <v>30.6</v>
      </c>
      <c r="Q894">
        <v>1</v>
      </c>
      <c r="R894">
        <v>2</v>
      </c>
      <c r="S894">
        <v>0.54</v>
      </c>
      <c r="T894">
        <v>1.17</v>
      </c>
      <c r="U894">
        <v>0.37</v>
      </c>
      <c r="V894">
        <v>1.52</v>
      </c>
      <c r="W894">
        <v>1.05</v>
      </c>
      <c r="X894">
        <v>1.68</v>
      </c>
    </row>
    <row r="895" spans="2:24" hidden="1" x14ac:dyDescent="0.35">
      <c r="B895">
        <v>2018</v>
      </c>
      <c r="C895" s="1">
        <v>43435</v>
      </c>
      <c r="D895">
        <v>2411</v>
      </c>
      <c r="E895" t="s">
        <v>23</v>
      </c>
      <c r="F895" t="s">
        <v>36</v>
      </c>
      <c r="G895" t="s">
        <v>38</v>
      </c>
      <c r="H895">
        <v>94.66</v>
      </c>
      <c r="I895">
        <v>67.41</v>
      </c>
      <c r="J895">
        <v>0.90500000000000003</v>
      </c>
      <c r="K895">
        <v>2.0299999999999999E-2</v>
      </c>
      <c r="L895">
        <v>7.4700000000000003E-2</v>
      </c>
      <c r="M895">
        <v>3.33</v>
      </c>
      <c r="N895">
        <v>0.39</v>
      </c>
      <c r="O895">
        <v>84.9</v>
      </c>
      <c r="P895">
        <v>7.4</v>
      </c>
      <c r="Q895">
        <v>3</v>
      </c>
      <c r="R895">
        <v>1</v>
      </c>
      <c r="S895">
        <v>2.89</v>
      </c>
      <c r="T895">
        <v>0.59</v>
      </c>
      <c r="U895">
        <v>2.88</v>
      </c>
      <c r="V895">
        <v>1.03</v>
      </c>
      <c r="W895">
        <v>2.92</v>
      </c>
      <c r="X895">
        <v>1.05</v>
      </c>
    </row>
    <row r="896" spans="2:24" hidden="1" x14ac:dyDescent="0.35">
      <c r="B896">
        <v>2018</v>
      </c>
      <c r="C896" s="1">
        <v>43435</v>
      </c>
      <c r="D896">
        <v>2411</v>
      </c>
      <c r="E896" t="s">
        <v>23</v>
      </c>
      <c r="F896" t="s">
        <v>25</v>
      </c>
      <c r="G896" t="s">
        <v>35</v>
      </c>
      <c r="H896">
        <v>71.63</v>
      </c>
      <c r="I896">
        <v>69.430000000000007</v>
      </c>
      <c r="J896">
        <v>0.46729999999999999</v>
      </c>
      <c r="K896">
        <v>0.25490000000000002</v>
      </c>
      <c r="L896">
        <v>0.27779999999999999</v>
      </c>
      <c r="M896">
        <v>1.51</v>
      </c>
      <c r="N896">
        <v>1.05</v>
      </c>
      <c r="O896">
        <v>5.6</v>
      </c>
      <c r="P896">
        <v>3.6</v>
      </c>
      <c r="Q896">
        <v>2</v>
      </c>
      <c r="R896">
        <v>0</v>
      </c>
      <c r="S896">
        <v>1.25</v>
      </c>
      <c r="T896">
        <v>1.27</v>
      </c>
      <c r="U896">
        <v>0.55000000000000004</v>
      </c>
      <c r="V896">
        <v>1.88</v>
      </c>
      <c r="W896">
        <v>2.1</v>
      </c>
      <c r="X896">
        <v>0</v>
      </c>
    </row>
    <row r="897" spans="2:24" hidden="1" x14ac:dyDescent="0.35">
      <c r="B897">
        <v>2018</v>
      </c>
      <c r="C897" s="1">
        <v>43435</v>
      </c>
      <c r="D897">
        <v>2411</v>
      </c>
      <c r="E897" t="s">
        <v>23</v>
      </c>
      <c r="F897" t="s">
        <v>46</v>
      </c>
      <c r="G897" t="s">
        <v>43</v>
      </c>
      <c r="H897">
        <v>65.41</v>
      </c>
      <c r="I897">
        <v>66.819999999999993</v>
      </c>
      <c r="J897">
        <v>0.42809999999999998</v>
      </c>
      <c r="K897">
        <v>0.28520000000000001</v>
      </c>
      <c r="L897">
        <v>0.28660000000000002</v>
      </c>
      <c r="M897">
        <v>1.41</v>
      </c>
      <c r="N897">
        <v>1.1000000000000001</v>
      </c>
      <c r="O897">
        <v>34.9</v>
      </c>
      <c r="P897">
        <v>21.1</v>
      </c>
      <c r="Q897">
        <v>0</v>
      </c>
      <c r="R897">
        <v>3</v>
      </c>
      <c r="S897">
        <v>1.34</v>
      </c>
      <c r="T897">
        <v>2.65</v>
      </c>
      <c r="U897">
        <v>1.62</v>
      </c>
      <c r="V897">
        <v>0.93</v>
      </c>
      <c r="W897">
        <v>0</v>
      </c>
      <c r="X897">
        <v>2.63</v>
      </c>
    </row>
    <row r="898" spans="2:24" hidden="1" x14ac:dyDescent="0.35">
      <c r="B898">
        <v>2018</v>
      </c>
      <c r="C898" s="1">
        <v>43435</v>
      </c>
      <c r="D898">
        <v>2411</v>
      </c>
      <c r="E898" t="s">
        <v>23</v>
      </c>
      <c r="F898" t="s">
        <v>30</v>
      </c>
      <c r="G898" t="s">
        <v>32</v>
      </c>
      <c r="H898">
        <v>68.47</v>
      </c>
      <c r="I898">
        <v>56.04</v>
      </c>
      <c r="J898">
        <v>0.55079999999999996</v>
      </c>
      <c r="K898">
        <v>0.1835</v>
      </c>
      <c r="L898">
        <v>0.2656</v>
      </c>
      <c r="M898">
        <v>1.63</v>
      </c>
      <c r="N898">
        <v>0.83</v>
      </c>
      <c r="O898">
        <v>39.299999999999997</v>
      </c>
      <c r="P898">
        <v>48.1</v>
      </c>
      <c r="Q898">
        <v>2</v>
      </c>
      <c r="R898">
        <v>0</v>
      </c>
      <c r="S898">
        <v>1.74</v>
      </c>
      <c r="T898">
        <v>0.4</v>
      </c>
      <c r="U898">
        <v>2.33</v>
      </c>
      <c r="V898">
        <v>0.8</v>
      </c>
      <c r="W898">
        <v>1.92</v>
      </c>
      <c r="X898">
        <v>0</v>
      </c>
    </row>
    <row r="899" spans="2:24" hidden="1" x14ac:dyDescent="0.35">
      <c r="B899">
        <v>2018</v>
      </c>
      <c r="C899" s="1">
        <v>43435</v>
      </c>
      <c r="D899">
        <v>2411</v>
      </c>
      <c r="E899" t="s">
        <v>23</v>
      </c>
      <c r="F899" t="s">
        <v>34</v>
      </c>
      <c r="G899" t="s">
        <v>39</v>
      </c>
      <c r="H899">
        <v>65.81</v>
      </c>
      <c r="I899">
        <v>79.290000000000006</v>
      </c>
      <c r="J899">
        <v>0.29649999999999999</v>
      </c>
      <c r="K899">
        <v>0.44059999999999999</v>
      </c>
      <c r="L899">
        <v>0.26290000000000002</v>
      </c>
      <c r="M899">
        <v>1.29</v>
      </c>
      <c r="N899">
        <v>1.62</v>
      </c>
      <c r="O899">
        <v>39.799999999999997</v>
      </c>
      <c r="P899">
        <v>32.1</v>
      </c>
      <c r="Q899">
        <v>2</v>
      </c>
      <c r="R899">
        <v>2</v>
      </c>
      <c r="S899">
        <v>0.72</v>
      </c>
      <c r="T899">
        <v>1.18</v>
      </c>
      <c r="U899">
        <v>0.93</v>
      </c>
      <c r="V899">
        <v>1.33</v>
      </c>
      <c r="W899">
        <v>2.1</v>
      </c>
      <c r="X899">
        <v>2.1</v>
      </c>
    </row>
    <row r="900" spans="2:24" hidden="1" x14ac:dyDescent="0.35">
      <c r="B900">
        <v>2018</v>
      </c>
      <c r="C900" s="1">
        <v>43436</v>
      </c>
      <c r="D900">
        <v>2411</v>
      </c>
      <c r="E900" t="s">
        <v>23</v>
      </c>
      <c r="F900" t="s">
        <v>42</v>
      </c>
      <c r="G900" t="s">
        <v>48</v>
      </c>
      <c r="H900">
        <v>86.63</v>
      </c>
      <c r="I900">
        <v>57.38</v>
      </c>
      <c r="J900">
        <v>0.83330000000000004</v>
      </c>
      <c r="K900">
        <v>4.3700000000000003E-2</v>
      </c>
      <c r="L900">
        <v>0.123</v>
      </c>
      <c r="M900">
        <v>2.76</v>
      </c>
      <c r="N900">
        <v>0.5</v>
      </c>
      <c r="O900">
        <v>63.2</v>
      </c>
      <c r="P900">
        <v>41.2</v>
      </c>
      <c r="Q900">
        <v>2</v>
      </c>
      <c r="R900">
        <v>0</v>
      </c>
      <c r="S900">
        <v>2.3199999999999998</v>
      </c>
      <c r="T900">
        <v>0.31</v>
      </c>
      <c r="U900">
        <v>1.45</v>
      </c>
      <c r="V900">
        <v>0.88</v>
      </c>
      <c r="W900">
        <v>1.8</v>
      </c>
      <c r="X900">
        <v>0</v>
      </c>
    </row>
    <row r="901" spans="2:24" hidden="1" x14ac:dyDescent="0.35">
      <c r="B901">
        <v>2018</v>
      </c>
      <c r="C901" s="1">
        <v>43436</v>
      </c>
      <c r="D901">
        <v>2411</v>
      </c>
      <c r="E901" t="s">
        <v>23</v>
      </c>
      <c r="F901" t="s">
        <v>40</v>
      </c>
      <c r="G901" t="s">
        <v>29</v>
      </c>
      <c r="H901">
        <v>81.13</v>
      </c>
      <c r="I901">
        <v>85.73</v>
      </c>
      <c r="J901">
        <v>0.40060000000000001</v>
      </c>
      <c r="K901">
        <v>0.34870000000000001</v>
      </c>
      <c r="L901">
        <v>0.25069999999999998</v>
      </c>
      <c r="M901">
        <v>1.69</v>
      </c>
      <c r="N901">
        <v>1.56</v>
      </c>
      <c r="O901">
        <v>81.5</v>
      </c>
      <c r="P901">
        <v>61.9</v>
      </c>
      <c r="Q901">
        <v>4</v>
      </c>
      <c r="R901">
        <v>2</v>
      </c>
      <c r="S901">
        <v>2.33</v>
      </c>
      <c r="T901">
        <v>1.19</v>
      </c>
      <c r="U901">
        <v>1.97</v>
      </c>
      <c r="V901">
        <v>0.41</v>
      </c>
      <c r="W901">
        <v>4.0199999999999996</v>
      </c>
      <c r="X901">
        <v>2.1</v>
      </c>
    </row>
    <row r="902" spans="2:24" hidden="1" x14ac:dyDescent="0.35">
      <c r="B902">
        <v>2018</v>
      </c>
      <c r="C902" s="1">
        <v>43436</v>
      </c>
      <c r="D902">
        <v>2411</v>
      </c>
      <c r="E902" t="s">
        <v>23</v>
      </c>
      <c r="F902" t="s">
        <v>41</v>
      </c>
      <c r="G902" t="s">
        <v>28</v>
      </c>
      <c r="H902">
        <v>90.99</v>
      </c>
      <c r="I902">
        <v>71.06</v>
      </c>
      <c r="J902">
        <v>0.79930000000000001</v>
      </c>
      <c r="K902">
        <v>5.0599999999999999E-2</v>
      </c>
      <c r="L902">
        <v>0.15010000000000001</v>
      </c>
      <c r="M902">
        <v>2.42</v>
      </c>
      <c r="N902">
        <v>0.45</v>
      </c>
      <c r="O902">
        <v>53.8</v>
      </c>
      <c r="P902">
        <v>10.1</v>
      </c>
      <c r="Q902">
        <v>1</v>
      </c>
      <c r="R902">
        <v>0</v>
      </c>
      <c r="S902">
        <v>2.97</v>
      </c>
      <c r="T902">
        <v>1.39</v>
      </c>
      <c r="U902">
        <v>1.84</v>
      </c>
      <c r="V902">
        <v>1.2</v>
      </c>
      <c r="W902">
        <v>1.05</v>
      </c>
      <c r="X902">
        <v>0</v>
      </c>
    </row>
    <row r="903" spans="2:24" hidden="1" x14ac:dyDescent="0.35">
      <c r="B903">
        <v>2018</v>
      </c>
      <c r="C903" s="1">
        <v>43438</v>
      </c>
      <c r="D903">
        <v>2411</v>
      </c>
      <c r="E903" t="s">
        <v>23</v>
      </c>
      <c r="F903" t="s">
        <v>38</v>
      </c>
      <c r="G903" t="s">
        <v>44</v>
      </c>
      <c r="H903">
        <v>67.86</v>
      </c>
      <c r="I903">
        <v>59.74</v>
      </c>
      <c r="J903">
        <v>0.51600000000000001</v>
      </c>
      <c r="K903">
        <v>0.21010000000000001</v>
      </c>
      <c r="L903">
        <v>0.27389999999999998</v>
      </c>
      <c r="M903">
        <v>1.57</v>
      </c>
      <c r="N903">
        <v>0.9</v>
      </c>
      <c r="O903">
        <v>7.3</v>
      </c>
      <c r="P903">
        <v>51.4</v>
      </c>
      <c r="Q903">
        <v>2</v>
      </c>
      <c r="R903">
        <v>1</v>
      </c>
      <c r="S903">
        <v>1.1399999999999999</v>
      </c>
      <c r="T903">
        <v>1.74</v>
      </c>
      <c r="U903">
        <v>0.71</v>
      </c>
      <c r="V903">
        <v>2.98</v>
      </c>
      <c r="W903">
        <v>2.1</v>
      </c>
      <c r="X903">
        <v>1.05</v>
      </c>
    </row>
    <row r="904" spans="2:24" hidden="1" x14ac:dyDescent="0.35">
      <c r="B904">
        <v>2018</v>
      </c>
      <c r="C904" s="1">
        <v>43438</v>
      </c>
      <c r="D904">
        <v>2411</v>
      </c>
      <c r="E904" t="s">
        <v>23</v>
      </c>
      <c r="F904" t="s">
        <v>45</v>
      </c>
      <c r="G904" t="s">
        <v>30</v>
      </c>
      <c r="H904">
        <v>61.8</v>
      </c>
      <c r="I904">
        <v>69.38</v>
      </c>
      <c r="J904">
        <v>0.36020000000000002</v>
      </c>
      <c r="K904">
        <v>0.33979999999999999</v>
      </c>
      <c r="L904">
        <v>0.3</v>
      </c>
      <c r="M904">
        <v>1.2</v>
      </c>
      <c r="N904">
        <v>1.1599999999999999</v>
      </c>
      <c r="O904">
        <v>19.399999999999999</v>
      </c>
      <c r="P904">
        <v>24</v>
      </c>
      <c r="Q904">
        <v>3</v>
      </c>
      <c r="R904">
        <v>1</v>
      </c>
      <c r="S904">
        <v>1.25</v>
      </c>
      <c r="T904">
        <v>1.74</v>
      </c>
      <c r="U904">
        <v>0.71</v>
      </c>
      <c r="V904">
        <v>1.8</v>
      </c>
      <c r="W904">
        <v>3.15</v>
      </c>
      <c r="X904">
        <v>0.84</v>
      </c>
    </row>
    <row r="905" spans="2:24" hidden="1" x14ac:dyDescent="0.35">
      <c r="B905">
        <v>2018</v>
      </c>
      <c r="C905" s="1">
        <v>43438</v>
      </c>
      <c r="D905">
        <v>2411</v>
      </c>
      <c r="E905" t="s">
        <v>23</v>
      </c>
      <c r="F905" t="s">
        <v>43</v>
      </c>
      <c r="G905" t="s">
        <v>47</v>
      </c>
      <c r="H905">
        <v>68.23</v>
      </c>
      <c r="I905">
        <v>59.18</v>
      </c>
      <c r="J905">
        <v>0.51670000000000005</v>
      </c>
      <c r="K905">
        <v>0.21970000000000001</v>
      </c>
      <c r="L905">
        <v>0.2636</v>
      </c>
      <c r="M905">
        <v>1.66</v>
      </c>
      <c r="N905">
        <v>0.99</v>
      </c>
      <c r="O905">
        <v>15.8</v>
      </c>
      <c r="P905">
        <v>45.5</v>
      </c>
      <c r="Q905">
        <v>3</v>
      </c>
      <c r="R905">
        <v>1</v>
      </c>
      <c r="S905">
        <v>1.52</v>
      </c>
      <c r="T905">
        <v>1.72</v>
      </c>
      <c r="U905">
        <v>2.21</v>
      </c>
      <c r="V905">
        <v>0.54</v>
      </c>
      <c r="W905">
        <v>3.15</v>
      </c>
      <c r="X905">
        <v>1.05</v>
      </c>
    </row>
    <row r="906" spans="2:24" hidden="1" x14ac:dyDescent="0.35">
      <c r="B906">
        <v>2018</v>
      </c>
      <c r="C906" s="1">
        <v>43438</v>
      </c>
      <c r="D906">
        <v>2411</v>
      </c>
      <c r="E906" t="s">
        <v>23</v>
      </c>
      <c r="F906" t="s">
        <v>35</v>
      </c>
      <c r="G906" t="s">
        <v>36</v>
      </c>
      <c r="H906">
        <v>69.69</v>
      </c>
      <c r="I906">
        <v>94.47</v>
      </c>
      <c r="J906">
        <v>8.9099999999999999E-2</v>
      </c>
      <c r="K906">
        <v>0.74650000000000005</v>
      </c>
      <c r="L906">
        <v>0.16439999999999999</v>
      </c>
      <c r="M906">
        <v>0.77</v>
      </c>
      <c r="N906">
        <v>2.5499999999999998</v>
      </c>
      <c r="O906">
        <v>3.2</v>
      </c>
      <c r="P906">
        <v>82.4</v>
      </c>
      <c r="Q906">
        <v>1</v>
      </c>
      <c r="R906">
        <v>2</v>
      </c>
      <c r="S906">
        <v>2.11</v>
      </c>
      <c r="T906">
        <v>2.9</v>
      </c>
      <c r="U906">
        <v>1.46</v>
      </c>
      <c r="V906">
        <v>2.2200000000000002</v>
      </c>
      <c r="W906">
        <v>1.05</v>
      </c>
      <c r="X906">
        <v>2.1</v>
      </c>
    </row>
    <row r="907" spans="2:24" hidden="1" x14ac:dyDescent="0.35">
      <c r="B907">
        <v>2018</v>
      </c>
      <c r="C907" s="1">
        <v>43439</v>
      </c>
      <c r="D907">
        <v>2411</v>
      </c>
      <c r="E907" t="s">
        <v>23</v>
      </c>
      <c r="F907" t="s">
        <v>28</v>
      </c>
      <c r="G907" t="s">
        <v>46</v>
      </c>
      <c r="H907">
        <v>71.59</v>
      </c>
      <c r="I907">
        <v>63.76</v>
      </c>
      <c r="J907">
        <v>0.50219999999999998</v>
      </c>
      <c r="K907">
        <v>0.2208</v>
      </c>
      <c r="L907">
        <v>0.27710000000000001</v>
      </c>
      <c r="M907">
        <v>1.54</v>
      </c>
      <c r="N907">
        <v>0.93</v>
      </c>
      <c r="O907">
        <v>5.7</v>
      </c>
      <c r="P907">
        <v>32.9</v>
      </c>
      <c r="Q907">
        <v>1</v>
      </c>
      <c r="R907">
        <v>1</v>
      </c>
      <c r="S907">
        <v>2.31</v>
      </c>
      <c r="T907">
        <v>1.39</v>
      </c>
      <c r="U907">
        <v>1.44</v>
      </c>
      <c r="V907">
        <v>1.02</v>
      </c>
      <c r="W907">
        <v>1.05</v>
      </c>
      <c r="X907">
        <v>1.05</v>
      </c>
    </row>
    <row r="908" spans="2:24" hidden="1" x14ac:dyDescent="0.35">
      <c r="B908">
        <v>2018</v>
      </c>
      <c r="C908" s="1">
        <v>43439</v>
      </c>
      <c r="D908">
        <v>2411</v>
      </c>
      <c r="E908" t="s">
        <v>23</v>
      </c>
      <c r="F908" t="s">
        <v>48</v>
      </c>
      <c r="G908" t="s">
        <v>25</v>
      </c>
      <c r="H908">
        <v>57.76</v>
      </c>
      <c r="I908">
        <v>71.44</v>
      </c>
      <c r="J908">
        <v>0.34570000000000001</v>
      </c>
      <c r="K908">
        <v>0.377</v>
      </c>
      <c r="L908">
        <v>0.2772</v>
      </c>
      <c r="M908">
        <v>1.32</v>
      </c>
      <c r="N908">
        <v>1.39</v>
      </c>
      <c r="O908">
        <v>47</v>
      </c>
      <c r="P908">
        <v>3.8</v>
      </c>
      <c r="Q908">
        <v>1</v>
      </c>
      <c r="R908">
        <v>1</v>
      </c>
      <c r="S908">
        <v>1.73</v>
      </c>
      <c r="T908">
        <v>1.21</v>
      </c>
      <c r="U908">
        <v>2.2400000000000002</v>
      </c>
      <c r="V908">
        <v>0.79</v>
      </c>
      <c r="W908">
        <v>1.05</v>
      </c>
      <c r="X908">
        <v>1.05</v>
      </c>
    </row>
    <row r="909" spans="2:24" hidden="1" x14ac:dyDescent="0.35">
      <c r="B909">
        <v>2018</v>
      </c>
      <c r="C909" s="1">
        <v>43439</v>
      </c>
      <c r="D909">
        <v>2411</v>
      </c>
      <c r="E909" t="s">
        <v>23</v>
      </c>
      <c r="F909" t="s">
        <v>32</v>
      </c>
      <c r="G909" t="s">
        <v>41</v>
      </c>
      <c r="H909">
        <v>55.12</v>
      </c>
      <c r="I909">
        <v>90.69</v>
      </c>
      <c r="J909">
        <v>9.6799999999999997E-2</v>
      </c>
      <c r="K909">
        <v>0.72750000000000004</v>
      </c>
      <c r="L909">
        <v>0.1757</v>
      </c>
      <c r="M909">
        <v>0.76</v>
      </c>
      <c r="N909">
        <v>2.42</v>
      </c>
      <c r="O909">
        <v>52.7</v>
      </c>
      <c r="P909">
        <v>56.6</v>
      </c>
      <c r="Q909">
        <v>1</v>
      </c>
      <c r="R909">
        <v>3</v>
      </c>
      <c r="S909">
        <v>1.32</v>
      </c>
      <c r="T909">
        <v>2.68</v>
      </c>
      <c r="U909">
        <v>1.0900000000000001</v>
      </c>
      <c r="V909">
        <v>2.2999999999999998</v>
      </c>
      <c r="W909">
        <v>1.05</v>
      </c>
      <c r="X909">
        <v>2.63</v>
      </c>
    </row>
    <row r="910" spans="2:24" hidden="1" x14ac:dyDescent="0.35">
      <c r="B910">
        <v>2018</v>
      </c>
      <c r="C910" s="1">
        <v>43439</v>
      </c>
      <c r="D910">
        <v>2411</v>
      </c>
      <c r="E910" t="s">
        <v>23</v>
      </c>
      <c r="F910" t="s">
        <v>49</v>
      </c>
      <c r="G910" t="s">
        <v>42</v>
      </c>
      <c r="H910">
        <v>67.62</v>
      </c>
      <c r="I910">
        <v>86.58</v>
      </c>
      <c r="J910">
        <v>0.18279999999999999</v>
      </c>
      <c r="K910">
        <v>0.57230000000000003</v>
      </c>
      <c r="L910">
        <v>0.24490000000000001</v>
      </c>
      <c r="M910">
        <v>0.93</v>
      </c>
      <c r="N910">
        <v>1.83</v>
      </c>
      <c r="O910">
        <v>12.7</v>
      </c>
      <c r="P910">
        <v>63.3</v>
      </c>
      <c r="Q910">
        <v>2</v>
      </c>
      <c r="R910">
        <v>1</v>
      </c>
      <c r="S910">
        <v>0.77</v>
      </c>
      <c r="T910">
        <v>1.78</v>
      </c>
      <c r="U910">
        <v>0.76</v>
      </c>
      <c r="V910">
        <v>1.19</v>
      </c>
      <c r="W910">
        <v>2.1</v>
      </c>
      <c r="X910">
        <v>1.05</v>
      </c>
    </row>
    <row r="911" spans="2:24" hidden="1" x14ac:dyDescent="0.35">
      <c r="B911">
        <v>2018</v>
      </c>
      <c r="C911" s="1">
        <v>43439</v>
      </c>
      <c r="D911">
        <v>2411</v>
      </c>
      <c r="E911" t="s">
        <v>23</v>
      </c>
      <c r="F911" t="s">
        <v>29</v>
      </c>
      <c r="G911" t="s">
        <v>34</v>
      </c>
      <c r="H911">
        <v>84.65</v>
      </c>
      <c r="I911">
        <v>65.88</v>
      </c>
      <c r="J911">
        <v>0.70899999999999996</v>
      </c>
      <c r="K911">
        <v>0.1031</v>
      </c>
      <c r="L911">
        <v>0.18790000000000001</v>
      </c>
      <c r="M911">
        <v>2.29</v>
      </c>
      <c r="N911">
        <v>0.74</v>
      </c>
      <c r="O911">
        <v>67</v>
      </c>
      <c r="P911">
        <v>36.799999999999997</v>
      </c>
      <c r="Q911">
        <v>3</v>
      </c>
      <c r="R911">
        <v>1</v>
      </c>
      <c r="S911">
        <v>2.0499999999999998</v>
      </c>
      <c r="T911">
        <v>1.81</v>
      </c>
      <c r="U911">
        <v>1.38</v>
      </c>
      <c r="V911">
        <v>1.43</v>
      </c>
      <c r="W911">
        <v>3.15</v>
      </c>
      <c r="X911">
        <v>1.05</v>
      </c>
    </row>
    <row r="912" spans="2:24" hidden="1" x14ac:dyDescent="0.35">
      <c r="B912">
        <v>2018</v>
      </c>
      <c r="C912" s="1">
        <v>43439</v>
      </c>
      <c r="D912">
        <v>2411</v>
      </c>
      <c r="E912" t="s">
        <v>23</v>
      </c>
      <c r="F912" t="s">
        <v>39</v>
      </c>
      <c r="G912" t="s">
        <v>40</v>
      </c>
      <c r="H912">
        <v>79.260000000000005</v>
      </c>
      <c r="I912">
        <v>82.22</v>
      </c>
      <c r="J912">
        <v>0.37640000000000001</v>
      </c>
      <c r="K912">
        <v>0.37330000000000002</v>
      </c>
      <c r="L912">
        <v>0.25019999999999998</v>
      </c>
      <c r="M912">
        <v>1.64</v>
      </c>
      <c r="N912">
        <v>1.63</v>
      </c>
      <c r="O912">
        <v>32.799999999999997</v>
      </c>
      <c r="P912">
        <v>66.7</v>
      </c>
      <c r="Q912">
        <v>2</v>
      </c>
      <c r="R912">
        <v>2</v>
      </c>
      <c r="S912">
        <v>1.34</v>
      </c>
      <c r="T912">
        <v>1.81</v>
      </c>
      <c r="U912">
        <v>1.06</v>
      </c>
      <c r="V912">
        <v>1.95</v>
      </c>
      <c r="W912">
        <v>2.1</v>
      </c>
      <c r="X912">
        <v>2.1</v>
      </c>
    </row>
    <row r="913" spans="2:24" hidden="1" x14ac:dyDescent="0.35">
      <c r="B913">
        <v>2018</v>
      </c>
      <c r="C913" s="1">
        <v>43442</v>
      </c>
      <c r="D913">
        <v>2411</v>
      </c>
      <c r="E913" t="s">
        <v>23</v>
      </c>
      <c r="F913" t="s">
        <v>38</v>
      </c>
      <c r="G913" t="s">
        <v>41</v>
      </c>
      <c r="H913">
        <v>65.819999999999993</v>
      </c>
      <c r="I913">
        <v>90.32</v>
      </c>
      <c r="J913">
        <v>0.13980000000000001</v>
      </c>
      <c r="K913">
        <v>0.66610000000000003</v>
      </c>
      <c r="L913">
        <v>0.19409999999999999</v>
      </c>
      <c r="M913">
        <v>1</v>
      </c>
      <c r="N913">
        <v>2.38</v>
      </c>
      <c r="O913">
        <v>3.7</v>
      </c>
      <c r="P913">
        <v>54.6</v>
      </c>
      <c r="Q913">
        <v>0</v>
      </c>
      <c r="R913">
        <v>4</v>
      </c>
      <c r="S913">
        <v>0.31</v>
      </c>
      <c r="T913">
        <v>1.71</v>
      </c>
      <c r="U913">
        <v>0.84</v>
      </c>
      <c r="V913">
        <v>2.17</v>
      </c>
      <c r="W913">
        <v>0</v>
      </c>
      <c r="X913">
        <v>4.03</v>
      </c>
    </row>
    <row r="914" spans="2:24" hidden="1" x14ac:dyDescent="0.35">
      <c r="B914">
        <v>2018</v>
      </c>
      <c r="C914" s="1">
        <v>43442</v>
      </c>
      <c r="D914">
        <v>2411</v>
      </c>
      <c r="E914" t="s">
        <v>23</v>
      </c>
      <c r="F914" t="s">
        <v>32</v>
      </c>
      <c r="G914" t="s">
        <v>45</v>
      </c>
      <c r="H914">
        <v>55.59</v>
      </c>
      <c r="I914">
        <v>61.9</v>
      </c>
      <c r="J914">
        <v>0.40789999999999998</v>
      </c>
      <c r="K914">
        <v>0.31</v>
      </c>
      <c r="L914">
        <v>0.28210000000000002</v>
      </c>
      <c r="M914">
        <v>1.41</v>
      </c>
      <c r="N914">
        <v>1.2</v>
      </c>
      <c r="O914">
        <v>42.5</v>
      </c>
      <c r="P914">
        <v>12.1</v>
      </c>
      <c r="Q914">
        <v>1</v>
      </c>
      <c r="R914">
        <v>0</v>
      </c>
      <c r="S914">
        <v>1.6</v>
      </c>
      <c r="T914">
        <v>1.27</v>
      </c>
      <c r="U914">
        <v>1.03</v>
      </c>
      <c r="V914">
        <v>1.53</v>
      </c>
      <c r="W914">
        <v>1.05</v>
      </c>
      <c r="X914">
        <v>0</v>
      </c>
    </row>
    <row r="915" spans="2:24" hidden="1" x14ac:dyDescent="0.35">
      <c r="B915">
        <v>2018</v>
      </c>
      <c r="C915" s="1">
        <v>43442</v>
      </c>
      <c r="D915">
        <v>2411</v>
      </c>
      <c r="E915" t="s">
        <v>23</v>
      </c>
      <c r="F915" t="s">
        <v>43</v>
      </c>
      <c r="G915" t="s">
        <v>30</v>
      </c>
      <c r="H915">
        <v>68.459999999999994</v>
      </c>
      <c r="I915">
        <v>68.930000000000007</v>
      </c>
      <c r="J915">
        <v>0.43309999999999998</v>
      </c>
      <c r="K915">
        <v>0.2853</v>
      </c>
      <c r="L915">
        <v>0.28160000000000002</v>
      </c>
      <c r="M915">
        <v>1.45</v>
      </c>
      <c r="N915">
        <v>1.1299999999999999</v>
      </c>
      <c r="O915">
        <v>9.8000000000000007</v>
      </c>
      <c r="P915">
        <v>24.4</v>
      </c>
      <c r="Q915">
        <v>3</v>
      </c>
      <c r="R915">
        <v>2</v>
      </c>
      <c r="S915">
        <v>1.63</v>
      </c>
      <c r="T915">
        <v>0.98</v>
      </c>
      <c r="U915">
        <v>1.5</v>
      </c>
      <c r="V915">
        <v>1.21</v>
      </c>
      <c r="W915">
        <v>3.15</v>
      </c>
      <c r="X915">
        <v>2.1</v>
      </c>
    </row>
    <row r="916" spans="2:24" hidden="1" x14ac:dyDescent="0.35">
      <c r="B916">
        <v>2018</v>
      </c>
      <c r="C916" s="1">
        <v>43442</v>
      </c>
      <c r="D916">
        <v>2411</v>
      </c>
      <c r="E916" t="s">
        <v>23</v>
      </c>
      <c r="F916" t="s">
        <v>39</v>
      </c>
      <c r="G916" t="s">
        <v>48</v>
      </c>
      <c r="H916">
        <v>78.78</v>
      </c>
      <c r="I916">
        <v>58.78</v>
      </c>
      <c r="J916">
        <v>0.65400000000000003</v>
      </c>
      <c r="K916">
        <v>0.13789999999999999</v>
      </c>
      <c r="L916">
        <v>0.20810000000000001</v>
      </c>
      <c r="M916">
        <v>2.17</v>
      </c>
      <c r="N916">
        <v>0.88</v>
      </c>
      <c r="O916">
        <v>18.3</v>
      </c>
      <c r="P916">
        <v>43.3</v>
      </c>
      <c r="Q916">
        <v>4</v>
      </c>
      <c r="R916">
        <v>1</v>
      </c>
      <c r="S916">
        <v>2.83</v>
      </c>
      <c r="T916">
        <v>1.1399999999999999</v>
      </c>
      <c r="U916">
        <v>2.12</v>
      </c>
      <c r="V916">
        <v>0.81</v>
      </c>
      <c r="W916">
        <v>3.74</v>
      </c>
      <c r="X916">
        <v>1.05</v>
      </c>
    </row>
    <row r="917" spans="2:24" hidden="1" x14ac:dyDescent="0.35">
      <c r="B917">
        <v>2018</v>
      </c>
      <c r="C917" s="1">
        <v>43442</v>
      </c>
      <c r="D917">
        <v>2411</v>
      </c>
      <c r="E917" t="s">
        <v>23</v>
      </c>
      <c r="F917" t="s">
        <v>47</v>
      </c>
      <c r="G917" t="s">
        <v>34</v>
      </c>
      <c r="H917">
        <v>58.63</v>
      </c>
      <c r="I917">
        <v>66.62</v>
      </c>
      <c r="J917">
        <v>0.36849999999999999</v>
      </c>
      <c r="K917">
        <v>0.35089999999999999</v>
      </c>
      <c r="L917">
        <v>0.28050000000000003</v>
      </c>
      <c r="M917">
        <v>1.35</v>
      </c>
      <c r="N917">
        <v>1.31</v>
      </c>
      <c r="O917">
        <v>55.9</v>
      </c>
      <c r="P917">
        <v>43.3</v>
      </c>
      <c r="Q917">
        <v>1</v>
      </c>
      <c r="R917">
        <v>0</v>
      </c>
      <c r="S917">
        <v>1.69</v>
      </c>
      <c r="T917">
        <v>0.74</v>
      </c>
      <c r="U917">
        <v>1.92</v>
      </c>
      <c r="V917">
        <v>0.79</v>
      </c>
      <c r="W917">
        <v>1.05</v>
      </c>
      <c r="X917">
        <v>0</v>
      </c>
    </row>
    <row r="918" spans="2:24" hidden="1" x14ac:dyDescent="0.35">
      <c r="B918">
        <v>2018</v>
      </c>
      <c r="C918" s="1">
        <v>43442</v>
      </c>
      <c r="D918">
        <v>2411</v>
      </c>
      <c r="E918" t="s">
        <v>23</v>
      </c>
      <c r="F918" t="s">
        <v>40</v>
      </c>
      <c r="G918" t="s">
        <v>44</v>
      </c>
      <c r="H918">
        <v>82.64</v>
      </c>
      <c r="I918">
        <v>61.31</v>
      </c>
      <c r="J918">
        <v>0.77590000000000003</v>
      </c>
      <c r="K918">
        <v>5.9900000000000002E-2</v>
      </c>
      <c r="L918">
        <v>0.16420000000000001</v>
      </c>
      <c r="M918">
        <v>2.31</v>
      </c>
      <c r="N918">
        <v>0.48</v>
      </c>
      <c r="O918">
        <v>71.2</v>
      </c>
      <c r="P918">
        <v>46.7</v>
      </c>
      <c r="Q918">
        <v>1</v>
      </c>
      <c r="R918">
        <v>0</v>
      </c>
      <c r="S918">
        <v>2.11</v>
      </c>
      <c r="T918">
        <v>0.37</v>
      </c>
      <c r="U918">
        <v>1.43</v>
      </c>
      <c r="V918">
        <v>0.66</v>
      </c>
      <c r="W918">
        <v>1.05</v>
      </c>
      <c r="X918">
        <v>0</v>
      </c>
    </row>
    <row r="919" spans="2:24" hidden="1" x14ac:dyDescent="0.35">
      <c r="B919">
        <v>2018</v>
      </c>
      <c r="C919" s="1">
        <v>43442</v>
      </c>
      <c r="D919">
        <v>2411</v>
      </c>
      <c r="E919" t="s">
        <v>23</v>
      </c>
      <c r="F919" t="s">
        <v>42</v>
      </c>
      <c r="G919" t="s">
        <v>36</v>
      </c>
      <c r="H919">
        <v>86.18</v>
      </c>
      <c r="I919">
        <v>94.07</v>
      </c>
      <c r="J919">
        <v>0.27700000000000002</v>
      </c>
      <c r="K919">
        <v>0.47899999999999998</v>
      </c>
      <c r="L919">
        <v>0.24399999999999999</v>
      </c>
      <c r="M919">
        <v>1.37</v>
      </c>
      <c r="N919">
        <v>1.87</v>
      </c>
      <c r="O919">
        <v>63.2</v>
      </c>
      <c r="P919">
        <v>77.900000000000006</v>
      </c>
      <c r="Q919">
        <v>2</v>
      </c>
      <c r="R919">
        <v>0</v>
      </c>
      <c r="S919">
        <v>0.84</v>
      </c>
      <c r="T919">
        <v>0.94</v>
      </c>
      <c r="U919">
        <v>0.99</v>
      </c>
      <c r="V919">
        <v>1.98</v>
      </c>
      <c r="W919">
        <v>1.91</v>
      </c>
      <c r="X919">
        <v>0</v>
      </c>
    </row>
    <row r="920" spans="2:24" hidden="1" x14ac:dyDescent="0.35">
      <c r="B920">
        <v>2018</v>
      </c>
      <c r="C920" s="1">
        <v>43442</v>
      </c>
      <c r="D920">
        <v>2411</v>
      </c>
      <c r="E920" t="s">
        <v>23</v>
      </c>
      <c r="F920" t="s">
        <v>25</v>
      </c>
      <c r="G920" t="s">
        <v>29</v>
      </c>
      <c r="H920">
        <v>70.489999999999995</v>
      </c>
      <c r="I920">
        <v>83.97</v>
      </c>
      <c r="J920">
        <v>0.23780000000000001</v>
      </c>
      <c r="K920">
        <v>0.51180000000000003</v>
      </c>
      <c r="L920">
        <v>0.25040000000000001</v>
      </c>
      <c r="M920">
        <v>1.1499999999999999</v>
      </c>
      <c r="N920">
        <v>1.8</v>
      </c>
      <c r="O920">
        <v>3.9</v>
      </c>
      <c r="P920">
        <v>55.8</v>
      </c>
      <c r="Q920">
        <v>0</v>
      </c>
      <c r="R920">
        <v>2</v>
      </c>
      <c r="S920">
        <v>0.31</v>
      </c>
      <c r="T920">
        <v>1.1000000000000001</v>
      </c>
      <c r="U920">
        <v>0.56000000000000005</v>
      </c>
      <c r="V920">
        <v>1.89</v>
      </c>
      <c r="W920">
        <v>0</v>
      </c>
      <c r="X920">
        <v>2.1</v>
      </c>
    </row>
    <row r="921" spans="2:24" hidden="1" x14ac:dyDescent="0.35">
      <c r="B921">
        <v>2018</v>
      </c>
      <c r="C921" s="1">
        <v>43443</v>
      </c>
      <c r="D921">
        <v>2411</v>
      </c>
      <c r="E921" t="s">
        <v>23</v>
      </c>
      <c r="F921" t="s">
        <v>46</v>
      </c>
      <c r="G921" t="s">
        <v>49</v>
      </c>
      <c r="H921">
        <v>64.05</v>
      </c>
      <c r="I921">
        <v>68.23</v>
      </c>
      <c r="J921">
        <v>0.4229</v>
      </c>
      <c r="K921">
        <v>0.28000000000000003</v>
      </c>
      <c r="L921">
        <v>0.29709999999999998</v>
      </c>
      <c r="M921">
        <v>1.33</v>
      </c>
      <c r="N921">
        <v>1.02</v>
      </c>
      <c r="O921">
        <v>38.700000000000003</v>
      </c>
      <c r="P921">
        <v>8.6</v>
      </c>
      <c r="Q921">
        <v>1</v>
      </c>
      <c r="R921">
        <v>2</v>
      </c>
      <c r="S921">
        <v>0.64</v>
      </c>
      <c r="T921">
        <v>1.82</v>
      </c>
      <c r="U921">
        <v>1.22</v>
      </c>
      <c r="V921">
        <v>0.95</v>
      </c>
      <c r="W921">
        <v>1.05</v>
      </c>
      <c r="X921">
        <v>1.89</v>
      </c>
    </row>
    <row r="922" spans="2:24" hidden="1" x14ac:dyDescent="0.35">
      <c r="B922">
        <v>2018</v>
      </c>
      <c r="C922" s="1">
        <v>43444</v>
      </c>
      <c r="D922">
        <v>2411</v>
      </c>
      <c r="E922" t="s">
        <v>23</v>
      </c>
      <c r="F922" t="s">
        <v>28</v>
      </c>
      <c r="G922" t="s">
        <v>35</v>
      </c>
      <c r="H922">
        <v>71.209999999999994</v>
      </c>
      <c r="I922">
        <v>70.48</v>
      </c>
      <c r="J922">
        <v>0.4471</v>
      </c>
      <c r="K922">
        <v>0.27460000000000001</v>
      </c>
      <c r="L922">
        <v>0.27839999999999998</v>
      </c>
      <c r="M922">
        <v>1.49</v>
      </c>
      <c r="N922">
        <v>1.1100000000000001</v>
      </c>
      <c r="O922">
        <v>2.2000000000000002</v>
      </c>
      <c r="P922">
        <v>4</v>
      </c>
      <c r="Q922">
        <v>2</v>
      </c>
      <c r="R922">
        <v>2</v>
      </c>
      <c r="S922">
        <v>1.79</v>
      </c>
      <c r="T922">
        <v>1.62</v>
      </c>
      <c r="U922">
        <v>1.97</v>
      </c>
      <c r="V922">
        <v>1.26</v>
      </c>
      <c r="W922">
        <v>2.1</v>
      </c>
      <c r="X922">
        <v>2.1</v>
      </c>
    </row>
    <row r="923" spans="2:24" hidden="1" x14ac:dyDescent="0.35">
      <c r="B923">
        <v>2018</v>
      </c>
      <c r="C923" s="1">
        <v>43449</v>
      </c>
      <c r="D923">
        <v>2411</v>
      </c>
      <c r="E923" t="s">
        <v>23</v>
      </c>
      <c r="F923" t="s">
        <v>36</v>
      </c>
      <c r="G923" t="s">
        <v>28</v>
      </c>
      <c r="H923">
        <v>93.75</v>
      </c>
      <c r="I923">
        <v>70.930000000000007</v>
      </c>
      <c r="J923">
        <v>0.88219999999999998</v>
      </c>
      <c r="K923">
        <v>2.47E-2</v>
      </c>
      <c r="L923">
        <v>9.3100000000000002E-2</v>
      </c>
      <c r="M923">
        <v>2.99</v>
      </c>
      <c r="N923">
        <v>0.37</v>
      </c>
      <c r="O923">
        <v>98.3</v>
      </c>
      <c r="P923">
        <v>2</v>
      </c>
      <c r="Q923">
        <v>3</v>
      </c>
      <c r="R923">
        <v>1</v>
      </c>
      <c r="S923">
        <v>1.65</v>
      </c>
      <c r="T923">
        <v>1.88</v>
      </c>
      <c r="U923">
        <v>1.49</v>
      </c>
      <c r="V923">
        <v>1.06</v>
      </c>
      <c r="W923">
        <v>3.15</v>
      </c>
      <c r="X923">
        <v>1.05</v>
      </c>
    </row>
    <row r="924" spans="2:24" hidden="1" x14ac:dyDescent="0.35">
      <c r="B924">
        <v>2018</v>
      </c>
      <c r="C924" s="1">
        <v>43449</v>
      </c>
      <c r="D924">
        <v>2411</v>
      </c>
      <c r="E924" t="s">
        <v>23</v>
      </c>
      <c r="F924" t="s">
        <v>44</v>
      </c>
      <c r="G924" t="s">
        <v>46</v>
      </c>
      <c r="H924">
        <v>61.62</v>
      </c>
      <c r="I924">
        <v>63.08</v>
      </c>
      <c r="J924">
        <v>0.41070000000000001</v>
      </c>
      <c r="K924">
        <v>0.27039999999999997</v>
      </c>
      <c r="L924">
        <v>0.31879999999999997</v>
      </c>
      <c r="M924">
        <v>1.18</v>
      </c>
      <c r="N924">
        <v>0.9</v>
      </c>
      <c r="O924">
        <v>58.7</v>
      </c>
      <c r="P924">
        <v>47.5</v>
      </c>
      <c r="Q924">
        <v>0</v>
      </c>
      <c r="R924">
        <v>1</v>
      </c>
      <c r="S924">
        <v>0.87</v>
      </c>
      <c r="T924">
        <v>0.94</v>
      </c>
      <c r="U924">
        <v>2.1</v>
      </c>
      <c r="V924">
        <v>0.27</v>
      </c>
      <c r="W924">
        <v>0</v>
      </c>
      <c r="X924">
        <v>1.05</v>
      </c>
    </row>
    <row r="925" spans="2:24" hidden="1" x14ac:dyDescent="0.35">
      <c r="B925">
        <v>2018</v>
      </c>
      <c r="C925" s="1">
        <v>43449</v>
      </c>
      <c r="D925">
        <v>2411</v>
      </c>
      <c r="E925" t="s">
        <v>23</v>
      </c>
      <c r="F925" t="s">
        <v>35</v>
      </c>
      <c r="G925" t="s">
        <v>47</v>
      </c>
      <c r="H925">
        <v>70.41</v>
      </c>
      <c r="I925">
        <v>59.92</v>
      </c>
      <c r="J925">
        <v>0.52149999999999996</v>
      </c>
      <c r="K925">
        <v>0.2157</v>
      </c>
      <c r="L925">
        <v>0.26279999999999998</v>
      </c>
      <c r="M925">
        <v>1.67</v>
      </c>
      <c r="N925">
        <v>0.98</v>
      </c>
      <c r="O925">
        <v>5.5</v>
      </c>
      <c r="P925">
        <v>46</v>
      </c>
      <c r="Q925">
        <v>3</v>
      </c>
      <c r="R925">
        <v>2</v>
      </c>
      <c r="S925">
        <v>1.54</v>
      </c>
      <c r="T925">
        <v>0.76</v>
      </c>
      <c r="U925">
        <v>2.66</v>
      </c>
      <c r="V925">
        <v>0.47</v>
      </c>
      <c r="W925">
        <v>3.15</v>
      </c>
      <c r="X925">
        <v>2.1</v>
      </c>
    </row>
    <row r="926" spans="2:24" hidden="1" x14ac:dyDescent="0.35">
      <c r="B926">
        <v>2018</v>
      </c>
      <c r="C926" s="1">
        <v>43449</v>
      </c>
      <c r="D926">
        <v>2411</v>
      </c>
      <c r="E926" t="s">
        <v>23</v>
      </c>
      <c r="F926" t="s">
        <v>30</v>
      </c>
      <c r="G926" t="s">
        <v>25</v>
      </c>
      <c r="H926">
        <v>68.44</v>
      </c>
      <c r="I926">
        <v>69.489999999999995</v>
      </c>
      <c r="J926">
        <v>0.45250000000000001</v>
      </c>
      <c r="K926">
        <v>0.2596</v>
      </c>
      <c r="L926">
        <v>0.28789999999999999</v>
      </c>
      <c r="M926">
        <v>1.42</v>
      </c>
      <c r="N926">
        <v>1.01</v>
      </c>
      <c r="O926">
        <v>32.799999999999997</v>
      </c>
      <c r="P926">
        <v>4.9000000000000004</v>
      </c>
      <c r="Q926">
        <v>1</v>
      </c>
      <c r="R926">
        <v>0</v>
      </c>
      <c r="S926">
        <v>0.49</v>
      </c>
      <c r="T926">
        <v>1.06</v>
      </c>
      <c r="U926">
        <v>0.49</v>
      </c>
      <c r="V926">
        <v>0.86</v>
      </c>
      <c r="W926">
        <v>1.05</v>
      </c>
      <c r="X926">
        <v>0</v>
      </c>
    </row>
    <row r="927" spans="2:24" hidden="1" x14ac:dyDescent="0.35">
      <c r="B927">
        <v>2018</v>
      </c>
      <c r="C927" s="1">
        <v>43449</v>
      </c>
      <c r="D927">
        <v>2411</v>
      </c>
      <c r="E927" t="s">
        <v>23</v>
      </c>
      <c r="F927" t="s">
        <v>29</v>
      </c>
      <c r="G927" t="s">
        <v>32</v>
      </c>
      <c r="H927">
        <v>85.75</v>
      </c>
      <c r="I927">
        <v>55.91</v>
      </c>
      <c r="J927">
        <v>0.82940000000000003</v>
      </c>
      <c r="K927">
        <v>4.3299999999999998E-2</v>
      </c>
      <c r="L927">
        <v>0.1273</v>
      </c>
      <c r="M927">
        <v>2.68</v>
      </c>
      <c r="N927">
        <v>0.47</v>
      </c>
      <c r="O927">
        <v>58.7</v>
      </c>
      <c r="P927">
        <v>49.1</v>
      </c>
      <c r="Q927">
        <v>1</v>
      </c>
      <c r="R927">
        <v>0</v>
      </c>
      <c r="S927">
        <v>2.17</v>
      </c>
      <c r="T927">
        <v>0.46</v>
      </c>
      <c r="U927">
        <v>2.2200000000000002</v>
      </c>
      <c r="V927">
        <v>0.82</v>
      </c>
      <c r="W927">
        <v>1.05</v>
      </c>
      <c r="X927">
        <v>0</v>
      </c>
    </row>
    <row r="928" spans="2:24" hidden="1" x14ac:dyDescent="0.35">
      <c r="B928">
        <v>2018</v>
      </c>
      <c r="C928" s="1">
        <v>43449</v>
      </c>
      <c r="D928">
        <v>2411</v>
      </c>
      <c r="E928" t="s">
        <v>23</v>
      </c>
      <c r="F928" t="s">
        <v>49</v>
      </c>
      <c r="G928" t="s">
        <v>38</v>
      </c>
      <c r="H928">
        <v>69.09</v>
      </c>
      <c r="I928">
        <v>64.63</v>
      </c>
      <c r="J928">
        <v>0.47370000000000001</v>
      </c>
      <c r="K928">
        <v>0.26050000000000001</v>
      </c>
      <c r="L928">
        <v>0.26569999999999999</v>
      </c>
      <c r="M928">
        <v>1.63</v>
      </c>
      <c r="N928">
        <v>1.1399999999999999</v>
      </c>
      <c r="O928">
        <v>4.7</v>
      </c>
      <c r="P928">
        <v>4.5999999999999996</v>
      </c>
      <c r="Q928">
        <v>2</v>
      </c>
      <c r="R928">
        <v>0</v>
      </c>
      <c r="S928">
        <v>1.69</v>
      </c>
      <c r="T928">
        <v>0.56000000000000005</v>
      </c>
      <c r="U928">
        <v>0.65</v>
      </c>
      <c r="V928">
        <v>0.96</v>
      </c>
      <c r="W928">
        <v>1.58</v>
      </c>
      <c r="X928">
        <v>0</v>
      </c>
    </row>
    <row r="929" spans="2:24" hidden="1" x14ac:dyDescent="0.35">
      <c r="B929">
        <v>2018</v>
      </c>
      <c r="C929" s="1">
        <v>43449</v>
      </c>
      <c r="D929">
        <v>2411</v>
      </c>
      <c r="E929" t="s">
        <v>23</v>
      </c>
      <c r="F929" t="s">
        <v>48</v>
      </c>
      <c r="G929" t="s">
        <v>43</v>
      </c>
      <c r="H929">
        <v>58.27</v>
      </c>
      <c r="I929">
        <v>68.599999999999994</v>
      </c>
      <c r="J929">
        <v>0.376</v>
      </c>
      <c r="K929">
        <v>0.35880000000000001</v>
      </c>
      <c r="L929">
        <v>0.26519999999999999</v>
      </c>
      <c r="M929">
        <v>1.49</v>
      </c>
      <c r="N929">
        <v>1.45</v>
      </c>
      <c r="O929">
        <v>49.8</v>
      </c>
      <c r="P929">
        <v>4.9000000000000004</v>
      </c>
      <c r="Q929">
        <v>0</v>
      </c>
      <c r="R929">
        <v>2</v>
      </c>
      <c r="S929">
        <v>1.1200000000000001</v>
      </c>
      <c r="T929">
        <v>0.64</v>
      </c>
      <c r="U929">
        <v>1.37</v>
      </c>
      <c r="V929">
        <v>1.07</v>
      </c>
      <c r="W929">
        <v>0</v>
      </c>
      <c r="X929">
        <v>2.1</v>
      </c>
    </row>
    <row r="930" spans="2:24" hidden="1" x14ac:dyDescent="0.35">
      <c r="B930">
        <v>2018</v>
      </c>
      <c r="C930" s="1">
        <v>43450</v>
      </c>
      <c r="D930">
        <v>2411</v>
      </c>
      <c r="E930" t="s">
        <v>23</v>
      </c>
      <c r="F930" t="s">
        <v>45</v>
      </c>
      <c r="G930" t="s">
        <v>42</v>
      </c>
      <c r="H930">
        <v>61.81</v>
      </c>
      <c r="I930">
        <v>85.92</v>
      </c>
      <c r="J930">
        <v>0.152</v>
      </c>
      <c r="K930">
        <v>0.62480000000000002</v>
      </c>
      <c r="L930">
        <v>0.22309999999999999</v>
      </c>
      <c r="M930">
        <v>0.88</v>
      </c>
      <c r="N930">
        <v>2.02</v>
      </c>
      <c r="O930">
        <v>10.9</v>
      </c>
      <c r="P930">
        <v>63.3</v>
      </c>
      <c r="Q930">
        <v>1</v>
      </c>
      <c r="R930">
        <v>2</v>
      </c>
      <c r="S930">
        <v>0.39</v>
      </c>
      <c r="T930">
        <v>1.71</v>
      </c>
      <c r="U930">
        <v>0.54</v>
      </c>
      <c r="V930">
        <v>0.76</v>
      </c>
      <c r="W930">
        <v>1.05</v>
      </c>
      <c r="X930">
        <v>2.1</v>
      </c>
    </row>
    <row r="931" spans="2:24" hidden="1" x14ac:dyDescent="0.35">
      <c r="B931">
        <v>2018</v>
      </c>
      <c r="C931" s="1">
        <v>43450</v>
      </c>
      <c r="D931">
        <v>2411</v>
      </c>
      <c r="E931" t="s">
        <v>23</v>
      </c>
      <c r="F931" t="s">
        <v>34</v>
      </c>
      <c r="G931" t="s">
        <v>40</v>
      </c>
      <c r="H931">
        <v>65.59</v>
      </c>
      <c r="I931">
        <v>81.87</v>
      </c>
      <c r="J931">
        <v>0.2419</v>
      </c>
      <c r="K931">
        <v>0.51239999999999997</v>
      </c>
      <c r="L931">
        <v>0.2457</v>
      </c>
      <c r="M931">
        <v>1.21</v>
      </c>
      <c r="N931">
        <v>1.85</v>
      </c>
      <c r="O931">
        <v>42.3</v>
      </c>
      <c r="P931">
        <v>63.9</v>
      </c>
      <c r="Q931">
        <v>3</v>
      </c>
      <c r="R931">
        <v>2</v>
      </c>
      <c r="S931">
        <v>1.26</v>
      </c>
      <c r="T931">
        <v>1.1100000000000001</v>
      </c>
      <c r="U931">
        <v>1.04</v>
      </c>
      <c r="V931">
        <v>1.44</v>
      </c>
      <c r="W931">
        <v>3.15</v>
      </c>
      <c r="X931">
        <v>2.1</v>
      </c>
    </row>
    <row r="932" spans="2:24" hidden="1" x14ac:dyDescent="0.35">
      <c r="B932">
        <v>2018</v>
      </c>
      <c r="C932" s="1">
        <v>43450</v>
      </c>
      <c r="D932">
        <v>2411</v>
      </c>
      <c r="E932" t="s">
        <v>23</v>
      </c>
      <c r="F932" t="s">
        <v>41</v>
      </c>
      <c r="G932" t="s">
        <v>39</v>
      </c>
      <c r="H932">
        <v>91.37</v>
      </c>
      <c r="I932">
        <v>79.12</v>
      </c>
      <c r="J932">
        <v>0.69240000000000002</v>
      </c>
      <c r="K932">
        <v>0.11609999999999999</v>
      </c>
      <c r="L932">
        <v>0.1915</v>
      </c>
      <c r="M932">
        <v>2.2999999999999998</v>
      </c>
      <c r="N932">
        <v>0.83</v>
      </c>
      <c r="O932">
        <v>82.2</v>
      </c>
      <c r="P932">
        <v>24.2</v>
      </c>
      <c r="Q932">
        <v>3</v>
      </c>
      <c r="R932">
        <v>1</v>
      </c>
      <c r="S932">
        <v>3.11</v>
      </c>
      <c r="T932">
        <v>0.67</v>
      </c>
      <c r="U932">
        <v>2.93</v>
      </c>
      <c r="V932">
        <v>0.37</v>
      </c>
      <c r="W932">
        <v>2.89</v>
      </c>
      <c r="X932">
        <v>1.05</v>
      </c>
    </row>
    <row r="933" spans="2:24" hidden="1" x14ac:dyDescent="0.35">
      <c r="B933">
        <v>2018</v>
      </c>
      <c r="C933" s="1">
        <v>43455</v>
      </c>
      <c r="D933">
        <v>2411</v>
      </c>
      <c r="E933" t="s">
        <v>23</v>
      </c>
      <c r="F933" t="s">
        <v>49</v>
      </c>
      <c r="G933" t="s">
        <v>41</v>
      </c>
      <c r="H933">
        <v>69.63</v>
      </c>
      <c r="I933">
        <v>91.81</v>
      </c>
      <c r="J933">
        <v>0.12180000000000001</v>
      </c>
      <c r="K933">
        <v>0.66639999999999999</v>
      </c>
      <c r="L933">
        <v>0.2117</v>
      </c>
      <c r="M933">
        <v>0.75</v>
      </c>
      <c r="N933">
        <v>2.0699999999999998</v>
      </c>
      <c r="O933">
        <v>1.9</v>
      </c>
      <c r="P933">
        <v>76.2</v>
      </c>
      <c r="Q933">
        <v>0</v>
      </c>
      <c r="R933">
        <v>2</v>
      </c>
      <c r="S933">
        <v>0.87</v>
      </c>
      <c r="T933">
        <v>2.4700000000000002</v>
      </c>
      <c r="U933">
        <v>0.92</v>
      </c>
      <c r="V933">
        <v>2.9</v>
      </c>
      <c r="W933">
        <v>0</v>
      </c>
      <c r="X933">
        <v>2.1</v>
      </c>
    </row>
    <row r="934" spans="2:24" hidden="1" x14ac:dyDescent="0.35">
      <c r="B934">
        <v>2018</v>
      </c>
      <c r="C934" s="1">
        <v>43456</v>
      </c>
      <c r="D934">
        <v>2411</v>
      </c>
      <c r="E934" t="s">
        <v>23</v>
      </c>
      <c r="F934" t="s">
        <v>40</v>
      </c>
      <c r="G934" t="s">
        <v>32</v>
      </c>
      <c r="H934">
        <v>81.09</v>
      </c>
      <c r="I934">
        <v>56.38</v>
      </c>
      <c r="J934">
        <v>0.78410000000000002</v>
      </c>
      <c r="K934">
        <v>6.4299999999999996E-2</v>
      </c>
      <c r="L934">
        <v>0.15160000000000001</v>
      </c>
      <c r="M934">
        <v>2.5299999999999998</v>
      </c>
      <c r="N934">
        <v>0.59</v>
      </c>
      <c r="O934">
        <v>66.900000000000006</v>
      </c>
      <c r="P934">
        <v>49.6</v>
      </c>
      <c r="Q934">
        <v>3</v>
      </c>
      <c r="R934">
        <v>1</v>
      </c>
      <c r="S934">
        <v>1.25</v>
      </c>
      <c r="T934">
        <v>1.1000000000000001</v>
      </c>
      <c r="U934">
        <v>1.21</v>
      </c>
      <c r="V934">
        <v>0.92</v>
      </c>
      <c r="W934">
        <v>2.63</v>
      </c>
      <c r="X934">
        <v>1.05</v>
      </c>
    </row>
    <row r="935" spans="2:24" hidden="1" x14ac:dyDescent="0.35">
      <c r="B935">
        <v>2018</v>
      </c>
      <c r="C935" s="1">
        <v>43456</v>
      </c>
      <c r="D935">
        <v>2411</v>
      </c>
      <c r="E935" t="s">
        <v>23</v>
      </c>
      <c r="F935" t="s">
        <v>38</v>
      </c>
      <c r="G935" t="s">
        <v>45</v>
      </c>
      <c r="H935">
        <v>64.430000000000007</v>
      </c>
      <c r="I935">
        <v>61.79</v>
      </c>
      <c r="J935">
        <v>0.4834</v>
      </c>
      <c r="K935">
        <v>0.253</v>
      </c>
      <c r="L935">
        <v>0.26350000000000001</v>
      </c>
      <c r="M935">
        <v>1.65</v>
      </c>
      <c r="N935">
        <v>1.1299999999999999</v>
      </c>
      <c r="O935">
        <v>9.6</v>
      </c>
      <c r="P935">
        <v>13.9</v>
      </c>
      <c r="Q935">
        <v>2</v>
      </c>
      <c r="R935">
        <v>0</v>
      </c>
      <c r="S935">
        <v>0.88</v>
      </c>
      <c r="T935">
        <v>0.92</v>
      </c>
      <c r="U935">
        <v>1.71</v>
      </c>
      <c r="V935">
        <v>0.98</v>
      </c>
      <c r="W935">
        <v>1.75</v>
      </c>
      <c r="X935">
        <v>0</v>
      </c>
    </row>
    <row r="936" spans="2:24" hidden="1" x14ac:dyDescent="0.35">
      <c r="B936">
        <v>2018</v>
      </c>
      <c r="C936" s="1">
        <v>43456</v>
      </c>
      <c r="D936">
        <v>2411</v>
      </c>
      <c r="E936" t="s">
        <v>23</v>
      </c>
      <c r="F936" t="s">
        <v>42</v>
      </c>
      <c r="G936" t="s">
        <v>25</v>
      </c>
      <c r="H936">
        <v>86.1</v>
      </c>
      <c r="I936">
        <v>70.040000000000006</v>
      </c>
      <c r="J936">
        <v>0.7077</v>
      </c>
      <c r="K936">
        <v>9.1700000000000004E-2</v>
      </c>
      <c r="L936">
        <v>0.2006</v>
      </c>
      <c r="M936">
        <v>2.08</v>
      </c>
      <c r="N936">
        <v>0.59</v>
      </c>
      <c r="O936">
        <v>64.400000000000006</v>
      </c>
      <c r="P936">
        <v>4.4000000000000004</v>
      </c>
      <c r="Q936">
        <v>0</v>
      </c>
      <c r="R936">
        <v>1</v>
      </c>
      <c r="S936">
        <v>2.19</v>
      </c>
      <c r="T936">
        <v>0.57999999999999996</v>
      </c>
      <c r="U936">
        <v>2.2200000000000002</v>
      </c>
      <c r="V936">
        <v>1.02</v>
      </c>
      <c r="W936">
        <v>0</v>
      </c>
      <c r="X936">
        <v>1.05</v>
      </c>
    </row>
    <row r="937" spans="2:24" hidden="1" x14ac:dyDescent="0.35">
      <c r="B937">
        <v>2018</v>
      </c>
      <c r="C937" s="1">
        <v>43456</v>
      </c>
      <c r="D937">
        <v>2411</v>
      </c>
      <c r="E937" t="s">
        <v>23</v>
      </c>
      <c r="F937" t="s">
        <v>43</v>
      </c>
      <c r="G937" t="s">
        <v>35</v>
      </c>
      <c r="H937">
        <v>69.180000000000007</v>
      </c>
      <c r="I937">
        <v>70.67</v>
      </c>
      <c r="J937">
        <v>0.42949999999999999</v>
      </c>
      <c r="K937">
        <v>0.30270000000000002</v>
      </c>
      <c r="L937">
        <v>0.26779999999999998</v>
      </c>
      <c r="M937">
        <v>1.56</v>
      </c>
      <c r="N937">
        <v>1.27</v>
      </c>
      <c r="O937">
        <v>1.9</v>
      </c>
      <c r="P937">
        <v>1.5</v>
      </c>
      <c r="Q937">
        <v>0</v>
      </c>
      <c r="R937">
        <v>2</v>
      </c>
      <c r="S937">
        <v>2.42</v>
      </c>
      <c r="T937">
        <v>2.29</v>
      </c>
      <c r="U937">
        <v>1.86</v>
      </c>
      <c r="V937">
        <v>2.09</v>
      </c>
      <c r="W937">
        <v>0</v>
      </c>
      <c r="X937">
        <v>1.65</v>
      </c>
    </row>
    <row r="938" spans="2:24" hidden="1" x14ac:dyDescent="0.35">
      <c r="B938">
        <v>2018</v>
      </c>
      <c r="C938" s="1">
        <v>43456</v>
      </c>
      <c r="D938">
        <v>2411</v>
      </c>
      <c r="E938" t="s">
        <v>23</v>
      </c>
      <c r="F938" t="s">
        <v>36</v>
      </c>
      <c r="G938" t="s">
        <v>30</v>
      </c>
      <c r="H938">
        <v>93.13</v>
      </c>
      <c r="I938">
        <v>68.34</v>
      </c>
      <c r="J938">
        <v>0.87909999999999999</v>
      </c>
      <c r="K938">
        <v>2.3599999999999999E-2</v>
      </c>
      <c r="L938">
        <v>9.7299999999999998E-2</v>
      </c>
      <c r="M938">
        <v>2.88</v>
      </c>
      <c r="N938">
        <v>0.33</v>
      </c>
      <c r="O938">
        <v>89.3</v>
      </c>
      <c r="P938">
        <v>19.8</v>
      </c>
      <c r="Q938">
        <v>2</v>
      </c>
      <c r="R938">
        <v>3</v>
      </c>
      <c r="S938">
        <v>1.67</v>
      </c>
      <c r="T938">
        <v>1.19</v>
      </c>
      <c r="U938">
        <v>3.81</v>
      </c>
      <c r="V938">
        <v>0.26</v>
      </c>
      <c r="W938">
        <v>2.1</v>
      </c>
      <c r="X938">
        <v>3.15</v>
      </c>
    </row>
    <row r="939" spans="2:24" hidden="1" x14ac:dyDescent="0.35">
      <c r="B939">
        <v>2018</v>
      </c>
      <c r="C939" s="1">
        <v>43456</v>
      </c>
      <c r="D939">
        <v>2411</v>
      </c>
      <c r="E939" t="s">
        <v>23</v>
      </c>
      <c r="F939" t="s">
        <v>44</v>
      </c>
      <c r="G939" t="s">
        <v>34</v>
      </c>
      <c r="H939">
        <v>61.7</v>
      </c>
      <c r="I939">
        <v>66.45</v>
      </c>
      <c r="J939">
        <v>0.37459999999999999</v>
      </c>
      <c r="K939">
        <v>0.31519999999999998</v>
      </c>
      <c r="L939">
        <v>0.31009999999999999</v>
      </c>
      <c r="M939">
        <v>1.17</v>
      </c>
      <c r="N939">
        <v>1.05</v>
      </c>
      <c r="O939">
        <v>57.8</v>
      </c>
      <c r="P939">
        <v>44.7</v>
      </c>
      <c r="Q939">
        <v>1</v>
      </c>
      <c r="R939">
        <v>3</v>
      </c>
      <c r="S939">
        <v>0.92</v>
      </c>
      <c r="T939">
        <v>2.5099999999999998</v>
      </c>
      <c r="U939">
        <v>1.76</v>
      </c>
      <c r="V939">
        <v>0.98</v>
      </c>
      <c r="W939">
        <v>1.05</v>
      </c>
      <c r="X939">
        <v>3.15</v>
      </c>
    </row>
    <row r="940" spans="2:24" hidden="1" x14ac:dyDescent="0.35">
      <c r="B940">
        <v>2018</v>
      </c>
      <c r="C940" s="1">
        <v>43456</v>
      </c>
      <c r="D940">
        <v>2411</v>
      </c>
      <c r="E940" t="s">
        <v>23</v>
      </c>
      <c r="F940" t="s">
        <v>46</v>
      </c>
      <c r="G940" t="s">
        <v>48</v>
      </c>
      <c r="H940">
        <v>63.19</v>
      </c>
      <c r="I940">
        <v>58.01</v>
      </c>
      <c r="J940">
        <v>0.47620000000000001</v>
      </c>
      <c r="K940">
        <v>0.24809999999999999</v>
      </c>
      <c r="L940">
        <v>0.2757</v>
      </c>
      <c r="M940">
        <v>1.54</v>
      </c>
      <c r="N940">
        <v>1.03</v>
      </c>
      <c r="O940">
        <v>43.2</v>
      </c>
      <c r="P940">
        <v>50.6</v>
      </c>
      <c r="Q940">
        <v>0</v>
      </c>
      <c r="R940">
        <v>0</v>
      </c>
      <c r="S940">
        <v>0.36</v>
      </c>
      <c r="T940">
        <v>0.22</v>
      </c>
      <c r="U940">
        <v>1.55</v>
      </c>
      <c r="V940">
        <v>0.56999999999999995</v>
      </c>
      <c r="W940">
        <v>0</v>
      </c>
      <c r="X940">
        <v>0</v>
      </c>
    </row>
    <row r="941" spans="2:24" hidden="1" x14ac:dyDescent="0.35">
      <c r="B941">
        <v>2018</v>
      </c>
      <c r="C941" s="1">
        <v>43456</v>
      </c>
      <c r="D941">
        <v>2411</v>
      </c>
      <c r="E941" t="s">
        <v>23</v>
      </c>
      <c r="F941" t="s">
        <v>47</v>
      </c>
      <c r="G941" t="s">
        <v>39</v>
      </c>
      <c r="H941">
        <v>59.27</v>
      </c>
      <c r="I941">
        <v>78.290000000000006</v>
      </c>
      <c r="J941">
        <v>0.26329999999999998</v>
      </c>
      <c r="K941">
        <v>0.48459999999999998</v>
      </c>
      <c r="L941">
        <v>0.25209999999999999</v>
      </c>
      <c r="M941">
        <v>1.25</v>
      </c>
      <c r="N941">
        <v>1.77</v>
      </c>
      <c r="O941">
        <v>48.3</v>
      </c>
      <c r="P941">
        <v>16.399999999999999</v>
      </c>
      <c r="Q941">
        <v>1</v>
      </c>
      <c r="R941">
        <v>5</v>
      </c>
      <c r="S941">
        <v>1.28</v>
      </c>
      <c r="T941">
        <v>2</v>
      </c>
      <c r="U941">
        <v>0.69</v>
      </c>
      <c r="V941">
        <v>1.96</v>
      </c>
      <c r="W941">
        <v>1.05</v>
      </c>
      <c r="X941">
        <v>4.75</v>
      </c>
    </row>
    <row r="942" spans="2:24" hidden="1" x14ac:dyDescent="0.35">
      <c r="B942">
        <v>2018</v>
      </c>
      <c r="C942" s="1">
        <v>43457</v>
      </c>
      <c r="D942">
        <v>2411</v>
      </c>
      <c r="E942" t="s">
        <v>23</v>
      </c>
      <c r="F942" t="s">
        <v>28</v>
      </c>
      <c r="G942" t="s">
        <v>29</v>
      </c>
      <c r="H942">
        <v>72.19</v>
      </c>
      <c r="I942">
        <v>85.62</v>
      </c>
      <c r="J942">
        <v>0.2467</v>
      </c>
      <c r="K942">
        <v>0.50039999999999996</v>
      </c>
      <c r="L942">
        <v>0.25290000000000001</v>
      </c>
      <c r="M942">
        <v>1.17</v>
      </c>
      <c r="N942">
        <v>1.77</v>
      </c>
      <c r="O942">
        <v>4.9000000000000004</v>
      </c>
      <c r="P942">
        <v>44.2</v>
      </c>
      <c r="Q942">
        <v>2</v>
      </c>
      <c r="R942">
        <v>6</v>
      </c>
      <c r="S942">
        <v>0.93</v>
      </c>
      <c r="T942">
        <v>2.73</v>
      </c>
      <c r="U942">
        <v>0.68</v>
      </c>
      <c r="V942">
        <v>0.88</v>
      </c>
      <c r="W942">
        <v>2.1</v>
      </c>
      <c r="X942">
        <v>6.21</v>
      </c>
    </row>
    <row r="943" spans="2:24" hidden="1" x14ac:dyDescent="0.35">
      <c r="B943">
        <v>2018</v>
      </c>
      <c r="C943" s="1">
        <v>43460</v>
      </c>
      <c r="D943">
        <v>2411</v>
      </c>
      <c r="E943" t="s">
        <v>23</v>
      </c>
      <c r="F943" t="s">
        <v>48</v>
      </c>
      <c r="G943" t="s">
        <v>49</v>
      </c>
      <c r="H943">
        <v>58.53</v>
      </c>
      <c r="I943">
        <v>68.760000000000005</v>
      </c>
      <c r="J943">
        <v>0.3831</v>
      </c>
      <c r="K943">
        <v>0.32329999999999998</v>
      </c>
      <c r="L943">
        <v>0.29360000000000003</v>
      </c>
      <c r="M943">
        <v>1.29</v>
      </c>
      <c r="N943">
        <v>1.1599999999999999</v>
      </c>
      <c r="O943">
        <v>46.1</v>
      </c>
      <c r="P943">
        <v>3.2</v>
      </c>
      <c r="Q943">
        <v>1</v>
      </c>
      <c r="R943">
        <v>1</v>
      </c>
      <c r="S943">
        <v>0.99</v>
      </c>
      <c r="T943">
        <v>1.26</v>
      </c>
      <c r="U943">
        <v>1.23</v>
      </c>
      <c r="V943">
        <v>0.9</v>
      </c>
      <c r="W943">
        <v>1.05</v>
      </c>
      <c r="X943">
        <v>1.05</v>
      </c>
    </row>
    <row r="944" spans="2:24" hidden="1" x14ac:dyDescent="0.35">
      <c r="B944">
        <v>2018</v>
      </c>
      <c r="C944" s="1">
        <v>43460</v>
      </c>
      <c r="D944">
        <v>2411</v>
      </c>
      <c r="E944" t="s">
        <v>23</v>
      </c>
      <c r="F944" t="s">
        <v>32</v>
      </c>
      <c r="G944" t="s">
        <v>28</v>
      </c>
      <c r="H944">
        <v>57.43</v>
      </c>
      <c r="I944">
        <v>70.709999999999994</v>
      </c>
      <c r="J944">
        <v>0.34</v>
      </c>
      <c r="K944">
        <v>0.38429999999999997</v>
      </c>
      <c r="L944">
        <v>0.27560000000000001</v>
      </c>
      <c r="M944">
        <v>1.32</v>
      </c>
      <c r="N944">
        <v>1.42</v>
      </c>
      <c r="O944">
        <v>47.6</v>
      </c>
      <c r="P944">
        <v>2.2999999999999998</v>
      </c>
      <c r="Q944">
        <v>1</v>
      </c>
      <c r="R944">
        <v>5</v>
      </c>
      <c r="S944">
        <v>1.63</v>
      </c>
      <c r="T944">
        <v>1.69</v>
      </c>
      <c r="U944">
        <v>1.1100000000000001</v>
      </c>
      <c r="V944">
        <v>1.2</v>
      </c>
      <c r="W944">
        <v>1.05</v>
      </c>
      <c r="X944">
        <v>4.7</v>
      </c>
    </row>
    <row r="945" spans="2:24" hidden="1" x14ac:dyDescent="0.35">
      <c r="B945">
        <v>2018</v>
      </c>
      <c r="C945" s="1">
        <v>43460</v>
      </c>
      <c r="D945">
        <v>2411</v>
      </c>
      <c r="E945" t="s">
        <v>23</v>
      </c>
      <c r="F945" t="s">
        <v>39</v>
      </c>
      <c r="G945" t="s">
        <v>44</v>
      </c>
      <c r="H945">
        <v>79.17</v>
      </c>
      <c r="I945">
        <v>60.22</v>
      </c>
      <c r="J945">
        <v>0.65780000000000005</v>
      </c>
      <c r="K945">
        <v>0.1205</v>
      </c>
      <c r="L945">
        <v>0.22170000000000001</v>
      </c>
      <c r="M945">
        <v>1.96</v>
      </c>
      <c r="N945">
        <v>0.69</v>
      </c>
      <c r="O945">
        <v>22.2</v>
      </c>
      <c r="P945">
        <v>47.2</v>
      </c>
      <c r="Q945">
        <v>3</v>
      </c>
      <c r="R945">
        <v>1</v>
      </c>
      <c r="S945">
        <v>1.6</v>
      </c>
      <c r="T945">
        <v>1.49</v>
      </c>
      <c r="U945">
        <v>1.64</v>
      </c>
      <c r="V945">
        <v>1.19</v>
      </c>
      <c r="W945">
        <v>2.96</v>
      </c>
      <c r="X945">
        <v>1.05</v>
      </c>
    </row>
    <row r="946" spans="2:24" hidden="1" x14ac:dyDescent="0.35">
      <c r="B946">
        <v>2018</v>
      </c>
      <c r="C946" s="1">
        <v>43460</v>
      </c>
      <c r="D946">
        <v>2411</v>
      </c>
      <c r="E946" t="s">
        <v>23</v>
      </c>
      <c r="F946" t="s">
        <v>41</v>
      </c>
      <c r="G946" t="s">
        <v>46</v>
      </c>
      <c r="H946">
        <v>92.26</v>
      </c>
      <c r="I946">
        <v>63.48</v>
      </c>
      <c r="J946">
        <v>0.88929999999999998</v>
      </c>
      <c r="K946">
        <v>1.5100000000000001E-2</v>
      </c>
      <c r="L946">
        <v>9.5500000000000002E-2</v>
      </c>
      <c r="M946">
        <v>2.73</v>
      </c>
      <c r="N946">
        <v>0.2</v>
      </c>
      <c r="O946">
        <v>96.5</v>
      </c>
      <c r="P946">
        <v>32.6</v>
      </c>
      <c r="Q946">
        <v>4</v>
      </c>
      <c r="R946">
        <v>0</v>
      </c>
      <c r="S946">
        <v>3.8</v>
      </c>
      <c r="T946">
        <v>0.74</v>
      </c>
      <c r="U946">
        <v>2.7</v>
      </c>
      <c r="V946">
        <v>0.82</v>
      </c>
      <c r="W946">
        <v>3.6</v>
      </c>
      <c r="X946">
        <v>0</v>
      </c>
    </row>
    <row r="947" spans="2:24" hidden="1" x14ac:dyDescent="0.35">
      <c r="B947">
        <v>2018</v>
      </c>
      <c r="C947" s="1">
        <v>43460</v>
      </c>
      <c r="D947">
        <v>2411</v>
      </c>
      <c r="E947" t="s">
        <v>23</v>
      </c>
      <c r="F947" t="s">
        <v>25</v>
      </c>
      <c r="G947" t="s">
        <v>36</v>
      </c>
      <c r="H947">
        <v>70.739999999999995</v>
      </c>
      <c r="I947">
        <v>92.36</v>
      </c>
      <c r="J947">
        <v>0.12759999999999999</v>
      </c>
      <c r="K947">
        <v>0.67759999999999998</v>
      </c>
      <c r="L947">
        <v>0.1948</v>
      </c>
      <c r="M947">
        <v>0.9</v>
      </c>
      <c r="N947">
        <v>2.31</v>
      </c>
      <c r="O947">
        <v>1.6</v>
      </c>
      <c r="P947">
        <v>60.5</v>
      </c>
      <c r="Q947">
        <v>2</v>
      </c>
      <c r="R947">
        <v>1</v>
      </c>
      <c r="S947">
        <v>1.61</v>
      </c>
      <c r="T947">
        <v>1.61</v>
      </c>
      <c r="U947">
        <v>0.86</v>
      </c>
      <c r="V947">
        <v>2.44</v>
      </c>
      <c r="W947">
        <v>2.1</v>
      </c>
      <c r="X947">
        <v>1.05</v>
      </c>
    </row>
    <row r="948" spans="2:24" hidden="1" x14ac:dyDescent="0.35">
      <c r="B948">
        <v>2018</v>
      </c>
      <c r="C948" s="1">
        <v>43460</v>
      </c>
      <c r="D948">
        <v>2411</v>
      </c>
      <c r="E948" t="s">
        <v>23</v>
      </c>
      <c r="F948" t="s">
        <v>30</v>
      </c>
      <c r="G948" t="s">
        <v>47</v>
      </c>
      <c r="H948">
        <v>69.67</v>
      </c>
      <c r="I948">
        <v>57.98</v>
      </c>
      <c r="J948">
        <v>0.52590000000000003</v>
      </c>
      <c r="K948">
        <v>0.2082</v>
      </c>
      <c r="L948">
        <v>0.26590000000000003</v>
      </c>
      <c r="M948">
        <v>1.64</v>
      </c>
      <c r="N948">
        <v>0.93</v>
      </c>
      <c r="O948">
        <v>19.3</v>
      </c>
      <c r="P948">
        <v>54.4</v>
      </c>
      <c r="Q948">
        <v>0</v>
      </c>
      <c r="R948">
        <v>0</v>
      </c>
      <c r="S948">
        <v>1.88</v>
      </c>
      <c r="T948">
        <v>0.7</v>
      </c>
      <c r="U948">
        <v>2.2400000000000002</v>
      </c>
      <c r="V948">
        <v>0.8</v>
      </c>
      <c r="W948">
        <v>0</v>
      </c>
      <c r="X948">
        <v>0</v>
      </c>
    </row>
    <row r="949" spans="2:24" hidden="1" x14ac:dyDescent="0.35">
      <c r="B949">
        <v>2018</v>
      </c>
      <c r="C949" s="1">
        <v>43460</v>
      </c>
      <c r="D949">
        <v>2411</v>
      </c>
      <c r="E949" t="s">
        <v>23</v>
      </c>
      <c r="F949" t="s">
        <v>29</v>
      </c>
      <c r="G949" t="s">
        <v>38</v>
      </c>
      <c r="H949">
        <v>86.44</v>
      </c>
      <c r="I949">
        <v>64.91</v>
      </c>
      <c r="J949">
        <v>0.78200000000000003</v>
      </c>
      <c r="K949">
        <v>6.9199999999999998E-2</v>
      </c>
      <c r="L949">
        <v>0.14879999999999999</v>
      </c>
      <c r="M949">
        <v>2.63</v>
      </c>
      <c r="N949">
        <v>0.66</v>
      </c>
      <c r="O949">
        <v>38.299999999999997</v>
      </c>
      <c r="P949">
        <v>2.4</v>
      </c>
      <c r="Q949">
        <v>5</v>
      </c>
      <c r="R949">
        <v>0</v>
      </c>
      <c r="S949">
        <v>2.23</v>
      </c>
      <c r="T949">
        <v>1.28</v>
      </c>
      <c r="U949">
        <v>1.25</v>
      </c>
      <c r="V949">
        <v>1.22</v>
      </c>
      <c r="W949">
        <v>5.25</v>
      </c>
      <c r="X949">
        <v>0</v>
      </c>
    </row>
    <row r="950" spans="2:24" hidden="1" x14ac:dyDescent="0.35">
      <c r="B950">
        <v>2018</v>
      </c>
      <c r="C950" s="1">
        <v>43460</v>
      </c>
      <c r="D950">
        <v>2411</v>
      </c>
      <c r="E950" t="s">
        <v>23</v>
      </c>
      <c r="F950" t="s">
        <v>45</v>
      </c>
      <c r="G950" t="s">
        <v>40</v>
      </c>
      <c r="H950">
        <v>61.61</v>
      </c>
      <c r="I950">
        <v>80.31</v>
      </c>
      <c r="J950">
        <v>0.20449999999999999</v>
      </c>
      <c r="K950">
        <v>0.55349999999999999</v>
      </c>
      <c r="L950">
        <v>0.2419</v>
      </c>
      <c r="M950">
        <v>1.06</v>
      </c>
      <c r="N950">
        <v>1.88</v>
      </c>
      <c r="O950">
        <v>15</v>
      </c>
      <c r="P950">
        <v>59.1</v>
      </c>
      <c r="Q950">
        <v>1</v>
      </c>
      <c r="R950">
        <v>1</v>
      </c>
      <c r="S950">
        <v>1.03</v>
      </c>
      <c r="T950">
        <v>0.59</v>
      </c>
      <c r="U950">
        <v>1.48</v>
      </c>
      <c r="V950">
        <v>1.98</v>
      </c>
      <c r="W950">
        <v>1.05</v>
      </c>
      <c r="X950">
        <v>1.05</v>
      </c>
    </row>
    <row r="951" spans="2:24" hidden="1" x14ac:dyDescent="0.35">
      <c r="B951">
        <v>2018</v>
      </c>
      <c r="C951" s="1">
        <v>43460</v>
      </c>
      <c r="D951">
        <v>2411</v>
      </c>
      <c r="E951" t="s">
        <v>23</v>
      </c>
      <c r="F951" t="s">
        <v>35</v>
      </c>
      <c r="G951" t="s">
        <v>42</v>
      </c>
      <c r="H951">
        <v>71.45</v>
      </c>
      <c r="I951">
        <v>85.64</v>
      </c>
      <c r="J951">
        <v>0.23180000000000001</v>
      </c>
      <c r="K951">
        <v>0.51690000000000003</v>
      </c>
      <c r="L951">
        <v>0.25130000000000002</v>
      </c>
      <c r="M951">
        <v>1.1200000000000001</v>
      </c>
      <c r="N951">
        <v>1.79</v>
      </c>
      <c r="O951">
        <v>4.5999999999999996</v>
      </c>
      <c r="P951">
        <v>60.1</v>
      </c>
      <c r="Q951">
        <v>1</v>
      </c>
      <c r="R951">
        <v>2</v>
      </c>
      <c r="S951">
        <v>1.1100000000000001</v>
      </c>
      <c r="T951">
        <v>1.79</v>
      </c>
      <c r="U951">
        <v>1.74</v>
      </c>
      <c r="V951">
        <v>1.29</v>
      </c>
      <c r="W951">
        <v>1.05</v>
      </c>
      <c r="X951">
        <v>2.1</v>
      </c>
    </row>
    <row r="952" spans="2:24" hidden="1" x14ac:dyDescent="0.35">
      <c r="B952">
        <v>2018</v>
      </c>
      <c r="C952" s="1">
        <v>43461</v>
      </c>
      <c r="D952">
        <v>2411</v>
      </c>
      <c r="E952" t="s">
        <v>23</v>
      </c>
      <c r="F952" t="s">
        <v>34</v>
      </c>
      <c r="G952" t="s">
        <v>43</v>
      </c>
      <c r="H952">
        <v>67.37</v>
      </c>
      <c r="I952">
        <v>68.180000000000007</v>
      </c>
      <c r="J952">
        <v>0.45429999999999998</v>
      </c>
      <c r="K952">
        <v>0.28310000000000002</v>
      </c>
      <c r="L952">
        <v>0.2626</v>
      </c>
      <c r="M952">
        <v>1.64</v>
      </c>
      <c r="N952">
        <v>1.25</v>
      </c>
      <c r="O952">
        <v>24.8</v>
      </c>
      <c r="P952">
        <v>3.3</v>
      </c>
      <c r="Q952">
        <v>1</v>
      </c>
      <c r="R952">
        <v>2</v>
      </c>
      <c r="S952">
        <v>1.77</v>
      </c>
      <c r="T952">
        <v>1.37</v>
      </c>
      <c r="U952">
        <v>1.04</v>
      </c>
      <c r="V952">
        <v>1.1299999999999999</v>
      </c>
      <c r="W952">
        <v>1.05</v>
      </c>
      <c r="X952">
        <v>2.1</v>
      </c>
    </row>
    <row r="953" spans="2:24" hidden="1" x14ac:dyDescent="0.35">
      <c r="B953">
        <v>2018</v>
      </c>
      <c r="C953" s="1">
        <v>43463</v>
      </c>
      <c r="D953">
        <v>2411</v>
      </c>
      <c r="E953" t="s">
        <v>23</v>
      </c>
      <c r="F953" t="s">
        <v>29</v>
      </c>
      <c r="G953" t="s">
        <v>49</v>
      </c>
      <c r="H953">
        <v>86.63</v>
      </c>
      <c r="I953">
        <v>68.790000000000006</v>
      </c>
      <c r="J953">
        <v>0.71030000000000004</v>
      </c>
      <c r="K953">
        <v>9.5000000000000001E-2</v>
      </c>
      <c r="L953">
        <v>0.1946</v>
      </c>
      <c r="M953">
        <v>2.16</v>
      </c>
      <c r="N953">
        <v>0.64</v>
      </c>
      <c r="O953">
        <v>29.5</v>
      </c>
      <c r="P953">
        <v>1.1000000000000001</v>
      </c>
      <c r="Q953">
        <v>1</v>
      </c>
      <c r="R953">
        <v>3</v>
      </c>
      <c r="S953">
        <v>0.35</v>
      </c>
      <c r="T953">
        <v>1.05</v>
      </c>
      <c r="U953">
        <v>0.52</v>
      </c>
      <c r="V953">
        <v>1.45</v>
      </c>
      <c r="W953">
        <v>1.05</v>
      </c>
      <c r="X953">
        <v>2.72</v>
      </c>
    </row>
    <row r="954" spans="2:24" hidden="1" x14ac:dyDescent="0.35">
      <c r="B954">
        <v>2018</v>
      </c>
      <c r="C954" s="1">
        <v>43463</v>
      </c>
      <c r="D954">
        <v>2411</v>
      </c>
      <c r="E954" t="s">
        <v>23</v>
      </c>
      <c r="F954" t="s">
        <v>35</v>
      </c>
      <c r="G954" t="s">
        <v>46</v>
      </c>
      <c r="H954">
        <v>71.48</v>
      </c>
      <c r="I954">
        <v>62.88</v>
      </c>
      <c r="J954">
        <v>0.51680000000000004</v>
      </c>
      <c r="K954">
        <v>0.21609999999999999</v>
      </c>
      <c r="L954">
        <v>0.2671</v>
      </c>
      <c r="M954">
        <v>1.63</v>
      </c>
      <c r="N954">
        <v>0.96</v>
      </c>
      <c r="O954">
        <v>1.2</v>
      </c>
      <c r="P954">
        <v>34.299999999999997</v>
      </c>
      <c r="Q954">
        <v>1</v>
      </c>
      <c r="R954">
        <v>1</v>
      </c>
      <c r="S954">
        <v>1.17</v>
      </c>
      <c r="T954">
        <v>0.66</v>
      </c>
      <c r="U954">
        <v>2.3199999999999998</v>
      </c>
      <c r="V954">
        <v>0.89</v>
      </c>
      <c r="W954">
        <v>1.05</v>
      </c>
      <c r="X954">
        <v>1.05</v>
      </c>
    </row>
    <row r="955" spans="2:24" hidden="1" x14ac:dyDescent="0.35">
      <c r="B955">
        <v>2018</v>
      </c>
      <c r="C955" s="1">
        <v>43463</v>
      </c>
      <c r="D955">
        <v>2411</v>
      </c>
      <c r="E955" t="s">
        <v>23</v>
      </c>
      <c r="F955" t="s">
        <v>45</v>
      </c>
      <c r="G955" t="s">
        <v>28</v>
      </c>
      <c r="H955">
        <v>62.27</v>
      </c>
      <c r="I955">
        <v>71.44</v>
      </c>
      <c r="J955">
        <v>0.34360000000000002</v>
      </c>
      <c r="K955">
        <v>0.37609999999999999</v>
      </c>
      <c r="L955">
        <v>0.28039999999999998</v>
      </c>
      <c r="M955">
        <v>1.3</v>
      </c>
      <c r="N955">
        <v>1.37</v>
      </c>
      <c r="O955">
        <v>12.1</v>
      </c>
      <c r="P955">
        <v>1.4</v>
      </c>
      <c r="Q955">
        <v>1</v>
      </c>
      <c r="R955">
        <v>0</v>
      </c>
      <c r="S955">
        <v>1.33</v>
      </c>
      <c r="T955">
        <v>0.76</v>
      </c>
      <c r="U955">
        <v>1.05</v>
      </c>
      <c r="V955">
        <v>1.55</v>
      </c>
      <c r="W955">
        <v>1.05</v>
      </c>
      <c r="X955">
        <v>0</v>
      </c>
    </row>
    <row r="956" spans="2:24" hidden="1" x14ac:dyDescent="0.35">
      <c r="B956">
        <v>2018</v>
      </c>
      <c r="C956" s="1">
        <v>43463</v>
      </c>
      <c r="D956">
        <v>2411</v>
      </c>
      <c r="E956" t="s">
        <v>23</v>
      </c>
      <c r="F956" t="s">
        <v>48</v>
      </c>
      <c r="G956" t="s">
        <v>44</v>
      </c>
      <c r="H956">
        <v>58.63</v>
      </c>
      <c r="I956">
        <v>60.85</v>
      </c>
      <c r="J956">
        <v>0.43530000000000002</v>
      </c>
      <c r="K956">
        <v>0.26200000000000001</v>
      </c>
      <c r="L956">
        <v>0.30270000000000002</v>
      </c>
      <c r="M956">
        <v>1.3</v>
      </c>
      <c r="N956">
        <v>0.94</v>
      </c>
      <c r="O956">
        <v>54.1</v>
      </c>
      <c r="P956">
        <v>48.8</v>
      </c>
      <c r="Q956">
        <v>1</v>
      </c>
      <c r="R956">
        <v>0</v>
      </c>
      <c r="S956">
        <v>1.77</v>
      </c>
      <c r="T956">
        <v>0.38</v>
      </c>
      <c r="U956">
        <v>1.72</v>
      </c>
      <c r="V956">
        <v>0.94</v>
      </c>
      <c r="W956">
        <v>1.05</v>
      </c>
      <c r="X956">
        <v>0</v>
      </c>
    </row>
    <row r="957" spans="2:24" hidden="1" x14ac:dyDescent="0.35">
      <c r="B957">
        <v>2018</v>
      </c>
      <c r="C957" s="1">
        <v>43463</v>
      </c>
      <c r="D957">
        <v>2411</v>
      </c>
      <c r="E957" t="s">
        <v>23</v>
      </c>
      <c r="F957" t="s">
        <v>25</v>
      </c>
      <c r="G957" t="s">
        <v>47</v>
      </c>
      <c r="H957">
        <v>71.73</v>
      </c>
      <c r="I957">
        <v>58</v>
      </c>
      <c r="J957">
        <v>0.53310000000000002</v>
      </c>
      <c r="K957">
        <v>0.19950000000000001</v>
      </c>
      <c r="L957">
        <v>0.26750000000000002</v>
      </c>
      <c r="M957">
        <v>1.62</v>
      </c>
      <c r="N957">
        <v>0.89</v>
      </c>
      <c r="O957">
        <v>1.8</v>
      </c>
      <c r="P957">
        <v>51.3</v>
      </c>
      <c r="Q957">
        <v>0</v>
      </c>
      <c r="R957">
        <v>1</v>
      </c>
      <c r="S957">
        <v>1.5</v>
      </c>
      <c r="T957">
        <v>0.52</v>
      </c>
      <c r="U957">
        <v>1.1299999999999999</v>
      </c>
      <c r="V957">
        <v>1.1499999999999999</v>
      </c>
      <c r="W957">
        <v>0</v>
      </c>
      <c r="X957">
        <v>1.05</v>
      </c>
    </row>
    <row r="958" spans="2:24" hidden="1" x14ac:dyDescent="0.35">
      <c r="B958">
        <v>2018</v>
      </c>
      <c r="C958" s="1">
        <v>43463</v>
      </c>
      <c r="D958">
        <v>2411</v>
      </c>
      <c r="E958" t="s">
        <v>23</v>
      </c>
      <c r="F958" t="s">
        <v>41</v>
      </c>
      <c r="G958" t="s">
        <v>40</v>
      </c>
      <c r="H958">
        <v>92.42</v>
      </c>
      <c r="I958">
        <v>79.900000000000006</v>
      </c>
      <c r="J958">
        <v>0.66610000000000003</v>
      </c>
      <c r="K958">
        <v>0.13569999999999999</v>
      </c>
      <c r="L958">
        <v>0.19819999999999999</v>
      </c>
      <c r="M958">
        <v>2.2999999999999998</v>
      </c>
      <c r="N958">
        <v>0.93</v>
      </c>
      <c r="O958">
        <v>80.900000000000006</v>
      </c>
      <c r="P958">
        <v>75.8</v>
      </c>
      <c r="Q958">
        <v>5</v>
      </c>
      <c r="R958">
        <v>1</v>
      </c>
      <c r="S958">
        <v>3.88</v>
      </c>
      <c r="T958">
        <v>0.96</v>
      </c>
      <c r="U958">
        <v>2.16</v>
      </c>
      <c r="V958">
        <v>0.9</v>
      </c>
      <c r="W958">
        <v>5.25</v>
      </c>
      <c r="X958">
        <v>1.05</v>
      </c>
    </row>
    <row r="959" spans="2:24" hidden="1" x14ac:dyDescent="0.35">
      <c r="B959">
        <v>2018</v>
      </c>
      <c r="C959" s="1">
        <v>43464</v>
      </c>
      <c r="D959">
        <v>2411</v>
      </c>
      <c r="E959" t="s">
        <v>23</v>
      </c>
      <c r="F959" t="s">
        <v>30</v>
      </c>
      <c r="G959" t="s">
        <v>42</v>
      </c>
      <c r="H959">
        <v>69.94</v>
      </c>
      <c r="I959">
        <v>85.6</v>
      </c>
      <c r="J959">
        <v>0.21890000000000001</v>
      </c>
      <c r="K959">
        <v>0.51910000000000001</v>
      </c>
      <c r="L959">
        <v>0.26200000000000001</v>
      </c>
      <c r="M959">
        <v>1</v>
      </c>
      <c r="N959">
        <v>1.68</v>
      </c>
      <c r="O959">
        <v>11.7</v>
      </c>
      <c r="P959">
        <v>54.9</v>
      </c>
      <c r="Q959">
        <v>0</v>
      </c>
      <c r="R959">
        <v>1</v>
      </c>
      <c r="S959">
        <v>0.22</v>
      </c>
      <c r="T959">
        <v>0.96</v>
      </c>
      <c r="U959">
        <v>0.56999999999999995</v>
      </c>
      <c r="V959">
        <v>1.68</v>
      </c>
      <c r="W959">
        <v>0</v>
      </c>
      <c r="X959">
        <v>1.05</v>
      </c>
    </row>
    <row r="960" spans="2:24" hidden="1" x14ac:dyDescent="0.35">
      <c r="B960">
        <v>2018</v>
      </c>
      <c r="C960" s="1">
        <v>43464</v>
      </c>
      <c r="D960">
        <v>2411</v>
      </c>
      <c r="E960" t="s">
        <v>23</v>
      </c>
      <c r="F960" t="s">
        <v>34</v>
      </c>
      <c r="G960" t="s">
        <v>36</v>
      </c>
      <c r="H960">
        <v>66.790000000000006</v>
      </c>
      <c r="I960">
        <v>91.81</v>
      </c>
      <c r="J960">
        <v>0.1363</v>
      </c>
      <c r="K960">
        <v>0.68010000000000004</v>
      </c>
      <c r="L960">
        <v>0.1837</v>
      </c>
      <c r="M960">
        <v>1.06</v>
      </c>
      <c r="N960">
        <v>2.5299999999999998</v>
      </c>
      <c r="O960">
        <v>30.1</v>
      </c>
      <c r="P960">
        <v>43.2</v>
      </c>
      <c r="Q960">
        <v>1</v>
      </c>
      <c r="R960">
        <v>3</v>
      </c>
      <c r="S960">
        <v>0.25</v>
      </c>
      <c r="T960">
        <v>3.12</v>
      </c>
      <c r="U960">
        <v>0.4</v>
      </c>
      <c r="V960">
        <v>2.2999999999999998</v>
      </c>
      <c r="W960">
        <v>1.05</v>
      </c>
      <c r="X960">
        <v>3.15</v>
      </c>
    </row>
    <row r="961" spans="2:24" hidden="1" x14ac:dyDescent="0.35">
      <c r="B961">
        <v>2018</v>
      </c>
      <c r="C961" s="1">
        <v>43464</v>
      </c>
      <c r="D961">
        <v>2411</v>
      </c>
      <c r="E961" t="s">
        <v>23</v>
      </c>
      <c r="F961" t="s">
        <v>32</v>
      </c>
      <c r="G961" t="s">
        <v>43</v>
      </c>
      <c r="H961">
        <v>56.24</v>
      </c>
      <c r="I961">
        <v>68.78</v>
      </c>
      <c r="J961">
        <v>0.34770000000000001</v>
      </c>
      <c r="K961">
        <v>0.37980000000000003</v>
      </c>
      <c r="L961">
        <v>0.27250000000000002</v>
      </c>
      <c r="M961">
        <v>1.36</v>
      </c>
      <c r="N961">
        <v>1.44</v>
      </c>
      <c r="O961">
        <v>44.1</v>
      </c>
      <c r="P961">
        <v>1.2</v>
      </c>
      <c r="Q961">
        <v>2</v>
      </c>
      <c r="R961">
        <v>0</v>
      </c>
      <c r="S961">
        <v>2.98</v>
      </c>
      <c r="T961">
        <v>0.9</v>
      </c>
      <c r="U961">
        <v>2.0699999999999998</v>
      </c>
      <c r="V961">
        <v>0.8</v>
      </c>
      <c r="W961">
        <v>2.1</v>
      </c>
      <c r="X961">
        <v>0</v>
      </c>
    </row>
    <row r="962" spans="2:24" hidden="1" x14ac:dyDescent="0.35">
      <c r="B962">
        <v>2018</v>
      </c>
      <c r="C962" s="1">
        <v>43464</v>
      </c>
      <c r="D962">
        <v>2411</v>
      </c>
      <c r="E962" t="s">
        <v>23</v>
      </c>
      <c r="F962" t="s">
        <v>39</v>
      </c>
      <c r="G962" t="s">
        <v>38</v>
      </c>
      <c r="H962">
        <v>78.36</v>
      </c>
      <c r="I962">
        <v>64.510000000000005</v>
      </c>
      <c r="J962">
        <v>0.63119999999999998</v>
      </c>
      <c r="K962">
        <v>0.16159999999999999</v>
      </c>
      <c r="L962">
        <v>0.2072</v>
      </c>
      <c r="M962">
        <v>2.2599999999999998</v>
      </c>
      <c r="N962">
        <v>1.06</v>
      </c>
      <c r="O962">
        <v>19.899999999999999</v>
      </c>
      <c r="P962">
        <v>3.2</v>
      </c>
      <c r="Q962">
        <v>4</v>
      </c>
      <c r="R962">
        <v>1</v>
      </c>
      <c r="S962">
        <v>2.95</v>
      </c>
      <c r="T962">
        <v>0.82</v>
      </c>
      <c r="U962">
        <v>1.71</v>
      </c>
      <c r="V962">
        <v>1.25</v>
      </c>
      <c r="W962">
        <v>4.16</v>
      </c>
      <c r="X962">
        <v>1.05</v>
      </c>
    </row>
    <row r="963" spans="2:24" hidden="1" x14ac:dyDescent="0.35">
      <c r="B963">
        <v>2018</v>
      </c>
      <c r="C963" s="1">
        <v>43466</v>
      </c>
      <c r="D963">
        <v>2411</v>
      </c>
      <c r="E963" t="s">
        <v>23</v>
      </c>
      <c r="F963" t="s">
        <v>28</v>
      </c>
      <c r="G963" t="s">
        <v>25</v>
      </c>
      <c r="H963">
        <v>71.13</v>
      </c>
      <c r="I963">
        <v>70.900000000000006</v>
      </c>
      <c r="J963">
        <v>0.45519999999999999</v>
      </c>
      <c r="K963">
        <v>0.26619999999999999</v>
      </c>
      <c r="L963">
        <v>0.27860000000000001</v>
      </c>
      <c r="M963">
        <v>1.5</v>
      </c>
      <c r="N963">
        <v>1.08</v>
      </c>
      <c r="O963">
        <v>1.2</v>
      </c>
      <c r="P963">
        <v>0.9</v>
      </c>
      <c r="Q963">
        <v>0</v>
      </c>
      <c r="R963">
        <v>1</v>
      </c>
      <c r="S963">
        <v>1.03</v>
      </c>
      <c r="T963">
        <v>0.57999999999999996</v>
      </c>
      <c r="U963">
        <v>1.74</v>
      </c>
      <c r="V963">
        <v>0.59</v>
      </c>
      <c r="W963">
        <v>0</v>
      </c>
      <c r="X963">
        <v>1.05</v>
      </c>
    </row>
    <row r="964" spans="2:24" hidden="1" x14ac:dyDescent="0.35">
      <c r="B964">
        <v>2018</v>
      </c>
      <c r="C964" s="1">
        <v>43466</v>
      </c>
      <c r="D964">
        <v>2411</v>
      </c>
      <c r="E964" t="s">
        <v>23</v>
      </c>
      <c r="F964" t="s">
        <v>40</v>
      </c>
      <c r="G964" t="s">
        <v>48</v>
      </c>
      <c r="H964">
        <v>78.86</v>
      </c>
      <c r="I964">
        <v>59.66</v>
      </c>
      <c r="J964">
        <v>0.67369999999999997</v>
      </c>
      <c r="K964">
        <v>0.1263</v>
      </c>
      <c r="L964">
        <v>0.2</v>
      </c>
      <c r="M964">
        <v>2.23</v>
      </c>
      <c r="N964">
        <v>0.85</v>
      </c>
      <c r="O964">
        <v>43.4</v>
      </c>
      <c r="P964">
        <v>48</v>
      </c>
      <c r="Q964">
        <v>4</v>
      </c>
      <c r="R964">
        <v>1</v>
      </c>
      <c r="S964">
        <v>4.46</v>
      </c>
      <c r="T964">
        <v>1.51</v>
      </c>
      <c r="U964">
        <v>3.01</v>
      </c>
      <c r="V964">
        <v>0.73</v>
      </c>
      <c r="W964">
        <v>3.65</v>
      </c>
      <c r="X964">
        <v>1.05</v>
      </c>
    </row>
    <row r="965" spans="2:24" hidden="1" x14ac:dyDescent="0.35">
      <c r="B965">
        <v>2018</v>
      </c>
      <c r="C965" s="1">
        <v>43466</v>
      </c>
      <c r="D965">
        <v>2411</v>
      </c>
      <c r="E965" t="s">
        <v>23</v>
      </c>
      <c r="F965" t="s">
        <v>47</v>
      </c>
      <c r="G965" t="s">
        <v>29</v>
      </c>
      <c r="H965">
        <v>59.21</v>
      </c>
      <c r="I965">
        <v>84.74</v>
      </c>
      <c r="J965">
        <v>0.17319999999999999</v>
      </c>
      <c r="K965">
        <v>0.60370000000000001</v>
      </c>
      <c r="L965">
        <v>0.22320000000000001</v>
      </c>
      <c r="M965">
        <v>1.01</v>
      </c>
      <c r="N965">
        <v>2.0699999999999998</v>
      </c>
      <c r="O965">
        <v>44.3</v>
      </c>
      <c r="P965">
        <v>46.9</v>
      </c>
      <c r="Q965">
        <v>0</v>
      </c>
      <c r="R965">
        <v>3</v>
      </c>
      <c r="S965">
        <v>0.9</v>
      </c>
      <c r="T965">
        <v>1.57</v>
      </c>
      <c r="U965">
        <v>0.83</v>
      </c>
      <c r="V965">
        <v>0.74</v>
      </c>
      <c r="W965">
        <v>0</v>
      </c>
      <c r="X965">
        <v>3.15</v>
      </c>
    </row>
    <row r="966" spans="2:24" hidden="1" x14ac:dyDescent="0.35">
      <c r="B966">
        <v>2018</v>
      </c>
      <c r="C966" s="1">
        <v>43467</v>
      </c>
      <c r="D966">
        <v>2411</v>
      </c>
      <c r="E966" t="s">
        <v>23</v>
      </c>
      <c r="F966" t="s">
        <v>44</v>
      </c>
      <c r="G966" t="s">
        <v>32</v>
      </c>
      <c r="H966">
        <v>60.02</v>
      </c>
      <c r="I966">
        <v>58.52</v>
      </c>
      <c r="J966">
        <v>0.41149999999999998</v>
      </c>
      <c r="K966">
        <v>0.28389999999999999</v>
      </c>
      <c r="L966">
        <v>0.30459999999999998</v>
      </c>
      <c r="M966">
        <v>1.26</v>
      </c>
      <c r="N966">
        <v>1</v>
      </c>
      <c r="O966">
        <v>38.4</v>
      </c>
      <c r="P966">
        <v>57</v>
      </c>
      <c r="Q966">
        <v>1</v>
      </c>
      <c r="R966">
        <v>2</v>
      </c>
      <c r="S966">
        <v>0.81</v>
      </c>
      <c r="T966">
        <v>2.88</v>
      </c>
      <c r="U966">
        <v>0.84</v>
      </c>
      <c r="V966">
        <v>1.27</v>
      </c>
      <c r="W966">
        <v>1.05</v>
      </c>
      <c r="X966">
        <v>1.89</v>
      </c>
    </row>
    <row r="967" spans="2:24" hidden="1" x14ac:dyDescent="0.35">
      <c r="B967">
        <v>2018</v>
      </c>
      <c r="C967" s="1">
        <v>43467</v>
      </c>
      <c r="D967">
        <v>2411</v>
      </c>
      <c r="E967" t="s">
        <v>23</v>
      </c>
      <c r="F967" t="s">
        <v>49</v>
      </c>
      <c r="G967" t="s">
        <v>30</v>
      </c>
      <c r="H967">
        <v>71.349999999999994</v>
      </c>
      <c r="I967">
        <v>69.37</v>
      </c>
      <c r="J967">
        <v>0.4415</v>
      </c>
      <c r="K967">
        <v>0.25580000000000003</v>
      </c>
      <c r="L967">
        <v>0.30280000000000001</v>
      </c>
      <c r="M967">
        <v>1.31</v>
      </c>
      <c r="N967">
        <v>0.93</v>
      </c>
      <c r="O967">
        <v>0.8</v>
      </c>
      <c r="P967">
        <v>15.4</v>
      </c>
      <c r="Q967">
        <v>0</v>
      </c>
      <c r="R967">
        <v>2</v>
      </c>
      <c r="S967">
        <v>0.83</v>
      </c>
      <c r="T967">
        <v>2</v>
      </c>
      <c r="U967">
        <v>0.55000000000000004</v>
      </c>
      <c r="V967">
        <v>0.69</v>
      </c>
      <c r="W967">
        <v>0</v>
      </c>
      <c r="X967">
        <v>1.58</v>
      </c>
    </row>
    <row r="968" spans="2:24" hidden="1" x14ac:dyDescent="0.35">
      <c r="B968">
        <v>2018</v>
      </c>
      <c r="C968" s="1">
        <v>43467</v>
      </c>
      <c r="D968">
        <v>2411</v>
      </c>
      <c r="E968" t="s">
        <v>23</v>
      </c>
      <c r="F968" t="s">
        <v>42</v>
      </c>
      <c r="G968" t="s">
        <v>34</v>
      </c>
      <c r="H968">
        <v>86.28</v>
      </c>
      <c r="I968">
        <v>65.900000000000006</v>
      </c>
      <c r="J968">
        <v>0.72350000000000003</v>
      </c>
      <c r="K968">
        <v>9.0300000000000005E-2</v>
      </c>
      <c r="L968">
        <v>0.1862</v>
      </c>
      <c r="M968">
        <v>2.2400000000000002</v>
      </c>
      <c r="N968">
        <v>0.65</v>
      </c>
      <c r="O968">
        <v>59.7</v>
      </c>
      <c r="P968">
        <v>30.8</v>
      </c>
      <c r="Q968">
        <v>0</v>
      </c>
      <c r="R968">
        <v>0</v>
      </c>
      <c r="S968">
        <v>0.99</v>
      </c>
      <c r="T968">
        <v>0.19</v>
      </c>
      <c r="U968">
        <v>1.58</v>
      </c>
      <c r="V968">
        <v>0.45</v>
      </c>
      <c r="W968">
        <v>0</v>
      </c>
      <c r="X968">
        <v>0</v>
      </c>
    </row>
    <row r="969" spans="2:24" hidden="1" x14ac:dyDescent="0.35">
      <c r="B969">
        <v>2018</v>
      </c>
      <c r="C969" s="1">
        <v>43467</v>
      </c>
      <c r="D969">
        <v>2411</v>
      </c>
      <c r="E969" t="s">
        <v>23</v>
      </c>
      <c r="F969" t="s">
        <v>43</v>
      </c>
      <c r="G969" t="s">
        <v>45</v>
      </c>
      <c r="H969">
        <v>66.45</v>
      </c>
      <c r="I969">
        <v>62.88</v>
      </c>
      <c r="J969">
        <v>0.48959999999999998</v>
      </c>
      <c r="K969">
        <v>0.23880000000000001</v>
      </c>
      <c r="L969">
        <v>0.27160000000000001</v>
      </c>
      <c r="M969">
        <v>1.58</v>
      </c>
      <c r="N969">
        <v>1.02</v>
      </c>
      <c r="O969">
        <v>2.9</v>
      </c>
      <c r="P969">
        <v>7.9</v>
      </c>
      <c r="Q969">
        <v>2</v>
      </c>
      <c r="R969">
        <v>2</v>
      </c>
      <c r="S969">
        <v>0.9</v>
      </c>
      <c r="T969">
        <v>0.84</v>
      </c>
      <c r="U969">
        <v>1.36</v>
      </c>
      <c r="V969">
        <v>0.83</v>
      </c>
      <c r="W969">
        <v>2.1</v>
      </c>
      <c r="X969">
        <v>2.1</v>
      </c>
    </row>
    <row r="970" spans="2:24" hidden="1" x14ac:dyDescent="0.35">
      <c r="B970">
        <v>2018</v>
      </c>
      <c r="C970" s="1">
        <v>43467</v>
      </c>
      <c r="D970">
        <v>2411</v>
      </c>
      <c r="E970" t="s">
        <v>23</v>
      </c>
      <c r="F970" t="s">
        <v>38</v>
      </c>
      <c r="G970" t="s">
        <v>35</v>
      </c>
      <c r="H970">
        <v>63.77</v>
      </c>
      <c r="I970">
        <v>71.37</v>
      </c>
      <c r="J970">
        <v>0.37330000000000002</v>
      </c>
      <c r="K970">
        <v>0.36530000000000001</v>
      </c>
      <c r="L970">
        <v>0.26140000000000002</v>
      </c>
      <c r="M970">
        <v>1.52</v>
      </c>
      <c r="N970">
        <v>1.5</v>
      </c>
      <c r="O970">
        <v>4.0999999999999996</v>
      </c>
      <c r="P970">
        <v>0.9</v>
      </c>
      <c r="Q970">
        <v>3</v>
      </c>
      <c r="R970">
        <v>3</v>
      </c>
      <c r="S970">
        <v>3.24</v>
      </c>
      <c r="T970">
        <v>0.95</v>
      </c>
      <c r="U970">
        <v>2.15</v>
      </c>
      <c r="V970">
        <v>1.5</v>
      </c>
      <c r="W970">
        <v>3.15</v>
      </c>
      <c r="X970">
        <v>3.15</v>
      </c>
    </row>
    <row r="971" spans="2:24" hidden="1" x14ac:dyDescent="0.35">
      <c r="B971">
        <v>2018</v>
      </c>
      <c r="C971" s="1">
        <v>43467</v>
      </c>
      <c r="D971">
        <v>2411</v>
      </c>
      <c r="E971" t="s">
        <v>23</v>
      </c>
      <c r="F971" t="s">
        <v>46</v>
      </c>
      <c r="G971" t="s">
        <v>39</v>
      </c>
      <c r="H971">
        <v>63.07</v>
      </c>
      <c r="I971">
        <v>78.849999999999994</v>
      </c>
      <c r="J971">
        <v>0.26650000000000001</v>
      </c>
      <c r="K971">
        <v>0.47420000000000001</v>
      </c>
      <c r="L971">
        <v>0.25919999999999999</v>
      </c>
      <c r="M971">
        <v>1.21</v>
      </c>
      <c r="N971">
        <v>1.69</v>
      </c>
      <c r="O971">
        <v>35.5</v>
      </c>
      <c r="P971">
        <v>23.9</v>
      </c>
      <c r="Q971">
        <v>0</v>
      </c>
      <c r="R971">
        <v>2</v>
      </c>
      <c r="S971">
        <v>0.64</v>
      </c>
      <c r="T971">
        <v>2.34</v>
      </c>
      <c r="U971">
        <v>0.95</v>
      </c>
      <c r="V971">
        <v>1.46</v>
      </c>
      <c r="W971">
        <v>0</v>
      </c>
      <c r="X971">
        <v>1.85</v>
      </c>
    </row>
    <row r="972" spans="2:24" hidden="1" x14ac:dyDescent="0.35">
      <c r="B972">
        <v>2018</v>
      </c>
      <c r="C972" s="1">
        <v>43468</v>
      </c>
      <c r="D972">
        <v>2411</v>
      </c>
      <c r="E972" t="s">
        <v>23</v>
      </c>
      <c r="F972" t="s">
        <v>36</v>
      </c>
      <c r="G972" t="s">
        <v>41</v>
      </c>
      <c r="H972">
        <v>92.29</v>
      </c>
      <c r="I972">
        <v>92.88</v>
      </c>
      <c r="J972">
        <v>0.44019999999999998</v>
      </c>
      <c r="K972">
        <v>0.31559999999999999</v>
      </c>
      <c r="L972">
        <v>0.24429999999999999</v>
      </c>
      <c r="M972">
        <v>1.83</v>
      </c>
      <c r="N972">
        <v>1.52</v>
      </c>
      <c r="O972">
        <v>100</v>
      </c>
      <c r="P972">
        <v>100</v>
      </c>
      <c r="Q972">
        <v>2</v>
      </c>
      <c r="R972">
        <v>1</v>
      </c>
      <c r="S972">
        <v>1.01</v>
      </c>
      <c r="T972">
        <v>1.52</v>
      </c>
      <c r="U972">
        <v>1.1100000000000001</v>
      </c>
      <c r="V972">
        <v>1.62</v>
      </c>
      <c r="W972">
        <v>2.1</v>
      </c>
      <c r="X972">
        <v>1.05</v>
      </c>
    </row>
    <row r="973" spans="2:24" hidden="1" x14ac:dyDescent="0.35">
      <c r="B973">
        <v>2018</v>
      </c>
      <c r="C973" s="1">
        <v>43477</v>
      </c>
      <c r="D973">
        <v>2411</v>
      </c>
      <c r="E973" t="s">
        <v>23</v>
      </c>
      <c r="F973" t="s">
        <v>43</v>
      </c>
      <c r="G973" t="s">
        <v>40</v>
      </c>
      <c r="H973">
        <v>65.98</v>
      </c>
      <c r="I973">
        <v>79.41</v>
      </c>
      <c r="J973">
        <v>0.25569999999999998</v>
      </c>
      <c r="K973">
        <v>0.50749999999999995</v>
      </c>
      <c r="L973">
        <v>0.23680000000000001</v>
      </c>
      <c r="M973">
        <v>1.35</v>
      </c>
      <c r="N973">
        <v>1.97</v>
      </c>
      <c r="O973">
        <v>2.5</v>
      </c>
      <c r="P973">
        <v>52.1</v>
      </c>
      <c r="Q973">
        <v>1</v>
      </c>
      <c r="R973">
        <v>0</v>
      </c>
      <c r="S973">
        <v>0.82</v>
      </c>
      <c r="T973">
        <v>0.85</v>
      </c>
      <c r="U973">
        <v>1.5</v>
      </c>
      <c r="V973">
        <v>1.07</v>
      </c>
      <c r="W973">
        <v>1.05</v>
      </c>
      <c r="X973">
        <v>0</v>
      </c>
    </row>
    <row r="974" spans="2:24" hidden="1" x14ac:dyDescent="0.35">
      <c r="B974">
        <v>2018</v>
      </c>
      <c r="C974" s="1">
        <v>43477</v>
      </c>
      <c r="D974">
        <v>2411</v>
      </c>
      <c r="E974" t="s">
        <v>23</v>
      </c>
      <c r="F974" t="s">
        <v>45</v>
      </c>
      <c r="G974" t="s">
        <v>41</v>
      </c>
      <c r="H974">
        <v>63.29</v>
      </c>
      <c r="I974">
        <v>93.03</v>
      </c>
      <c r="J974">
        <v>7.3499999999999996E-2</v>
      </c>
      <c r="K974">
        <v>0.76500000000000001</v>
      </c>
      <c r="L974">
        <v>0.1615</v>
      </c>
      <c r="M974">
        <v>0.63</v>
      </c>
      <c r="N974">
        <v>2.46</v>
      </c>
      <c r="O974">
        <v>5.7</v>
      </c>
      <c r="P974">
        <v>89.7</v>
      </c>
      <c r="Q974">
        <v>0</v>
      </c>
      <c r="R974">
        <v>1</v>
      </c>
      <c r="S974">
        <v>0.44</v>
      </c>
      <c r="T974">
        <v>2.46</v>
      </c>
      <c r="U974">
        <v>0.63</v>
      </c>
      <c r="V974">
        <v>2.38</v>
      </c>
      <c r="W974">
        <v>0</v>
      </c>
      <c r="X974">
        <v>1.05</v>
      </c>
    </row>
    <row r="975" spans="2:24" hidden="1" x14ac:dyDescent="0.35">
      <c r="B975">
        <v>2018</v>
      </c>
      <c r="C975" s="1">
        <v>43477</v>
      </c>
      <c r="D975">
        <v>2411</v>
      </c>
      <c r="E975" t="s">
        <v>23</v>
      </c>
      <c r="F975" t="s">
        <v>30</v>
      </c>
      <c r="G975" t="s">
        <v>35</v>
      </c>
      <c r="H975">
        <v>71.09</v>
      </c>
      <c r="I975">
        <v>70.03</v>
      </c>
      <c r="J975">
        <v>0.44409999999999999</v>
      </c>
      <c r="K975">
        <v>0.27679999999999999</v>
      </c>
      <c r="L975">
        <v>0.27910000000000001</v>
      </c>
      <c r="M975">
        <v>1.48</v>
      </c>
      <c r="N975">
        <v>1.1100000000000001</v>
      </c>
      <c r="O975">
        <v>8.6999999999999993</v>
      </c>
      <c r="P975">
        <v>0.7</v>
      </c>
      <c r="Q975">
        <v>1</v>
      </c>
      <c r="R975">
        <v>2</v>
      </c>
      <c r="S975">
        <v>1.1100000000000001</v>
      </c>
      <c r="T975">
        <v>1.75</v>
      </c>
      <c r="U975">
        <v>1.83</v>
      </c>
      <c r="V975">
        <v>1.1299999999999999</v>
      </c>
      <c r="W975">
        <v>1.05</v>
      </c>
      <c r="X975">
        <v>2.1</v>
      </c>
    </row>
    <row r="976" spans="2:24" hidden="1" x14ac:dyDescent="0.35">
      <c r="B976">
        <v>2018</v>
      </c>
      <c r="C976" s="1">
        <v>43477</v>
      </c>
      <c r="D976">
        <v>2411</v>
      </c>
      <c r="E976" t="s">
        <v>23</v>
      </c>
      <c r="F976" t="s">
        <v>47</v>
      </c>
      <c r="G976" t="s">
        <v>44</v>
      </c>
      <c r="H976">
        <v>58.89</v>
      </c>
      <c r="I976">
        <v>58.04</v>
      </c>
      <c r="J976">
        <v>0.4869</v>
      </c>
      <c r="K976">
        <v>0.21560000000000001</v>
      </c>
      <c r="L976">
        <v>0.29749999999999999</v>
      </c>
      <c r="M976">
        <v>1.38</v>
      </c>
      <c r="N976">
        <v>0.82</v>
      </c>
      <c r="O976">
        <v>56.2</v>
      </c>
      <c r="P976">
        <v>24.4</v>
      </c>
      <c r="Q976">
        <v>0</v>
      </c>
      <c r="R976">
        <v>0</v>
      </c>
      <c r="S976">
        <v>0.16</v>
      </c>
      <c r="T976">
        <v>0.47</v>
      </c>
      <c r="U976">
        <v>0.65</v>
      </c>
      <c r="V976">
        <v>1.58</v>
      </c>
      <c r="W976">
        <v>0</v>
      </c>
      <c r="X976">
        <v>0</v>
      </c>
    </row>
    <row r="977" spans="2:24" hidden="1" x14ac:dyDescent="0.35">
      <c r="B977">
        <v>2018</v>
      </c>
      <c r="C977" s="1">
        <v>43477</v>
      </c>
      <c r="D977">
        <v>2411</v>
      </c>
      <c r="E977" t="s">
        <v>23</v>
      </c>
      <c r="F977" t="s">
        <v>32</v>
      </c>
      <c r="G977" t="s">
        <v>48</v>
      </c>
      <c r="H977">
        <v>60.22</v>
      </c>
      <c r="I977">
        <v>58.48</v>
      </c>
      <c r="J977">
        <v>0.46579999999999999</v>
      </c>
      <c r="K977">
        <v>0.26429999999999998</v>
      </c>
      <c r="L977">
        <v>0.26989999999999997</v>
      </c>
      <c r="M977">
        <v>1.58</v>
      </c>
      <c r="N977">
        <v>1.1299999999999999</v>
      </c>
      <c r="O977">
        <v>62.9</v>
      </c>
      <c r="P977">
        <v>58.1</v>
      </c>
      <c r="Q977">
        <v>2</v>
      </c>
      <c r="R977">
        <v>1</v>
      </c>
      <c r="S977">
        <v>0.87</v>
      </c>
      <c r="T977">
        <v>1.07</v>
      </c>
      <c r="U977">
        <v>0.98</v>
      </c>
      <c r="V977">
        <v>0.89</v>
      </c>
      <c r="W977">
        <v>2.1</v>
      </c>
      <c r="X977">
        <v>1.05</v>
      </c>
    </row>
    <row r="978" spans="2:24" hidden="1" x14ac:dyDescent="0.35">
      <c r="B978">
        <v>2018</v>
      </c>
      <c r="C978" s="1">
        <v>43477</v>
      </c>
      <c r="D978">
        <v>2411</v>
      </c>
      <c r="E978" t="s">
        <v>23</v>
      </c>
      <c r="F978" t="s">
        <v>25</v>
      </c>
      <c r="G978" t="s">
        <v>34</v>
      </c>
      <c r="H978">
        <v>71.3</v>
      </c>
      <c r="I978">
        <v>66.59</v>
      </c>
      <c r="J978">
        <v>0.44869999999999999</v>
      </c>
      <c r="K978">
        <v>0.26219999999999999</v>
      </c>
      <c r="L978">
        <v>0.28899999999999998</v>
      </c>
      <c r="M978">
        <v>1.41</v>
      </c>
      <c r="N978">
        <v>1.01</v>
      </c>
      <c r="O978">
        <v>0.4</v>
      </c>
      <c r="P978">
        <v>33.700000000000003</v>
      </c>
      <c r="Q978">
        <v>1</v>
      </c>
      <c r="R978">
        <v>2</v>
      </c>
      <c r="S978">
        <v>1.59</v>
      </c>
      <c r="T978">
        <v>1.26</v>
      </c>
      <c r="U978">
        <v>2.29</v>
      </c>
      <c r="V978">
        <v>0.86</v>
      </c>
      <c r="W978">
        <v>0.84</v>
      </c>
      <c r="X978">
        <v>2.1</v>
      </c>
    </row>
    <row r="979" spans="2:24" hidden="1" x14ac:dyDescent="0.35">
      <c r="B979">
        <v>2018</v>
      </c>
      <c r="C979" s="1">
        <v>43477</v>
      </c>
      <c r="D979">
        <v>2411</v>
      </c>
      <c r="E979" t="s">
        <v>23</v>
      </c>
      <c r="F979" t="s">
        <v>42</v>
      </c>
      <c r="G979" t="s">
        <v>46</v>
      </c>
      <c r="H979">
        <v>86.18</v>
      </c>
      <c r="I979">
        <v>62.18</v>
      </c>
      <c r="J979">
        <v>0.7772</v>
      </c>
      <c r="K979">
        <v>5.0999999999999997E-2</v>
      </c>
      <c r="L979">
        <v>0.17180000000000001</v>
      </c>
      <c r="M979">
        <v>2.16</v>
      </c>
      <c r="N979">
        <v>0.38</v>
      </c>
      <c r="O979">
        <v>52.8</v>
      </c>
      <c r="P979">
        <v>43.6</v>
      </c>
      <c r="Q979">
        <v>2</v>
      </c>
      <c r="R979">
        <v>1</v>
      </c>
      <c r="S979">
        <v>1.4</v>
      </c>
      <c r="T979">
        <v>0.46</v>
      </c>
      <c r="U979">
        <v>1.27</v>
      </c>
      <c r="V979">
        <v>0.99</v>
      </c>
      <c r="W979">
        <v>2.1</v>
      </c>
      <c r="X979">
        <v>1.05</v>
      </c>
    </row>
    <row r="980" spans="2:24" hidden="1" x14ac:dyDescent="0.35">
      <c r="B980">
        <v>2018</v>
      </c>
      <c r="C980" s="1">
        <v>43478</v>
      </c>
      <c r="D980">
        <v>2411</v>
      </c>
      <c r="E980" t="s">
        <v>23</v>
      </c>
      <c r="F980" t="s">
        <v>28</v>
      </c>
      <c r="G980" t="s">
        <v>38</v>
      </c>
      <c r="H980">
        <v>71.040000000000006</v>
      </c>
      <c r="I980">
        <v>64.61</v>
      </c>
      <c r="J980">
        <v>0.50839999999999996</v>
      </c>
      <c r="K980">
        <v>0.2452</v>
      </c>
      <c r="L980">
        <v>0.2465</v>
      </c>
      <c r="M980">
        <v>1.84</v>
      </c>
      <c r="N980">
        <v>1.22</v>
      </c>
      <c r="O980">
        <v>2.6</v>
      </c>
      <c r="P980">
        <v>3.6</v>
      </c>
      <c r="Q980">
        <v>2</v>
      </c>
      <c r="R980">
        <v>0</v>
      </c>
      <c r="S980">
        <v>1.68</v>
      </c>
      <c r="T980">
        <v>1.81</v>
      </c>
      <c r="U980">
        <v>1.86</v>
      </c>
      <c r="V980">
        <v>1.82</v>
      </c>
      <c r="W980">
        <v>1.58</v>
      </c>
      <c r="X980">
        <v>0</v>
      </c>
    </row>
    <row r="981" spans="2:24" hidden="1" x14ac:dyDescent="0.35">
      <c r="B981">
        <v>2018</v>
      </c>
      <c r="C981" s="1">
        <v>43478</v>
      </c>
      <c r="D981">
        <v>2411</v>
      </c>
      <c r="E981" t="s">
        <v>23</v>
      </c>
      <c r="F981" t="s">
        <v>29</v>
      </c>
      <c r="G981" t="s">
        <v>39</v>
      </c>
      <c r="H981">
        <v>85.14</v>
      </c>
      <c r="I981">
        <v>79.78</v>
      </c>
      <c r="J981">
        <v>0.51619999999999999</v>
      </c>
      <c r="K981">
        <v>0.246</v>
      </c>
      <c r="L981">
        <v>0.23780000000000001</v>
      </c>
      <c r="M981">
        <v>1.95</v>
      </c>
      <c r="N981">
        <v>1.29</v>
      </c>
      <c r="O981">
        <v>42.6</v>
      </c>
      <c r="P981">
        <v>55</v>
      </c>
      <c r="Q981">
        <v>0</v>
      </c>
      <c r="R981">
        <v>1</v>
      </c>
      <c r="S981">
        <v>2.14</v>
      </c>
      <c r="T981">
        <v>0.9</v>
      </c>
      <c r="U981">
        <v>3.04</v>
      </c>
      <c r="V981">
        <v>0.63</v>
      </c>
      <c r="W981">
        <v>0</v>
      </c>
      <c r="X981">
        <v>1.05</v>
      </c>
    </row>
    <row r="982" spans="2:24" hidden="1" x14ac:dyDescent="0.35">
      <c r="B982">
        <v>2018</v>
      </c>
      <c r="C982" s="1">
        <v>43479</v>
      </c>
      <c r="D982">
        <v>2411</v>
      </c>
      <c r="E982" t="s">
        <v>23</v>
      </c>
      <c r="F982" t="s">
        <v>36</v>
      </c>
      <c r="G982" t="s">
        <v>49</v>
      </c>
      <c r="H982">
        <v>92.17</v>
      </c>
      <c r="I982">
        <v>69.77</v>
      </c>
      <c r="J982">
        <v>0.84989999999999999</v>
      </c>
      <c r="K982">
        <v>3.3700000000000001E-2</v>
      </c>
      <c r="L982">
        <v>0.1164</v>
      </c>
      <c r="M982">
        <v>2.72</v>
      </c>
      <c r="N982">
        <v>0.39</v>
      </c>
      <c r="O982">
        <v>58.7</v>
      </c>
      <c r="P982">
        <v>0.7</v>
      </c>
      <c r="Q982">
        <v>3</v>
      </c>
      <c r="R982">
        <v>0</v>
      </c>
      <c r="S982">
        <v>2.74</v>
      </c>
      <c r="T982">
        <v>0.08</v>
      </c>
      <c r="U982">
        <v>4.2</v>
      </c>
      <c r="V982">
        <v>0.21</v>
      </c>
      <c r="W982">
        <v>2.58</v>
      </c>
      <c r="X982">
        <v>0</v>
      </c>
    </row>
    <row r="983" spans="2:24" hidden="1" x14ac:dyDescent="0.35">
      <c r="B983">
        <v>2018</v>
      </c>
      <c r="C983" s="1">
        <v>43484</v>
      </c>
      <c r="D983">
        <v>2411</v>
      </c>
      <c r="E983" t="s">
        <v>23</v>
      </c>
      <c r="F983" t="s">
        <v>49</v>
      </c>
      <c r="G983" t="s">
        <v>25</v>
      </c>
      <c r="H983">
        <v>68.61</v>
      </c>
      <c r="I983">
        <v>70.77</v>
      </c>
      <c r="J983">
        <v>0.39900000000000002</v>
      </c>
      <c r="K983">
        <v>0.29220000000000002</v>
      </c>
      <c r="L983">
        <v>0.30869999999999997</v>
      </c>
      <c r="M983">
        <v>1.22</v>
      </c>
      <c r="N983">
        <v>1</v>
      </c>
      <c r="O983">
        <v>1.1000000000000001</v>
      </c>
      <c r="P983">
        <v>0.3</v>
      </c>
      <c r="Q983">
        <v>4</v>
      </c>
      <c r="R983">
        <v>3</v>
      </c>
      <c r="S983">
        <v>2.08</v>
      </c>
      <c r="T983">
        <v>1.53</v>
      </c>
      <c r="U983">
        <v>1.5</v>
      </c>
      <c r="V983">
        <v>1.47</v>
      </c>
      <c r="W983">
        <v>4.2</v>
      </c>
      <c r="X983">
        <v>3.15</v>
      </c>
    </row>
    <row r="984" spans="2:24" hidden="1" x14ac:dyDescent="0.35">
      <c r="B984">
        <v>2018</v>
      </c>
      <c r="C984" s="1">
        <v>43484</v>
      </c>
      <c r="D984">
        <v>2411</v>
      </c>
      <c r="E984" t="s">
        <v>23</v>
      </c>
      <c r="F984" t="s">
        <v>39</v>
      </c>
      <c r="G984" t="s">
        <v>45</v>
      </c>
      <c r="H984">
        <v>79.67</v>
      </c>
      <c r="I984">
        <v>62.95</v>
      </c>
      <c r="J984">
        <v>0.68559999999999999</v>
      </c>
      <c r="K984">
        <v>0.11020000000000001</v>
      </c>
      <c r="L984">
        <v>0.20430000000000001</v>
      </c>
      <c r="M984">
        <v>2.11</v>
      </c>
      <c r="N984">
        <v>0.71</v>
      </c>
      <c r="O984">
        <v>42.2</v>
      </c>
      <c r="P984">
        <v>6.4</v>
      </c>
      <c r="Q984">
        <v>2</v>
      </c>
      <c r="R984">
        <v>1</v>
      </c>
      <c r="S984">
        <v>2.72</v>
      </c>
      <c r="T984">
        <v>0.87</v>
      </c>
      <c r="U984">
        <v>1.56</v>
      </c>
      <c r="V984">
        <v>0.85</v>
      </c>
      <c r="W984">
        <v>2.1</v>
      </c>
      <c r="X984">
        <v>1.05</v>
      </c>
    </row>
    <row r="985" spans="2:24" hidden="1" x14ac:dyDescent="0.35">
      <c r="B985">
        <v>2018</v>
      </c>
      <c r="C985" s="1">
        <v>43484</v>
      </c>
      <c r="D985">
        <v>2411</v>
      </c>
      <c r="E985" t="s">
        <v>23</v>
      </c>
      <c r="F985" t="s">
        <v>46</v>
      </c>
      <c r="G985" t="s">
        <v>47</v>
      </c>
      <c r="H985">
        <v>63.12</v>
      </c>
      <c r="I985">
        <v>58.14</v>
      </c>
      <c r="J985">
        <v>0.4778</v>
      </c>
      <c r="K985">
        <v>0.2273</v>
      </c>
      <c r="L985">
        <v>0.2949</v>
      </c>
      <c r="M985">
        <v>1.39</v>
      </c>
      <c r="N985">
        <v>0.87</v>
      </c>
      <c r="O985">
        <v>64.099999999999994</v>
      </c>
      <c r="P985">
        <v>68.400000000000006</v>
      </c>
      <c r="Q985">
        <v>3</v>
      </c>
      <c r="R985">
        <v>0</v>
      </c>
      <c r="S985">
        <v>2.06</v>
      </c>
      <c r="T985">
        <v>0.28000000000000003</v>
      </c>
      <c r="U985">
        <v>1.48</v>
      </c>
      <c r="V985">
        <v>0.92</v>
      </c>
      <c r="W985">
        <v>2.63</v>
      </c>
      <c r="X985">
        <v>0</v>
      </c>
    </row>
    <row r="986" spans="2:24" hidden="1" x14ac:dyDescent="0.35">
      <c r="B986">
        <v>2018</v>
      </c>
      <c r="C986" s="1">
        <v>43484</v>
      </c>
      <c r="D986">
        <v>2411</v>
      </c>
      <c r="E986" t="s">
        <v>23</v>
      </c>
      <c r="F986" t="s">
        <v>35</v>
      </c>
      <c r="G986" t="s">
        <v>32</v>
      </c>
      <c r="H986">
        <v>70.69</v>
      </c>
      <c r="I986">
        <v>60.18</v>
      </c>
      <c r="J986">
        <v>0.53259999999999996</v>
      </c>
      <c r="K986">
        <v>0.21959999999999999</v>
      </c>
      <c r="L986">
        <v>0.24790000000000001</v>
      </c>
      <c r="M986">
        <v>1.82</v>
      </c>
      <c r="N986">
        <v>1.0900000000000001</v>
      </c>
      <c r="O986">
        <v>0.9</v>
      </c>
      <c r="P986">
        <v>40.9</v>
      </c>
      <c r="Q986">
        <v>0</v>
      </c>
      <c r="R986">
        <v>0</v>
      </c>
      <c r="S986">
        <v>1.1499999999999999</v>
      </c>
      <c r="T986">
        <v>2.0499999999999998</v>
      </c>
      <c r="U986">
        <v>1.31</v>
      </c>
      <c r="V986">
        <v>1.22</v>
      </c>
      <c r="W986">
        <v>0</v>
      </c>
      <c r="X986">
        <v>0</v>
      </c>
    </row>
    <row r="987" spans="2:24" hidden="1" x14ac:dyDescent="0.35">
      <c r="B987">
        <v>2018</v>
      </c>
      <c r="C987" s="1">
        <v>43484</v>
      </c>
      <c r="D987">
        <v>2411</v>
      </c>
      <c r="E987" t="s">
        <v>23</v>
      </c>
      <c r="F987" t="s">
        <v>38</v>
      </c>
      <c r="G987" t="s">
        <v>43</v>
      </c>
      <c r="H987">
        <v>64.77</v>
      </c>
      <c r="I987">
        <v>66.86</v>
      </c>
      <c r="J987">
        <v>0.43880000000000002</v>
      </c>
      <c r="K987">
        <v>0.30559999999999998</v>
      </c>
      <c r="L987">
        <v>0.25569999999999998</v>
      </c>
      <c r="M987">
        <v>1.69</v>
      </c>
      <c r="N987">
        <v>1.38</v>
      </c>
      <c r="O987">
        <v>5.7</v>
      </c>
      <c r="P987">
        <v>0.7</v>
      </c>
      <c r="Q987">
        <v>2</v>
      </c>
      <c r="R987">
        <v>0</v>
      </c>
      <c r="S987">
        <v>1.22</v>
      </c>
      <c r="T987">
        <v>0.87</v>
      </c>
      <c r="U987">
        <v>0.93</v>
      </c>
      <c r="V987">
        <v>1.76</v>
      </c>
      <c r="W987">
        <v>1.58</v>
      </c>
      <c r="X987">
        <v>0</v>
      </c>
    </row>
    <row r="988" spans="2:24" hidden="1" x14ac:dyDescent="0.35">
      <c r="B988">
        <v>2018</v>
      </c>
      <c r="C988" s="1">
        <v>43484</v>
      </c>
      <c r="D988">
        <v>2411</v>
      </c>
      <c r="E988" t="s">
        <v>23</v>
      </c>
      <c r="F988" t="s">
        <v>34</v>
      </c>
      <c r="G988" t="s">
        <v>28</v>
      </c>
      <c r="H988">
        <v>66.92</v>
      </c>
      <c r="I988">
        <v>70.94</v>
      </c>
      <c r="J988">
        <v>0.42099999999999999</v>
      </c>
      <c r="K988">
        <v>0.3054</v>
      </c>
      <c r="L988">
        <v>0.27360000000000001</v>
      </c>
      <c r="M988">
        <v>1.5</v>
      </c>
      <c r="N988">
        <v>1.24</v>
      </c>
      <c r="O988">
        <v>26.5</v>
      </c>
      <c r="P988">
        <v>0.6</v>
      </c>
      <c r="Q988">
        <v>2</v>
      </c>
      <c r="R988">
        <v>1</v>
      </c>
      <c r="S988">
        <v>0.94</v>
      </c>
      <c r="T988">
        <v>1</v>
      </c>
      <c r="U988">
        <v>0.97</v>
      </c>
      <c r="V988">
        <v>1.4</v>
      </c>
      <c r="W988">
        <v>2.1</v>
      </c>
      <c r="X988">
        <v>1.05</v>
      </c>
    </row>
    <row r="989" spans="2:24" hidden="1" x14ac:dyDescent="0.35">
      <c r="B989">
        <v>2018</v>
      </c>
      <c r="C989" s="1">
        <v>43484</v>
      </c>
      <c r="D989">
        <v>2411</v>
      </c>
      <c r="E989" t="s">
        <v>23</v>
      </c>
      <c r="F989" t="s">
        <v>41</v>
      </c>
      <c r="G989" t="s">
        <v>30</v>
      </c>
      <c r="H989">
        <v>93.3</v>
      </c>
      <c r="I989">
        <v>70.319999999999993</v>
      </c>
      <c r="J989">
        <v>0.8669</v>
      </c>
      <c r="K989">
        <v>2.2200000000000001E-2</v>
      </c>
      <c r="L989">
        <v>0.1109</v>
      </c>
      <c r="M989">
        <v>2.62</v>
      </c>
      <c r="N989">
        <v>0.26</v>
      </c>
      <c r="O989">
        <v>84.9</v>
      </c>
      <c r="P989">
        <v>10.199999999999999</v>
      </c>
      <c r="Q989">
        <v>4</v>
      </c>
      <c r="R989">
        <v>3</v>
      </c>
      <c r="S989">
        <v>2.85</v>
      </c>
      <c r="T989">
        <v>0.99</v>
      </c>
      <c r="U989">
        <v>2.2200000000000002</v>
      </c>
      <c r="V989">
        <v>0.91</v>
      </c>
      <c r="W989">
        <v>3.68</v>
      </c>
      <c r="X989">
        <v>2.94</v>
      </c>
    </row>
    <row r="990" spans="2:24" hidden="1" x14ac:dyDescent="0.35">
      <c r="B990">
        <v>2018</v>
      </c>
      <c r="C990" s="1">
        <v>43484</v>
      </c>
      <c r="D990">
        <v>2411</v>
      </c>
      <c r="E990" t="s">
        <v>23</v>
      </c>
      <c r="F990" t="s">
        <v>40</v>
      </c>
      <c r="G990" t="s">
        <v>42</v>
      </c>
      <c r="H990">
        <v>79</v>
      </c>
      <c r="I990">
        <v>85.52</v>
      </c>
      <c r="J990">
        <v>0.35970000000000002</v>
      </c>
      <c r="K990">
        <v>0.37519999999999998</v>
      </c>
      <c r="L990">
        <v>0.2651</v>
      </c>
      <c r="M990">
        <v>1.45</v>
      </c>
      <c r="N990">
        <v>1.49</v>
      </c>
      <c r="O990">
        <v>69.8</v>
      </c>
      <c r="P990">
        <v>77</v>
      </c>
      <c r="Q990">
        <v>2</v>
      </c>
      <c r="R990">
        <v>0</v>
      </c>
      <c r="S990">
        <v>2.1800000000000002</v>
      </c>
      <c r="T990">
        <v>0.97</v>
      </c>
      <c r="U990">
        <v>1.66</v>
      </c>
      <c r="V990">
        <v>2.3199999999999998</v>
      </c>
      <c r="W990">
        <v>2.1</v>
      </c>
      <c r="X990">
        <v>0</v>
      </c>
    </row>
    <row r="991" spans="2:24" hidden="1" x14ac:dyDescent="0.35">
      <c r="B991">
        <v>2018</v>
      </c>
      <c r="C991" s="1">
        <v>43485</v>
      </c>
      <c r="D991">
        <v>2411</v>
      </c>
      <c r="E991" t="s">
        <v>23</v>
      </c>
      <c r="F991" t="s">
        <v>44</v>
      </c>
      <c r="G991" t="s">
        <v>36</v>
      </c>
      <c r="H991">
        <v>59.48</v>
      </c>
      <c r="I991">
        <v>92.77</v>
      </c>
      <c r="J991">
        <v>7.22E-2</v>
      </c>
      <c r="K991">
        <v>0.76990000000000003</v>
      </c>
      <c r="L991">
        <v>0.15790000000000001</v>
      </c>
      <c r="M991">
        <v>0.64</v>
      </c>
      <c r="N991">
        <v>2.5099999999999998</v>
      </c>
      <c r="O991">
        <v>28.7</v>
      </c>
      <c r="P991">
        <v>66.5</v>
      </c>
      <c r="Q991">
        <v>0</v>
      </c>
      <c r="R991">
        <v>3</v>
      </c>
      <c r="S991">
        <v>0.76</v>
      </c>
      <c r="T991">
        <v>2.1800000000000002</v>
      </c>
      <c r="U991">
        <v>0.33</v>
      </c>
      <c r="V991">
        <v>2.59</v>
      </c>
      <c r="W991">
        <v>0</v>
      </c>
      <c r="X991">
        <v>3.15</v>
      </c>
    </row>
    <row r="992" spans="2:24" hidden="1" x14ac:dyDescent="0.35">
      <c r="B992">
        <v>2018</v>
      </c>
      <c r="C992" s="1">
        <v>43485</v>
      </c>
      <c r="D992">
        <v>2411</v>
      </c>
      <c r="E992" t="s">
        <v>23</v>
      </c>
      <c r="F992" t="s">
        <v>48</v>
      </c>
      <c r="G992" t="s">
        <v>29</v>
      </c>
      <c r="H992">
        <v>58.7</v>
      </c>
      <c r="I992">
        <v>85.32</v>
      </c>
      <c r="J992">
        <v>0.1615</v>
      </c>
      <c r="K992">
        <v>0.62119999999999997</v>
      </c>
      <c r="L992">
        <v>0.21729999999999999</v>
      </c>
      <c r="M992">
        <v>0.98</v>
      </c>
      <c r="N992">
        <v>2.12</v>
      </c>
      <c r="O992">
        <v>40.4</v>
      </c>
      <c r="P992">
        <v>52.9</v>
      </c>
      <c r="Q992">
        <v>1</v>
      </c>
      <c r="R992">
        <v>2</v>
      </c>
      <c r="S992">
        <v>0.97</v>
      </c>
      <c r="T992">
        <v>2.12</v>
      </c>
      <c r="U992">
        <v>0.98</v>
      </c>
      <c r="V992">
        <v>2.34</v>
      </c>
      <c r="W992">
        <v>1.05</v>
      </c>
      <c r="X992">
        <v>2.1</v>
      </c>
    </row>
    <row r="993" spans="2:24" hidden="1" x14ac:dyDescent="0.35">
      <c r="B993">
        <v>2018</v>
      </c>
      <c r="C993" s="1">
        <v>43494</v>
      </c>
      <c r="D993">
        <v>2411</v>
      </c>
      <c r="E993" t="s">
        <v>23</v>
      </c>
      <c r="F993" t="s">
        <v>40</v>
      </c>
      <c r="G993" t="s">
        <v>47</v>
      </c>
      <c r="H993">
        <v>79.77</v>
      </c>
      <c r="I993">
        <v>56.68</v>
      </c>
      <c r="J993">
        <v>0.75780000000000003</v>
      </c>
      <c r="K993">
        <v>7.5600000000000001E-2</v>
      </c>
      <c r="L993">
        <v>0.1666</v>
      </c>
      <c r="M993">
        <v>2.4</v>
      </c>
      <c r="N993">
        <v>0.62</v>
      </c>
      <c r="O993">
        <v>48.3</v>
      </c>
      <c r="P993">
        <v>50.2</v>
      </c>
      <c r="Q993">
        <v>2</v>
      </c>
      <c r="R993">
        <v>1</v>
      </c>
      <c r="S993">
        <v>2.1800000000000002</v>
      </c>
      <c r="T993">
        <v>0.75</v>
      </c>
      <c r="U993">
        <v>2.63</v>
      </c>
      <c r="V993">
        <v>1.01</v>
      </c>
      <c r="W993">
        <v>1.77</v>
      </c>
      <c r="X993">
        <v>1.05</v>
      </c>
    </row>
    <row r="994" spans="2:24" hidden="1" x14ac:dyDescent="0.35">
      <c r="B994">
        <v>2018</v>
      </c>
      <c r="C994" s="1">
        <v>43494</v>
      </c>
      <c r="D994">
        <v>2411</v>
      </c>
      <c r="E994" t="s">
        <v>23</v>
      </c>
      <c r="F994" t="s">
        <v>48</v>
      </c>
      <c r="G994" t="s">
        <v>45</v>
      </c>
      <c r="H994">
        <v>58.61</v>
      </c>
      <c r="I994">
        <v>63.02</v>
      </c>
      <c r="J994">
        <v>0.43180000000000002</v>
      </c>
      <c r="K994">
        <v>0.27800000000000002</v>
      </c>
      <c r="L994">
        <v>0.29020000000000001</v>
      </c>
      <c r="M994">
        <v>1.38</v>
      </c>
      <c r="N994">
        <v>1.05</v>
      </c>
      <c r="O994">
        <v>38.700000000000003</v>
      </c>
      <c r="P994">
        <v>9.8000000000000007</v>
      </c>
      <c r="Q994">
        <v>4</v>
      </c>
      <c r="R994">
        <v>2</v>
      </c>
      <c r="S994">
        <v>3.35</v>
      </c>
      <c r="T994">
        <v>2.34</v>
      </c>
      <c r="U994">
        <v>2.14</v>
      </c>
      <c r="V994">
        <v>1.61</v>
      </c>
      <c r="W994">
        <v>3.97</v>
      </c>
      <c r="X994">
        <v>2.1</v>
      </c>
    </row>
    <row r="995" spans="2:24" hidden="1" x14ac:dyDescent="0.35">
      <c r="B995">
        <v>2018</v>
      </c>
      <c r="C995" s="1">
        <v>43494</v>
      </c>
      <c r="D995">
        <v>2411</v>
      </c>
      <c r="E995" t="s">
        <v>23</v>
      </c>
      <c r="F995" t="s">
        <v>44</v>
      </c>
      <c r="G995" t="s">
        <v>28</v>
      </c>
      <c r="H995">
        <v>58.79</v>
      </c>
      <c r="I995">
        <v>70.97</v>
      </c>
      <c r="J995">
        <v>0.30730000000000002</v>
      </c>
      <c r="K995">
        <v>0.38900000000000001</v>
      </c>
      <c r="L995">
        <v>0.30370000000000003</v>
      </c>
      <c r="M995">
        <v>1.06</v>
      </c>
      <c r="N995">
        <v>1.24</v>
      </c>
      <c r="O995">
        <v>16.7</v>
      </c>
      <c r="P995">
        <v>1.1000000000000001</v>
      </c>
      <c r="Q995">
        <v>0</v>
      </c>
      <c r="R995">
        <v>1</v>
      </c>
      <c r="S995">
        <v>0.66</v>
      </c>
      <c r="T995">
        <v>1.29</v>
      </c>
      <c r="U995">
        <v>1.36</v>
      </c>
      <c r="V995">
        <v>0.82</v>
      </c>
      <c r="W995">
        <v>0</v>
      </c>
      <c r="X995">
        <v>1.05</v>
      </c>
    </row>
    <row r="996" spans="2:24" hidden="1" x14ac:dyDescent="0.35">
      <c r="B996">
        <v>2018</v>
      </c>
      <c r="C996" s="1">
        <v>43494</v>
      </c>
      <c r="D996">
        <v>2411</v>
      </c>
      <c r="E996" t="s">
        <v>23</v>
      </c>
      <c r="F996" t="s">
        <v>49</v>
      </c>
      <c r="G996" t="s">
        <v>43</v>
      </c>
      <c r="H996">
        <v>68.510000000000005</v>
      </c>
      <c r="I996">
        <v>66.959999999999994</v>
      </c>
      <c r="J996">
        <v>0.43559999999999999</v>
      </c>
      <c r="K996">
        <v>0.2833</v>
      </c>
      <c r="L996">
        <v>0.28110000000000002</v>
      </c>
      <c r="M996">
        <v>1.46</v>
      </c>
      <c r="N996">
        <v>1.1200000000000001</v>
      </c>
      <c r="O996">
        <v>0.4</v>
      </c>
      <c r="P996">
        <v>0.9</v>
      </c>
      <c r="Q996">
        <v>3</v>
      </c>
      <c r="R996">
        <v>0</v>
      </c>
      <c r="S996">
        <v>2.4</v>
      </c>
      <c r="T996">
        <v>0.15</v>
      </c>
      <c r="U996">
        <v>1.62</v>
      </c>
      <c r="V996">
        <v>0.69</v>
      </c>
      <c r="W996">
        <v>2.5</v>
      </c>
      <c r="X996">
        <v>0</v>
      </c>
    </row>
    <row r="997" spans="2:24" hidden="1" x14ac:dyDescent="0.35">
      <c r="B997">
        <v>2018</v>
      </c>
      <c r="C997" s="1">
        <v>43494</v>
      </c>
      <c r="D997">
        <v>2411</v>
      </c>
      <c r="E997" t="s">
        <v>23</v>
      </c>
      <c r="F997" t="s">
        <v>46</v>
      </c>
      <c r="G997" t="s">
        <v>36</v>
      </c>
      <c r="H997">
        <v>64.47</v>
      </c>
      <c r="I997">
        <v>93.14</v>
      </c>
      <c r="J997">
        <v>9.1800000000000007E-2</v>
      </c>
      <c r="K997">
        <v>0.73829999999999996</v>
      </c>
      <c r="L997">
        <v>0.1699</v>
      </c>
      <c r="M997">
        <v>0.76</v>
      </c>
      <c r="N997">
        <v>2.48</v>
      </c>
      <c r="O997">
        <v>32.6</v>
      </c>
      <c r="P997">
        <v>74.5</v>
      </c>
      <c r="Q997">
        <v>2</v>
      </c>
      <c r="R997">
        <v>1</v>
      </c>
      <c r="S997">
        <v>1.05</v>
      </c>
      <c r="T997">
        <v>1.41</v>
      </c>
      <c r="U997">
        <v>0.51</v>
      </c>
      <c r="V997">
        <v>2.4</v>
      </c>
      <c r="W997">
        <v>2.1</v>
      </c>
      <c r="X997">
        <v>1.05</v>
      </c>
    </row>
    <row r="998" spans="2:24" hidden="1" x14ac:dyDescent="0.35">
      <c r="B998">
        <v>2018</v>
      </c>
      <c r="C998" s="1">
        <v>43494</v>
      </c>
      <c r="D998">
        <v>2411</v>
      </c>
      <c r="E998" t="s">
        <v>23</v>
      </c>
      <c r="F998" t="s">
        <v>39</v>
      </c>
      <c r="G998" t="s">
        <v>32</v>
      </c>
      <c r="H998">
        <v>79.53</v>
      </c>
      <c r="I998">
        <v>61.51</v>
      </c>
      <c r="J998">
        <v>0.67679999999999996</v>
      </c>
      <c r="K998">
        <v>0.1239</v>
      </c>
      <c r="L998">
        <v>0.1993</v>
      </c>
      <c r="M998">
        <v>2.23</v>
      </c>
      <c r="N998">
        <v>0.84</v>
      </c>
      <c r="O998">
        <v>51</v>
      </c>
      <c r="P998">
        <v>37.299999999999997</v>
      </c>
      <c r="Q998">
        <v>2</v>
      </c>
      <c r="R998">
        <v>2</v>
      </c>
      <c r="S998">
        <v>3.15</v>
      </c>
      <c r="T998">
        <v>0.91</v>
      </c>
      <c r="U998">
        <v>3.28</v>
      </c>
      <c r="V998">
        <v>0.38</v>
      </c>
      <c r="W998">
        <v>2.1</v>
      </c>
      <c r="X998">
        <v>1.83</v>
      </c>
    </row>
    <row r="999" spans="2:24" hidden="1" x14ac:dyDescent="0.35">
      <c r="B999">
        <v>2018</v>
      </c>
      <c r="C999" s="1">
        <v>43495</v>
      </c>
      <c r="D999">
        <v>2411</v>
      </c>
      <c r="E999" t="s">
        <v>23</v>
      </c>
      <c r="F999" t="s">
        <v>38</v>
      </c>
      <c r="G999" t="s">
        <v>42</v>
      </c>
      <c r="H999">
        <v>64.989999999999995</v>
      </c>
      <c r="I999">
        <v>84.86</v>
      </c>
      <c r="J999">
        <v>0.18790000000000001</v>
      </c>
      <c r="K999">
        <v>0.57899999999999996</v>
      </c>
      <c r="L999">
        <v>0.23319999999999999</v>
      </c>
      <c r="M999">
        <v>1.03</v>
      </c>
      <c r="N999">
        <v>1.97</v>
      </c>
      <c r="O999">
        <v>3.4</v>
      </c>
      <c r="P999">
        <v>72</v>
      </c>
      <c r="Q999">
        <v>4</v>
      </c>
      <c r="R999">
        <v>0</v>
      </c>
      <c r="S999">
        <v>2.39</v>
      </c>
      <c r="T999">
        <v>0.81</v>
      </c>
      <c r="U999">
        <v>1.41</v>
      </c>
      <c r="V999">
        <v>2.91</v>
      </c>
      <c r="W999">
        <v>3.57</v>
      </c>
      <c r="X999">
        <v>0</v>
      </c>
    </row>
    <row r="1000" spans="2:24" hidden="1" x14ac:dyDescent="0.35">
      <c r="B1000">
        <v>2018</v>
      </c>
      <c r="C1000" s="1">
        <v>43495</v>
      </c>
      <c r="D1000">
        <v>2411</v>
      </c>
      <c r="E1000" t="s">
        <v>23</v>
      </c>
      <c r="F1000" t="s">
        <v>34</v>
      </c>
      <c r="G1000" t="s">
        <v>30</v>
      </c>
      <c r="H1000">
        <v>66.98</v>
      </c>
      <c r="I1000">
        <v>71.31</v>
      </c>
      <c r="J1000">
        <v>0.40639999999999998</v>
      </c>
      <c r="K1000">
        <v>0.30790000000000001</v>
      </c>
      <c r="L1000">
        <v>0.28570000000000001</v>
      </c>
      <c r="M1000">
        <v>1.38</v>
      </c>
      <c r="N1000">
        <v>1.17</v>
      </c>
      <c r="O1000">
        <v>21.7</v>
      </c>
      <c r="P1000">
        <v>13.1</v>
      </c>
      <c r="Q1000">
        <v>1</v>
      </c>
      <c r="R1000">
        <v>1</v>
      </c>
      <c r="S1000">
        <v>1.27</v>
      </c>
      <c r="T1000">
        <v>1.1000000000000001</v>
      </c>
      <c r="U1000">
        <v>1.2</v>
      </c>
      <c r="V1000">
        <v>1.3</v>
      </c>
      <c r="W1000">
        <v>1.05</v>
      </c>
      <c r="X1000">
        <v>1.05</v>
      </c>
    </row>
    <row r="1001" spans="2:24" hidden="1" x14ac:dyDescent="0.35">
      <c r="B1001">
        <v>2018</v>
      </c>
      <c r="C1001" s="1">
        <v>43495</v>
      </c>
      <c r="D1001">
        <v>2411</v>
      </c>
      <c r="E1001" t="s">
        <v>23</v>
      </c>
      <c r="F1001" t="s">
        <v>29</v>
      </c>
      <c r="G1001" t="s">
        <v>35</v>
      </c>
      <c r="H1001">
        <v>85.37</v>
      </c>
      <c r="I1001">
        <v>69.760000000000005</v>
      </c>
      <c r="J1001">
        <v>0.68759999999999999</v>
      </c>
      <c r="K1001">
        <v>0.1187</v>
      </c>
      <c r="L1001">
        <v>0.19370000000000001</v>
      </c>
      <c r="M1001">
        <v>2.2799999999999998</v>
      </c>
      <c r="N1001">
        <v>0.83</v>
      </c>
      <c r="O1001">
        <v>44.9</v>
      </c>
      <c r="P1001">
        <v>0.1</v>
      </c>
      <c r="Q1001">
        <v>2</v>
      </c>
      <c r="R1001">
        <v>1</v>
      </c>
      <c r="S1001">
        <v>1.75</v>
      </c>
      <c r="T1001">
        <v>0.74</v>
      </c>
      <c r="U1001">
        <v>2.25</v>
      </c>
      <c r="V1001">
        <v>1.04</v>
      </c>
      <c r="W1001">
        <v>2.1</v>
      </c>
      <c r="X1001">
        <v>1.05</v>
      </c>
    </row>
    <row r="1002" spans="2:24" hidden="1" x14ac:dyDescent="0.35">
      <c r="B1002">
        <v>2018</v>
      </c>
      <c r="C1002" s="1">
        <v>43495</v>
      </c>
      <c r="D1002">
        <v>2411</v>
      </c>
      <c r="E1002" t="s">
        <v>23</v>
      </c>
      <c r="F1002" t="s">
        <v>41</v>
      </c>
      <c r="G1002" t="s">
        <v>25</v>
      </c>
      <c r="H1002">
        <v>92.58</v>
      </c>
      <c r="I1002">
        <v>69.87</v>
      </c>
      <c r="J1002">
        <v>0.85529999999999995</v>
      </c>
      <c r="K1002">
        <v>3.1699999999999999E-2</v>
      </c>
      <c r="L1002">
        <v>0.11310000000000001</v>
      </c>
      <c r="M1002">
        <v>2.75</v>
      </c>
      <c r="N1002">
        <v>0.38</v>
      </c>
      <c r="O1002">
        <v>68.8</v>
      </c>
      <c r="P1002">
        <v>0.4</v>
      </c>
      <c r="Q1002">
        <v>1</v>
      </c>
      <c r="R1002">
        <v>1</v>
      </c>
      <c r="S1002">
        <v>0.59</v>
      </c>
      <c r="T1002">
        <v>1.19</v>
      </c>
      <c r="U1002">
        <v>2.31</v>
      </c>
      <c r="V1002">
        <v>0.91</v>
      </c>
      <c r="W1002">
        <v>1.05</v>
      </c>
      <c r="X1002">
        <v>1.05</v>
      </c>
    </row>
    <row r="1003" spans="2:24" hidden="1" x14ac:dyDescent="0.35">
      <c r="B1003">
        <v>2018</v>
      </c>
      <c r="C1003" s="1">
        <v>43498</v>
      </c>
      <c r="D1003">
        <v>2411</v>
      </c>
      <c r="E1003" t="s">
        <v>23</v>
      </c>
      <c r="F1003" t="s">
        <v>29</v>
      </c>
      <c r="G1003" t="s">
        <v>46</v>
      </c>
      <c r="H1003">
        <v>85.27</v>
      </c>
      <c r="I1003">
        <v>65.62</v>
      </c>
      <c r="J1003">
        <v>0.71150000000000002</v>
      </c>
      <c r="K1003">
        <v>9.2899999999999996E-2</v>
      </c>
      <c r="L1003">
        <v>0.1956</v>
      </c>
      <c r="M1003">
        <v>2.14</v>
      </c>
      <c r="N1003">
        <v>0.62</v>
      </c>
      <c r="O1003">
        <v>34.6</v>
      </c>
      <c r="P1003">
        <v>15.6</v>
      </c>
      <c r="Q1003">
        <v>1</v>
      </c>
      <c r="R1003">
        <v>0</v>
      </c>
      <c r="S1003">
        <v>3.07</v>
      </c>
      <c r="T1003">
        <v>0.56000000000000005</v>
      </c>
      <c r="U1003">
        <v>2.58</v>
      </c>
      <c r="V1003">
        <v>0.57999999999999996</v>
      </c>
      <c r="W1003">
        <v>1.05</v>
      </c>
      <c r="X1003">
        <v>0</v>
      </c>
    </row>
    <row r="1004" spans="2:24" hidden="1" x14ac:dyDescent="0.35">
      <c r="B1004">
        <v>2018</v>
      </c>
      <c r="C1004" s="1">
        <v>43498</v>
      </c>
      <c r="D1004">
        <v>2411</v>
      </c>
      <c r="E1004" t="s">
        <v>23</v>
      </c>
      <c r="F1004" t="s">
        <v>42</v>
      </c>
      <c r="G1004" t="s">
        <v>44</v>
      </c>
      <c r="H1004">
        <v>83.17</v>
      </c>
      <c r="I1004">
        <v>58.65</v>
      </c>
      <c r="J1004">
        <v>0.81799999999999995</v>
      </c>
      <c r="K1004">
        <v>2.7300000000000001E-2</v>
      </c>
      <c r="L1004">
        <v>0.1547</v>
      </c>
      <c r="M1004">
        <v>2.16</v>
      </c>
      <c r="N1004">
        <v>0.22</v>
      </c>
      <c r="O1004">
        <v>85.3</v>
      </c>
      <c r="P1004">
        <v>10.7</v>
      </c>
      <c r="Q1004">
        <v>5</v>
      </c>
      <c r="R1004">
        <v>0</v>
      </c>
      <c r="S1004">
        <v>3.15</v>
      </c>
      <c r="T1004">
        <v>0.35</v>
      </c>
      <c r="U1004">
        <v>3.56</v>
      </c>
      <c r="V1004">
        <v>0.56000000000000005</v>
      </c>
      <c r="W1004">
        <v>4.84</v>
      </c>
      <c r="X1004">
        <v>0</v>
      </c>
    </row>
    <row r="1005" spans="2:24" hidden="1" x14ac:dyDescent="0.35">
      <c r="B1005">
        <v>2018</v>
      </c>
      <c r="C1005" s="1">
        <v>43498</v>
      </c>
      <c r="D1005">
        <v>2411</v>
      </c>
      <c r="E1005" t="s">
        <v>23</v>
      </c>
      <c r="F1005" t="s">
        <v>28</v>
      </c>
      <c r="G1005" t="s">
        <v>49</v>
      </c>
      <c r="H1005">
        <v>71.39</v>
      </c>
      <c r="I1005">
        <v>70.17</v>
      </c>
      <c r="J1005">
        <v>0.42970000000000003</v>
      </c>
      <c r="K1005">
        <v>0.28610000000000002</v>
      </c>
      <c r="L1005">
        <v>0.28420000000000001</v>
      </c>
      <c r="M1005">
        <v>1.43</v>
      </c>
      <c r="N1005">
        <v>1.1100000000000001</v>
      </c>
      <c r="O1005">
        <v>0.3</v>
      </c>
      <c r="P1005">
        <v>0.6</v>
      </c>
      <c r="Q1005">
        <v>1</v>
      </c>
      <c r="R1005">
        <v>3</v>
      </c>
      <c r="S1005">
        <v>1.21</v>
      </c>
      <c r="T1005">
        <v>1.64</v>
      </c>
      <c r="U1005">
        <v>1.29</v>
      </c>
      <c r="V1005">
        <v>0.56999999999999995</v>
      </c>
      <c r="W1005">
        <v>1.05</v>
      </c>
      <c r="X1005">
        <v>3.15</v>
      </c>
    </row>
    <row r="1006" spans="2:24" hidden="1" x14ac:dyDescent="0.35">
      <c r="B1006">
        <v>2018</v>
      </c>
      <c r="C1006" s="1">
        <v>43498</v>
      </c>
      <c r="D1006">
        <v>2411</v>
      </c>
      <c r="E1006" t="s">
        <v>23</v>
      </c>
      <c r="F1006" t="s">
        <v>45</v>
      </c>
      <c r="G1006" t="s">
        <v>35</v>
      </c>
      <c r="H1006">
        <v>61.18</v>
      </c>
      <c r="I1006">
        <v>69.94</v>
      </c>
      <c r="J1006">
        <v>0.35699999999999998</v>
      </c>
      <c r="K1006">
        <v>0.36759999999999998</v>
      </c>
      <c r="L1006">
        <v>0.27539999999999998</v>
      </c>
      <c r="M1006">
        <v>1.36</v>
      </c>
      <c r="N1006">
        <v>1.39</v>
      </c>
      <c r="O1006">
        <v>16.7</v>
      </c>
      <c r="P1006">
        <v>0.2</v>
      </c>
      <c r="Q1006">
        <v>0</v>
      </c>
      <c r="R1006">
        <v>0</v>
      </c>
      <c r="S1006">
        <v>2.14</v>
      </c>
      <c r="T1006">
        <v>0.33</v>
      </c>
      <c r="U1006">
        <v>2.15</v>
      </c>
      <c r="V1006">
        <v>0.84</v>
      </c>
      <c r="W1006">
        <v>0</v>
      </c>
      <c r="X1006">
        <v>0</v>
      </c>
    </row>
    <row r="1007" spans="2:24" hidden="1" x14ac:dyDescent="0.35">
      <c r="B1007">
        <v>2018</v>
      </c>
      <c r="C1007" s="1">
        <v>43498</v>
      </c>
      <c r="D1007">
        <v>2411</v>
      </c>
      <c r="E1007" t="s">
        <v>23</v>
      </c>
      <c r="F1007" t="s">
        <v>32</v>
      </c>
      <c r="G1007" t="s">
        <v>34</v>
      </c>
      <c r="H1007">
        <v>61.07</v>
      </c>
      <c r="I1007">
        <v>66.84</v>
      </c>
      <c r="J1007">
        <v>0.40300000000000002</v>
      </c>
      <c r="K1007">
        <v>0.31809999999999999</v>
      </c>
      <c r="L1007">
        <v>0.27889999999999998</v>
      </c>
      <c r="M1007">
        <v>1.43</v>
      </c>
      <c r="N1007">
        <v>1.24</v>
      </c>
      <c r="O1007">
        <v>48.2</v>
      </c>
      <c r="P1007">
        <v>25.9</v>
      </c>
      <c r="Q1007">
        <v>1</v>
      </c>
      <c r="R1007">
        <v>1</v>
      </c>
      <c r="S1007">
        <v>2.27</v>
      </c>
      <c r="T1007">
        <v>0.82</v>
      </c>
      <c r="U1007">
        <v>1.64</v>
      </c>
      <c r="V1007">
        <v>1.1299999999999999</v>
      </c>
      <c r="W1007">
        <v>1.05</v>
      </c>
      <c r="X1007">
        <v>1.05</v>
      </c>
    </row>
    <row r="1008" spans="2:24" hidden="1" x14ac:dyDescent="0.35">
      <c r="B1008">
        <v>2018</v>
      </c>
      <c r="C1008" s="1">
        <v>43498</v>
      </c>
      <c r="D1008">
        <v>2411</v>
      </c>
      <c r="E1008" t="s">
        <v>23</v>
      </c>
      <c r="F1008" t="s">
        <v>30</v>
      </c>
      <c r="G1008" t="s">
        <v>48</v>
      </c>
      <c r="H1008">
        <v>71.53</v>
      </c>
      <c r="I1008">
        <v>59.16</v>
      </c>
      <c r="J1008">
        <v>0.5363</v>
      </c>
      <c r="K1008">
        <v>0.20710000000000001</v>
      </c>
      <c r="L1008">
        <v>0.25659999999999999</v>
      </c>
      <c r="M1008">
        <v>1.73</v>
      </c>
      <c r="N1008">
        <v>0.98</v>
      </c>
      <c r="O1008">
        <v>18.8</v>
      </c>
      <c r="P1008">
        <v>48.8</v>
      </c>
      <c r="Q1008">
        <v>2</v>
      </c>
      <c r="R1008">
        <v>0</v>
      </c>
      <c r="S1008">
        <v>2.17</v>
      </c>
      <c r="T1008">
        <v>0.6</v>
      </c>
      <c r="U1008">
        <v>1.54</v>
      </c>
      <c r="V1008">
        <v>0.9</v>
      </c>
      <c r="W1008">
        <v>1.67</v>
      </c>
      <c r="X1008">
        <v>0</v>
      </c>
    </row>
    <row r="1009" spans="2:24" hidden="1" x14ac:dyDescent="0.35">
      <c r="B1009">
        <v>2018</v>
      </c>
      <c r="C1009" s="1">
        <v>43498</v>
      </c>
      <c r="D1009">
        <v>2411</v>
      </c>
      <c r="E1009" t="s">
        <v>23</v>
      </c>
      <c r="F1009" t="s">
        <v>47</v>
      </c>
      <c r="G1009" t="s">
        <v>38</v>
      </c>
      <c r="H1009">
        <v>57.05</v>
      </c>
      <c r="I1009">
        <v>67.069999999999993</v>
      </c>
      <c r="J1009">
        <v>0.36180000000000001</v>
      </c>
      <c r="K1009">
        <v>0.36849999999999999</v>
      </c>
      <c r="L1009">
        <v>0.2697</v>
      </c>
      <c r="M1009">
        <v>1.42</v>
      </c>
      <c r="N1009">
        <v>1.44</v>
      </c>
      <c r="O1009">
        <v>47.6</v>
      </c>
      <c r="P1009">
        <v>0.5</v>
      </c>
      <c r="Q1009">
        <v>2</v>
      </c>
      <c r="R1009">
        <v>0</v>
      </c>
      <c r="S1009">
        <v>2.21</v>
      </c>
      <c r="T1009">
        <v>0.47</v>
      </c>
      <c r="U1009">
        <v>0.97</v>
      </c>
      <c r="V1009">
        <v>2.19</v>
      </c>
      <c r="W1009">
        <v>2.1</v>
      </c>
      <c r="X1009">
        <v>0</v>
      </c>
    </row>
    <row r="1010" spans="2:24" hidden="1" x14ac:dyDescent="0.35">
      <c r="B1010">
        <v>2018</v>
      </c>
      <c r="C1010" s="1">
        <v>43499</v>
      </c>
      <c r="D1010">
        <v>2411</v>
      </c>
      <c r="E1010" t="s">
        <v>23</v>
      </c>
      <c r="F1010" t="s">
        <v>25</v>
      </c>
      <c r="G1010" t="s">
        <v>39</v>
      </c>
      <c r="H1010">
        <v>71.38</v>
      </c>
      <c r="I1010">
        <v>79.7</v>
      </c>
      <c r="J1010">
        <v>0.29730000000000001</v>
      </c>
      <c r="K1010">
        <v>0.44240000000000002</v>
      </c>
      <c r="L1010">
        <v>0.26029999999999998</v>
      </c>
      <c r="M1010">
        <v>1.31</v>
      </c>
      <c r="N1010">
        <v>1.65</v>
      </c>
      <c r="O1010">
        <v>0.4</v>
      </c>
      <c r="P1010">
        <v>47.7</v>
      </c>
      <c r="Q1010">
        <v>0</v>
      </c>
      <c r="R1010">
        <v>1</v>
      </c>
      <c r="S1010">
        <v>1.89</v>
      </c>
      <c r="T1010">
        <v>1.31</v>
      </c>
      <c r="U1010">
        <v>2.11</v>
      </c>
      <c r="V1010">
        <v>0.96</v>
      </c>
      <c r="W1010">
        <v>0</v>
      </c>
      <c r="X1010">
        <v>1.05</v>
      </c>
    </row>
    <row r="1011" spans="2:24" hidden="1" x14ac:dyDescent="0.35">
      <c r="B1011">
        <v>2018</v>
      </c>
      <c r="C1011" s="1">
        <v>43499</v>
      </c>
      <c r="D1011">
        <v>2411</v>
      </c>
      <c r="E1011" t="s">
        <v>23</v>
      </c>
      <c r="F1011" t="s">
        <v>36</v>
      </c>
      <c r="G1011" t="s">
        <v>40</v>
      </c>
      <c r="H1011">
        <v>92.61</v>
      </c>
      <c r="I1011">
        <v>79.400000000000006</v>
      </c>
      <c r="J1011">
        <v>0.69310000000000005</v>
      </c>
      <c r="K1011">
        <v>0.12790000000000001</v>
      </c>
      <c r="L1011">
        <v>0.17899999999999999</v>
      </c>
      <c r="M1011">
        <v>2.57</v>
      </c>
      <c r="N1011">
        <v>1.03</v>
      </c>
      <c r="O1011">
        <v>66.7</v>
      </c>
      <c r="P1011">
        <v>72.599999999999994</v>
      </c>
      <c r="Q1011">
        <v>3</v>
      </c>
      <c r="R1011">
        <v>1</v>
      </c>
      <c r="S1011">
        <v>2.83</v>
      </c>
      <c r="T1011">
        <v>0.64</v>
      </c>
      <c r="U1011">
        <v>2.64</v>
      </c>
      <c r="V1011">
        <v>0.6</v>
      </c>
      <c r="W1011">
        <v>3.15</v>
      </c>
      <c r="X1011">
        <v>1.05</v>
      </c>
    </row>
    <row r="1012" spans="2:24" hidden="1" x14ac:dyDescent="0.35">
      <c r="B1012">
        <v>2018</v>
      </c>
      <c r="C1012" s="1">
        <v>43500</v>
      </c>
      <c r="D1012">
        <v>2411</v>
      </c>
      <c r="E1012" t="s">
        <v>23</v>
      </c>
      <c r="F1012" t="s">
        <v>43</v>
      </c>
      <c r="G1012" t="s">
        <v>41</v>
      </c>
      <c r="H1012">
        <v>65.28</v>
      </c>
      <c r="I1012">
        <v>91.86</v>
      </c>
      <c r="J1012">
        <v>9.1899999999999996E-2</v>
      </c>
      <c r="K1012">
        <v>0.74060000000000004</v>
      </c>
      <c r="L1012">
        <v>0.16750000000000001</v>
      </c>
      <c r="M1012">
        <v>0.77</v>
      </c>
      <c r="N1012">
        <v>2.52</v>
      </c>
      <c r="O1012">
        <v>2.1</v>
      </c>
      <c r="P1012">
        <v>99.7</v>
      </c>
      <c r="Q1012">
        <v>1</v>
      </c>
      <c r="R1012">
        <v>1</v>
      </c>
      <c r="S1012">
        <v>1.07</v>
      </c>
      <c r="T1012">
        <v>1.35</v>
      </c>
      <c r="U1012">
        <v>1.01</v>
      </c>
      <c r="V1012">
        <v>2.0499999999999998</v>
      </c>
      <c r="W1012">
        <v>1.05</v>
      </c>
      <c r="X1012">
        <v>1.05</v>
      </c>
    </row>
    <row r="1013" spans="2:24" hidden="1" x14ac:dyDescent="0.35">
      <c r="B1013">
        <v>2018</v>
      </c>
      <c r="C1013" s="1">
        <v>43502</v>
      </c>
      <c r="D1013">
        <v>2411</v>
      </c>
      <c r="E1013" t="s">
        <v>23</v>
      </c>
      <c r="F1013" t="s">
        <v>28</v>
      </c>
      <c r="G1013" t="s">
        <v>36</v>
      </c>
      <c r="H1013">
        <v>70.17</v>
      </c>
      <c r="I1013">
        <v>92.87</v>
      </c>
      <c r="J1013">
        <v>0.1076</v>
      </c>
      <c r="K1013">
        <v>0.71789999999999998</v>
      </c>
      <c r="L1013">
        <v>0.17449999999999999</v>
      </c>
      <c r="M1013">
        <v>0.88</v>
      </c>
      <c r="N1013">
        <v>2.52</v>
      </c>
      <c r="O1013">
        <v>0.7</v>
      </c>
      <c r="P1013">
        <v>91.3</v>
      </c>
      <c r="Q1013">
        <v>0</v>
      </c>
      <c r="R1013">
        <v>2</v>
      </c>
      <c r="S1013">
        <v>0.13</v>
      </c>
      <c r="T1013">
        <v>2.94</v>
      </c>
      <c r="U1013">
        <v>0.71</v>
      </c>
      <c r="V1013">
        <v>2.11</v>
      </c>
      <c r="W1013">
        <v>0</v>
      </c>
      <c r="X1013">
        <v>1.58</v>
      </c>
    </row>
    <row r="1014" spans="2:24" hidden="1" x14ac:dyDescent="0.35">
      <c r="B1014">
        <v>2018</v>
      </c>
      <c r="C1014" s="1">
        <v>43505</v>
      </c>
      <c r="D1014">
        <v>2411</v>
      </c>
      <c r="E1014" t="s">
        <v>23</v>
      </c>
      <c r="F1014" t="s">
        <v>48</v>
      </c>
      <c r="G1014" t="s">
        <v>39</v>
      </c>
      <c r="H1014">
        <v>58.69</v>
      </c>
      <c r="I1014">
        <v>79.47</v>
      </c>
      <c r="J1014">
        <v>0.2198</v>
      </c>
      <c r="K1014">
        <v>0.55030000000000001</v>
      </c>
      <c r="L1014">
        <v>0.22989999999999999</v>
      </c>
      <c r="M1014">
        <v>1.23</v>
      </c>
      <c r="N1014">
        <v>2.0499999999999998</v>
      </c>
      <c r="O1014">
        <v>39.5</v>
      </c>
      <c r="P1014">
        <v>51.4</v>
      </c>
      <c r="Q1014">
        <v>0</v>
      </c>
      <c r="R1014">
        <v>3</v>
      </c>
      <c r="S1014">
        <v>2.13</v>
      </c>
      <c r="T1014">
        <v>2.11</v>
      </c>
      <c r="U1014">
        <v>1.57</v>
      </c>
      <c r="V1014">
        <v>2.27</v>
      </c>
      <c r="W1014">
        <v>0</v>
      </c>
      <c r="X1014">
        <v>3.15</v>
      </c>
    </row>
    <row r="1015" spans="2:24" hidden="1" x14ac:dyDescent="0.35">
      <c r="B1015">
        <v>2018</v>
      </c>
      <c r="C1015" s="1">
        <v>43505</v>
      </c>
      <c r="D1015">
        <v>2411</v>
      </c>
      <c r="E1015" t="s">
        <v>23</v>
      </c>
      <c r="F1015" t="s">
        <v>30</v>
      </c>
      <c r="G1015" t="s">
        <v>43</v>
      </c>
      <c r="H1015">
        <v>72.12</v>
      </c>
      <c r="I1015">
        <v>66.09</v>
      </c>
      <c r="J1015">
        <v>0.50660000000000005</v>
      </c>
      <c r="K1015">
        <v>0.22090000000000001</v>
      </c>
      <c r="L1015">
        <v>0.27250000000000002</v>
      </c>
      <c r="M1015">
        <v>1.58</v>
      </c>
      <c r="N1015">
        <v>0.95</v>
      </c>
      <c r="O1015">
        <v>8.8000000000000007</v>
      </c>
      <c r="P1015">
        <v>1</v>
      </c>
      <c r="Q1015">
        <v>1</v>
      </c>
      <c r="R1015">
        <v>1</v>
      </c>
      <c r="S1015">
        <v>2.42</v>
      </c>
      <c r="T1015">
        <v>1.59</v>
      </c>
      <c r="U1015">
        <v>2.4</v>
      </c>
      <c r="V1015">
        <v>1.49</v>
      </c>
      <c r="W1015">
        <v>1.05</v>
      </c>
      <c r="X1015">
        <v>1.05</v>
      </c>
    </row>
    <row r="1016" spans="2:24" hidden="1" x14ac:dyDescent="0.35">
      <c r="B1016">
        <v>2018</v>
      </c>
      <c r="C1016" s="1">
        <v>43505</v>
      </c>
      <c r="D1016">
        <v>2411</v>
      </c>
      <c r="E1016" t="s">
        <v>23</v>
      </c>
      <c r="F1016" t="s">
        <v>34</v>
      </c>
      <c r="G1016" t="s">
        <v>47</v>
      </c>
      <c r="H1016">
        <v>66.22</v>
      </c>
      <c r="I1016">
        <v>58.22</v>
      </c>
      <c r="J1016">
        <v>0.50619999999999998</v>
      </c>
      <c r="K1016">
        <v>0.22020000000000001</v>
      </c>
      <c r="L1016">
        <v>0.27360000000000001</v>
      </c>
      <c r="M1016">
        <v>1.57</v>
      </c>
      <c r="N1016">
        <v>0.94</v>
      </c>
      <c r="O1016">
        <v>37.700000000000003</v>
      </c>
      <c r="P1016">
        <v>63.2</v>
      </c>
      <c r="Q1016">
        <v>1</v>
      </c>
      <c r="R1016">
        <v>2</v>
      </c>
      <c r="S1016">
        <v>1.72</v>
      </c>
      <c r="T1016">
        <v>0.48</v>
      </c>
      <c r="U1016">
        <v>1.4</v>
      </c>
      <c r="V1016">
        <v>1.04</v>
      </c>
      <c r="W1016">
        <v>1.05</v>
      </c>
      <c r="X1016">
        <v>2.1</v>
      </c>
    </row>
    <row r="1017" spans="2:24" hidden="1" x14ac:dyDescent="0.35">
      <c r="B1017">
        <v>2018</v>
      </c>
      <c r="C1017" s="1">
        <v>43505</v>
      </c>
      <c r="D1017">
        <v>2411</v>
      </c>
      <c r="E1017" t="s">
        <v>23</v>
      </c>
      <c r="F1017" t="s">
        <v>41</v>
      </c>
      <c r="G1017" t="s">
        <v>38</v>
      </c>
      <c r="H1017">
        <v>91.53</v>
      </c>
      <c r="I1017">
        <v>65.94</v>
      </c>
      <c r="J1017">
        <v>0.87760000000000005</v>
      </c>
      <c r="K1017">
        <v>2.9100000000000001E-2</v>
      </c>
      <c r="L1017">
        <v>9.3200000000000005E-2</v>
      </c>
      <c r="M1017">
        <v>3.1</v>
      </c>
      <c r="N1017">
        <v>0.45</v>
      </c>
      <c r="O1017">
        <v>100</v>
      </c>
      <c r="P1017">
        <v>0.5</v>
      </c>
      <c r="Q1017">
        <v>3</v>
      </c>
      <c r="R1017">
        <v>0</v>
      </c>
      <c r="S1017">
        <v>2.52</v>
      </c>
      <c r="T1017">
        <v>0.42</v>
      </c>
      <c r="U1017">
        <v>2.59</v>
      </c>
      <c r="V1017">
        <v>0.91</v>
      </c>
      <c r="W1017">
        <v>3.15</v>
      </c>
      <c r="X1017">
        <v>0</v>
      </c>
    </row>
    <row r="1018" spans="2:24" hidden="1" x14ac:dyDescent="0.35">
      <c r="B1018">
        <v>2018</v>
      </c>
      <c r="C1018" s="1">
        <v>43505</v>
      </c>
      <c r="D1018">
        <v>2411</v>
      </c>
      <c r="E1018" t="s">
        <v>23</v>
      </c>
      <c r="F1018" t="s">
        <v>35</v>
      </c>
      <c r="G1018" t="s">
        <v>28</v>
      </c>
      <c r="H1018">
        <v>68.97</v>
      </c>
      <c r="I1018">
        <v>69.349999999999994</v>
      </c>
      <c r="J1018">
        <v>0.42120000000000002</v>
      </c>
      <c r="K1018">
        <v>0.30570000000000003</v>
      </c>
      <c r="L1018">
        <v>0.27300000000000002</v>
      </c>
      <c r="M1018">
        <v>1.5</v>
      </c>
      <c r="N1018">
        <v>1.24</v>
      </c>
      <c r="O1018">
        <v>0.1</v>
      </c>
      <c r="P1018">
        <v>0.8</v>
      </c>
      <c r="Q1018">
        <v>1</v>
      </c>
      <c r="R1018">
        <v>0</v>
      </c>
      <c r="S1018">
        <v>1.43</v>
      </c>
      <c r="T1018">
        <v>0.73</v>
      </c>
      <c r="U1018">
        <v>1.36</v>
      </c>
      <c r="V1018">
        <v>1.17</v>
      </c>
      <c r="W1018">
        <v>1.05</v>
      </c>
      <c r="X1018">
        <v>0</v>
      </c>
    </row>
    <row r="1019" spans="2:24" hidden="1" x14ac:dyDescent="0.35">
      <c r="B1019">
        <v>2018</v>
      </c>
      <c r="C1019" s="1">
        <v>43505</v>
      </c>
      <c r="D1019">
        <v>2411</v>
      </c>
      <c r="E1019" t="s">
        <v>23</v>
      </c>
      <c r="F1019" t="s">
        <v>44</v>
      </c>
      <c r="G1019" t="s">
        <v>40</v>
      </c>
      <c r="H1019">
        <v>56.37</v>
      </c>
      <c r="I1019">
        <v>78.930000000000007</v>
      </c>
      <c r="J1019">
        <v>0.16209999999999999</v>
      </c>
      <c r="K1019">
        <v>0.60109999999999997</v>
      </c>
      <c r="L1019">
        <v>0.23669999999999999</v>
      </c>
      <c r="M1019">
        <v>0.86</v>
      </c>
      <c r="N1019">
        <v>1.89</v>
      </c>
      <c r="O1019">
        <v>4.4000000000000004</v>
      </c>
      <c r="P1019">
        <v>56.9</v>
      </c>
      <c r="Q1019">
        <v>1</v>
      </c>
      <c r="R1019">
        <v>2</v>
      </c>
      <c r="S1019">
        <v>1.26</v>
      </c>
      <c r="T1019">
        <v>1.7</v>
      </c>
      <c r="U1019">
        <v>0.68</v>
      </c>
      <c r="V1019">
        <v>1.1000000000000001</v>
      </c>
      <c r="W1019">
        <v>1.05</v>
      </c>
      <c r="X1019">
        <v>2.1</v>
      </c>
    </row>
    <row r="1020" spans="2:24" hidden="1" x14ac:dyDescent="0.35">
      <c r="B1020">
        <v>2018</v>
      </c>
      <c r="C1020" s="1">
        <v>43505</v>
      </c>
      <c r="D1020">
        <v>2411</v>
      </c>
      <c r="E1020" t="s">
        <v>23</v>
      </c>
      <c r="F1020" t="s">
        <v>45</v>
      </c>
      <c r="G1020" t="s">
        <v>32</v>
      </c>
      <c r="H1020">
        <v>62.53</v>
      </c>
      <c r="I1020">
        <v>61.69</v>
      </c>
      <c r="J1020">
        <v>0.42059999999999997</v>
      </c>
      <c r="K1020">
        <v>0.2944</v>
      </c>
      <c r="L1020">
        <v>0.28499999999999998</v>
      </c>
      <c r="M1020">
        <v>1.41</v>
      </c>
      <c r="N1020">
        <v>1.1299999999999999</v>
      </c>
      <c r="O1020">
        <v>28.5</v>
      </c>
      <c r="P1020">
        <v>52.6</v>
      </c>
      <c r="Q1020">
        <v>1</v>
      </c>
      <c r="R1020">
        <v>3</v>
      </c>
      <c r="S1020">
        <v>1.41</v>
      </c>
      <c r="T1020">
        <v>1.84</v>
      </c>
      <c r="U1020">
        <v>1.92</v>
      </c>
      <c r="V1020">
        <v>0.77</v>
      </c>
      <c r="W1020">
        <v>1.05</v>
      </c>
      <c r="X1020">
        <v>3.06</v>
      </c>
    </row>
    <row r="1021" spans="2:24" hidden="1" x14ac:dyDescent="0.35">
      <c r="B1021">
        <v>2018</v>
      </c>
      <c r="C1021" s="1">
        <v>43506</v>
      </c>
      <c r="D1021">
        <v>2411</v>
      </c>
      <c r="E1021" t="s">
        <v>23</v>
      </c>
      <c r="F1021" t="s">
        <v>29</v>
      </c>
      <c r="G1021" t="s">
        <v>25</v>
      </c>
      <c r="H1021">
        <v>85.65</v>
      </c>
      <c r="I1021">
        <v>71.760000000000005</v>
      </c>
      <c r="J1021">
        <v>0.65890000000000004</v>
      </c>
      <c r="K1021">
        <v>0.12620000000000001</v>
      </c>
      <c r="L1021">
        <v>0.215</v>
      </c>
      <c r="M1021">
        <v>2.0499999999999998</v>
      </c>
      <c r="N1021">
        <v>0.76</v>
      </c>
      <c r="O1021">
        <v>28.1</v>
      </c>
      <c r="P1021">
        <v>0.3</v>
      </c>
      <c r="Q1021">
        <v>3</v>
      </c>
      <c r="R1021">
        <v>1</v>
      </c>
      <c r="S1021">
        <v>1.18</v>
      </c>
      <c r="T1021">
        <v>3.18</v>
      </c>
      <c r="U1021">
        <v>1.2</v>
      </c>
      <c r="V1021">
        <v>1.77</v>
      </c>
      <c r="W1021">
        <v>2.63</v>
      </c>
      <c r="X1021">
        <v>1.05</v>
      </c>
    </row>
    <row r="1022" spans="2:24" hidden="1" x14ac:dyDescent="0.35">
      <c r="B1022">
        <v>2018</v>
      </c>
      <c r="C1022" s="1">
        <v>43506</v>
      </c>
      <c r="D1022">
        <v>2411</v>
      </c>
      <c r="E1022" t="s">
        <v>23</v>
      </c>
      <c r="F1022" t="s">
        <v>36</v>
      </c>
      <c r="G1022" t="s">
        <v>42</v>
      </c>
      <c r="H1022">
        <v>93.37</v>
      </c>
      <c r="I1022">
        <v>84.42</v>
      </c>
      <c r="J1022">
        <v>0.64170000000000005</v>
      </c>
      <c r="K1022">
        <v>0.1484</v>
      </c>
      <c r="L1022">
        <v>0.2099</v>
      </c>
      <c r="M1022">
        <v>2.1800000000000002</v>
      </c>
      <c r="N1022">
        <v>0.94</v>
      </c>
      <c r="O1022">
        <v>91.9</v>
      </c>
      <c r="P1022">
        <v>75.7</v>
      </c>
      <c r="Q1022">
        <v>6</v>
      </c>
      <c r="R1022">
        <v>0</v>
      </c>
      <c r="S1022">
        <v>4.08</v>
      </c>
      <c r="T1022">
        <v>1.02</v>
      </c>
      <c r="U1022">
        <v>1.61</v>
      </c>
      <c r="V1022">
        <v>2.09</v>
      </c>
      <c r="W1022">
        <v>6.05</v>
      </c>
      <c r="X1022">
        <v>0</v>
      </c>
    </row>
    <row r="1023" spans="2:24" hidden="1" x14ac:dyDescent="0.35">
      <c r="B1023">
        <v>2018</v>
      </c>
      <c r="C1023" s="1">
        <v>43507</v>
      </c>
      <c r="D1023">
        <v>2411</v>
      </c>
      <c r="E1023" t="s">
        <v>23</v>
      </c>
      <c r="F1023" t="s">
        <v>49</v>
      </c>
      <c r="G1023" t="s">
        <v>46</v>
      </c>
      <c r="H1023">
        <v>71.22</v>
      </c>
      <c r="I1023">
        <v>65.150000000000006</v>
      </c>
      <c r="J1023">
        <v>0.48249999999999998</v>
      </c>
      <c r="K1023">
        <v>0.2283</v>
      </c>
      <c r="L1023">
        <v>0.28920000000000001</v>
      </c>
      <c r="M1023">
        <v>1.44</v>
      </c>
      <c r="N1023">
        <v>0.9</v>
      </c>
      <c r="O1023">
        <v>0.9</v>
      </c>
      <c r="P1023">
        <v>26.6</v>
      </c>
      <c r="Q1023">
        <v>1</v>
      </c>
      <c r="R1023">
        <v>1</v>
      </c>
      <c r="S1023">
        <v>2.56</v>
      </c>
      <c r="T1023">
        <v>0.48</v>
      </c>
      <c r="U1023">
        <v>1.71</v>
      </c>
      <c r="V1023">
        <v>1.02</v>
      </c>
      <c r="W1023">
        <v>1.05</v>
      </c>
      <c r="X1023">
        <v>1.05</v>
      </c>
    </row>
    <row r="1024" spans="2:24" hidden="1" x14ac:dyDescent="0.35">
      <c r="B1024">
        <v>2018</v>
      </c>
      <c r="C1024" s="1">
        <v>43518</v>
      </c>
      <c r="D1024">
        <v>2411</v>
      </c>
      <c r="E1024" t="s">
        <v>23</v>
      </c>
      <c r="F1024" t="s">
        <v>47</v>
      </c>
      <c r="G1024" t="s">
        <v>35</v>
      </c>
      <c r="H1024">
        <v>58.85</v>
      </c>
      <c r="I1024">
        <v>69.42</v>
      </c>
      <c r="J1024">
        <v>0.37119999999999997</v>
      </c>
      <c r="K1024">
        <v>0.34499999999999997</v>
      </c>
      <c r="L1024">
        <v>0.2838</v>
      </c>
      <c r="M1024">
        <v>1.33</v>
      </c>
      <c r="N1024">
        <v>1.27</v>
      </c>
      <c r="O1024">
        <v>53.9</v>
      </c>
      <c r="P1024">
        <v>0.1</v>
      </c>
      <c r="Q1024">
        <v>1</v>
      </c>
      <c r="R1024">
        <v>5</v>
      </c>
      <c r="S1024">
        <v>1.59</v>
      </c>
      <c r="T1024">
        <v>2.12</v>
      </c>
      <c r="U1024">
        <v>1.25</v>
      </c>
      <c r="V1024">
        <v>1.84</v>
      </c>
      <c r="W1024">
        <v>1.05</v>
      </c>
      <c r="X1024">
        <v>4.66</v>
      </c>
    </row>
    <row r="1025" spans="2:24" hidden="1" x14ac:dyDescent="0.35">
      <c r="B1025">
        <v>2018</v>
      </c>
      <c r="C1025" s="1">
        <v>43518</v>
      </c>
      <c r="D1025">
        <v>2411</v>
      </c>
      <c r="E1025" t="s">
        <v>23</v>
      </c>
      <c r="F1025" t="s">
        <v>43</v>
      </c>
      <c r="G1025" t="s">
        <v>48</v>
      </c>
      <c r="H1025">
        <v>66</v>
      </c>
      <c r="I1025">
        <v>58.21</v>
      </c>
      <c r="J1025">
        <v>0.50370000000000004</v>
      </c>
      <c r="K1025">
        <v>0.2407</v>
      </c>
      <c r="L1025">
        <v>0.25559999999999999</v>
      </c>
      <c r="M1025">
        <v>1.74</v>
      </c>
      <c r="N1025">
        <v>1.1299999999999999</v>
      </c>
      <c r="O1025">
        <v>2.2999999999999998</v>
      </c>
      <c r="P1025">
        <v>25.1</v>
      </c>
      <c r="Q1025">
        <v>3</v>
      </c>
      <c r="R1025">
        <v>1</v>
      </c>
      <c r="S1025">
        <v>2.69</v>
      </c>
      <c r="T1025">
        <v>1.21</v>
      </c>
      <c r="U1025">
        <v>2.56</v>
      </c>
      <c r="V1025">
        <v>0.81</v>
      </c>
      <c r="W1025">
        <v>2.63</v>
      </c>
      <c r="X1025">
        <v>1.05</v>
      </c>
    </row>
    <row r="1026" spans="2:24" hidden="1" x14ac:dyDescent="0.35">
      <c r="B1026">
        <v>2018</v>
      </c>
      <c r="C1026" s="1">
        <v>43519</v>
      </c>
      <c r="D1026">
        <v>2411</v>
      </c>
      <c r="E1026" t="s">
        <v>23</v>
      </c>
      <c r="F1026" t="s">
        <v>32</v>
      </c>
      <c r="G1026" t="s">
        <v>29</v>
      </c>
      <c r="H1026">
        <v>62.45</v>
      </c>
      <c r="I1026">
        <v>84.97</v>
      </c>
      <c r="J1026">
        <v>0.20319999999999999</v>
      </c>
      <c r="K1026">
        <v>0.5645</v>
      </c>
      <c r="L1026">
        <v>0.23230000000000001</v>
      </c>
      <c r="M1026">
        <v>1.1200000000000001</v>
      </c>
      <c r="N1026">
        <v>2</v>
      </c>
      <c r="O1026">
        <v>28.8</v>
      </c>
      <c r="P1026">
        <v>22.5</v>
      </c>
      <c r="Q1026">
        <v>2</v>
      </c>
      <c r="R1026">
        <v>1</v>
      </c>
      <c r="S1026">
        <v>1.1100000000000001</v>
      </c>
      <c r="T1026">
        <v>1.3</v>
      </c>
      <c r="U1026">
        <v>0.84</v>
      </c>
      <c r="V1026">
        <v>1.75</v>
      </c>
      <c r="W1026">
        <v>2.1</v>
      </c>
      <c r="X1026">
        <v>1.05</v>
      </c>
    </row>
    <row r="1027" spans="2:24" hidden="1" x14ac:dyDescent="0.35">
      <c r="B1027">
        <v>2018</v>
      </c>
      <c r="C1027" s="1">
        <v>43519</v>
      </c>
      <c r="D1027">
        <v>2411</v>
      </c>
      <c r="E1027" t="s">
        <v>23</v>
      </c>
      <c r="F1027" t="s">
        <v>46</v>
      </c>
      <c r="G1027" t="s">
        <v>44</v>
      </c>
      <c r="H1027">
        <v>64.77</v>
      </c>
      <c r="I1027">
        <v>56.57</v>
      </c>
      <c r="J1027">
        <v>0.5534</v>
      </c>
      <c r="K1027">
        <v>0.15579999999999999</v>
      </c>
      <c r="L1027">
        <v>0.29070000000000001</v>
      </c>
      <c r="M1027">
        <v>1.44</v>
      </c>
      <c r="N1027">
        <v>0.62</v>
      </c>
      <c r="O1027">
        <v>32.700000000000003</v>
      </c>
      <c r="P1027">
        <v>2.8</v>
      </c>
      <c r="Q1027">
        <v>2</v>
      </c>
      <c r="R1027">
        <v>0</v>
      </c>
      <c r="S1027">
        <v>2.91</v>
      </c>
      <c r="T1027">
        <v>0.2</v>
      </c>
      <c r="U1027">
        <v>2.87</v>
      </c>
      <c r="V1027">
        <v>0.51</v>
      </c>
      <c r="W1027">
        <v>1.68</v>
      </c>
      <c r="X1027">
        <v>0</v>
      </c>
    </row>
    <row r="1028" spans="2:24" hidden="1" x14ac:dyDescent="0.35">
      <c r="B1028">
        <v>2018</v>
      </c>
      <c r="C1028" s="1">
        <v>43519</v>
      </c>
      <c r="D1028">
        <v>2411</v>
      </c>
      <c r="E1028" t="s">
        <v>23</v>
      </c>
      <c r="F1028" t="s">
        <v>38</v>
      </c>
      <c r="G1028" t="s">
        <v>49</v>
      </c>
      <c r="H1028">
        <v>65.62</v>
      </c>
      <c r="I1028">
        <v>71.47</v>
      </c>
      <c r="J1028">
        <v>0.39319999999999999</v>
      </c>
      <c r="K1028">
        <v>0.33850000000000002</v>
      </c>
      <c r="L1028">
        <v>0.26829999999999998</v>
      </c>
      <c r="M1028">
        <v>1.5</v>
      </c>
      <c r="N1028">
        <v>1.37</v>
      </c>
      <c r="O1028">
        <v>0.9</v>
      </c>
      <c r="P1028">
        <v>0.5</v>
      </c>
      <c r="Q1028">
        <v>1</v>
      </c>
      <c r="R1028">
        <v>1</v>
      </c>
      <c r="S1028">
        <v>2.2599999999999998</v>
      </c>
      <c r="T1028">
        <v>1.46</v>
      </c>
      <c r="U1028">
        <v>1.64</v>
      </c>
      <c r="V1028">
        <v>1.08</v>
      </c>
      <c r="W1028">
        <v>1.05</v>
      </c>
      <c r="X1028">
        <v>1.05</v>
      </c>
    </row>
    <row r="1029" spans="2:24" hidden="1" x14ac:dyDescent="0.35">
      <c r="B1029">
        <v>2018</v>
      </c>
      <c r="C1029" s="1">
        <v>43519</v>
      </c>
      <c r="D1029">
        <v>2411</v>
      </c>
      <c r="E1029" t="s">
        <v>23</v>
      </c>
      <c r="F1029" t="s">
        <v>25</v>
      </c>
      <c r="G1029" t="s">
        <v>30</v>
      </c>
      <c r="H1029">
        <v>73.290000000000006</v>
      </c>
      <c r="I1029">
        <v>71.900000000000006</v>
      </c>
      <c r="J1029">
        <v>0.45090000000000002</v>
      </c>
      <c r="K1029">
        <v>0.26550000000000001</v>
      </c>
      <c r="L1029">
        <v>0.28370000000000001</v>
      </c>
      <c r="M1029">
        <v>1.45</v>
      </c>
      <c r="N1029">
        <v>1.05</v>
      </c>
      <c r="O1029">
        <v>0.5</v>
      </c>
      <c r="P1029">
        <v>8.4</v>
      </c>
      <c r="Q1029">
        <v>1</v>
      </c>
      <c r="R1029">
        <v>4</v>
      </c>
      <c r="S1029">
        <v>1.06</v>
      </c>
      <c r="T1029">
        <v>1.9</v>
      </c>
      <c r="U1029">
        <v>1.96</v>
      </c>
      <c r="V1029">
        <v>0.61</v>
      </c>
      <c r="W1029">
        <v>1.05</v>
      </c>
      <c r="X1029">
        <v>3.39</v>
      </c>
    </row>
    <row r="1030" spans="2:24" hidden="1" x14ac:dyDescent="0.35">
      <c r="B1030">
        <v>2018</v>
      </c>
      <c r="C1030" s="1">
        <v>43520</v>
      </c>
      <c r="D1030">
        <v>2411</v>
      </c>
      <c r="E1030" t="s">
        <v>23</v>
      </c>
      <c r="F1030" t="s">
        <v>40</v>
      </c>
      <c r="G1030" t="s">
        <v>34</v>
      </c>
      <c r="H1030">
        <v>79.42</v>
      </c>
      <c r="I1030">
        <v>65.55</v>
      </c>
      <c r="J1030">
        <v>0.65149999999999997</v>
      </c>
      <c r="K1030">
        <v>0.1404</v>
      </c>
      <c r="L1030">
        <v>0.20810000000000001</v>
      </c>
      <c r="M1030">
        <v>2.1800000000000002</v>
      </c>
      <c r="N1030">
        <v>0.9</v>
      </c>
      <c r="O1030">
        <v>67</v>
      </c>
      <c r="P1030">
        <v>32.4</v>
      </c>
      <c r="Q1030">
        <v>2</v>
      </c>
      <c r="R1030">
        <v>0</v>
      </c>
      <c r="S1030">
        <v>2.42</v>
      </c>
      <c r="T1030">
        <v>0.81</v>
      </c>
      <c r="U1030">
        <v>2.5099999999999998</v>
      </c>
      <c r="V1030">
        <v>0.75</v>
      </c>
      <c r="W1030">
        <v>2.1</v>
      </c>
      <c r="X1030">
        <v>0</v>
      </c>
    </row>
    <row r="1031" spans="2:24" hidden="1" x14ac:dyDescent="0.35">
      <c r="B1031">
        <v>2018</v>
      </c>
      <c r="C1031" s="1">
        <v>43520</v>
      </c>
      <c r="D1031">
        <v>2411</v>
      </c>
      <c r="E1031" t="s">
        <v>23</v>
      </c>
      <c r="F1031" t="s">
        <v>39</v>
      </c>
      <c r="G1031" t="s">
        <v>41</v>
      </c>
      <c r="H1031">
        <v>78.92</v>
      </c>
      <c r="I1031">
        <v>92.14</v>
      </c>
      <c r="J1031">
        <v>0.22700000000000001</v>
      </c>
      <c r="K1031">
        <v>0.53990000000000005</v>
      </c>
      <c r="L1031">
        <v>0.2331</v>
      </c>
      <c r="M1031">
        <v>1.24</v>
      </c>
      <c r="N1031">
        <v>2.0099999999999998</v>
      </c>
      <c r="O1031">
        <v>70.2</v>
      </c>
      <c r="P1031">
        <v>100</v>
      </c>
      <c r="Q1031">
        <v>0</v>
      </c>
      <c r="R1031">
        <v>0</v>
      </c>
      <c r="S1031">
        <v>0.47</v>
      </c>
      <c r="T1031">
        <v>0.41</v>
      </c>
      <c r="U1031">
        <v>0.83</v>
      </c>
      <c r="V1031">
        <v>1.76</v>
      </c>
      <c r="W1031">
        <v>0</v>
      </c>
      <c r="X1031">
        <v>0</v>
      </c>
    </row>
    <row r="1032" spans="2:24" hidden="1" x14ac:dyDescent="0.35">
      <c r="B1032">
        <v>2018</v>
      </c>
      <c r="C1032" s="1">
        <v>43522</v>
      </c>
      <c r="D1032">
        <v>2411</v>
      </c>
      <c r="E1032" t="s">
        <v>23</v>
      </c>
      <c r="F1032" t="s">
        <v>44</v>
      </c>
      <c r="G1032" t="s">
        <v>49</v>
      </c>
      <c r="H1032">
        <v>54.41</v>
      </c>
      <c r="I1032">
        <v>71.16</v>
      </c>
      <c r="J1032">
        <v>0.2863</v>
      </c>
      <c r="K1032">
        <v>0.40839999999999999</v>
      </c>
      <c r="L1032">
        <v>0.30530000000000002</v>
      </c>
      <c r="M1032">
        <v>1</v>
      </c>
      <c r="N1032">
        <v>1.26</v>
      </c>
      <c r="O1032">
        <v>0.6</v>
      </c>
      <c r="P1032">
        <v>0.2</v>
      </c>
      <c r="Q1032">
        <v>1</v>
      </c>
      <c r="R1032">
        <v>0</v>
      </c>
      <c r="S1032">
        <v>1.59</v>
      </c>
      <c r="T1032">
        <v>0.55000000000000004</v>
      </c>
      <c r="U1032">
        <v>1.01</v>
      </c>
      <c r="V1032">
        <v>0.92</v>
      </c>
      <c r="W1032">
        <v>1.05</v>
      </c>
      <c r="X1032">
        <v>0</v>
      </c>
    </row>
    <row r="1033" spans="2:24" hidden="1" x14ac:dyDescent="0.35">
      <c r="B1033">
        <v>2018</v>
      </c>
      <c r="C1033" s="1">
        <v>43522</v>
      </c>
      <c r="D1033">
        <v>2411</v>
      </c>
      <c r="E1033" t="s">
        <v>23</v>
      </c>
      <c r="F1033" t="s">
        <v>25</v>
      </c>
      <c r="G1033" t="s">
        <v>45</v>
      </c>
      <c r="H1033">
        <v>72.03</v>
      </c>
      <c r="I1033">
        <v>61.41</v>
      </c>
      <c r="J1033">
        <v>0.53649999999999998</v>
      </c>
      <c r="K1033">
        <v>0.2021</v>
      </c>
      <c r="L1033">
        <v>0.26150000000000001</v>
      </c>
      <c r="M1033">
        <v>1.68</v>
      </c>
      <c r="N1033">
        <v>0.93</v>
      </c>
      <c r="O1033">
        <v>1.2</v>
      </c>
      <c r="P1033">
        <v>26.2</v>
      </c>
      <c r="Q1033">
        <v>2</v>
      </c>
      <c r="R1033">
        <v>1</v>
      </c>
      <c r="S1033">
        <v>1.69</v>
      </c>
      <c r="T1033">
        <v>1.34</v>
      </c>
      <c r="U1033">
        <v>1.96</v>
      </c>
      <c r="V1033">
        <v>1.1200000000000001</v>
      </c>
      <c r="W1033">
        <v>2.1</v>
      </c>
      <c r="X1033">
        <v>1.05</v>
      </c>
    </row>
    <row r="1034" spans="2:24" hidden="1" x14ac:dyDescent="0.35">
      <c r="B1034">
        <v>2018</v>
      </c>
      <c r="C1034" s="1">
        <v>43522</v>
      </c>
      <c r="D1034">
        <v>2411</v>
      </c>
      <c r="E1034" t="s">
        <v>23</v>
      </c>
      <c r="F1034" t="s">
        <v>47</v>
      </c>
      <c r="G1034" t="s">
        <v>28</v>
      </c>
      <c r="H1034">
        <v>57.08</v>
      </c>
      <c r="I1034">
        <v>69.2</v>
      </c>
      <c r="J1034">
        <v>0.37040000000000001</v>
      </c>
      <c r="K1034">
        <v>0.3417</v>
      </c>
      <c r="L1034">
        <v>0.2878</v>
      </c>
      <c r="M1034">
        <v>1.3</v>
      </c>
      <c r="N1034">
        <v>1.24</v>
      </c>
      <c r="O1034">
        <v>62.1</v>
      </c>
      <c r="P1034">
        <v>2.2000000000000002</v>
      </c>
      <c r="Q1034">
        <v>0</v>
      </c>
      <c r="R1034">
        <v>3</v>
      </c>
      <c r="S1034">
        <v>0.33</v>
      </c>
      <c r="T1034">
        <v>1.17</v>
      </c>
      <c r="U1034">
        <v>1.31</v>
      </c>
      <c r="V1034">
        <v>1.08</v>
      </c>
      <c r="W1034">
        <v>0</v>
      </c>
      <c r="X1034">
        <v>2.63</v>
      </c>
    </row>
    <row r="1035" spans="2:24" hidden="1" x14ac:dyDescent="0.35">
      <c r="B1035">
        <v>2018</v>
      </c>
      <c r="C1035" s="1">
        <v>43522</v>
      </c>
      <c r="D1035">
        <v>2411</v>
      </c>
      <c r="E1035" t="s">
        <v>23</v>
      </c>
      <c r="F1035" t="s">
        <v>46</v>
      </c>
      <c r="G1035" t="s">
        <v>32</v>
      </c>
      <c r="H1035">
        <v>66.58</v>
      </c>
      <c r="I1035">
        <v>63.34</v>
      </c>
      <c r="J1035">
        <v>0.46579999999999999</v>
      </c>
      <c r="K1035">
        <v>0.25280000000000002</v>
      </c>
      <c r="L1035">
        <v>0.28149999999999997</v>
      </c>
      <c r="M1035">
        <v>1.48</v>
      </c>
      <c r="N1035">
        <v>1.02</v>
      </c>
      <c r="O1035">
        <v>19</v>
      </c>
      <c r="P1035">
        <v>16</v>
      </c>
      <c r="Q1035">
        <v>2</v>
      </c>
      <c r="R1035">
        <v>0</v>
      </c>
      <c r="S1035">
        <v>0.75</v>
      </c>
      <c r="T1035">
        <v>1.76</v>
      </c>
      <c r="U1035">
        <v>0.77</v>
      </c>
      <c r="V1035">
        <v>1.54</v>
      </c>
      <c r="W1035">
        <v>2.1</v>
      </c>
      <c r="X1035">
        <v>0</v>
      </c>
    </row>
    <row r="1036" spans="2:24" hidden="1" x14ac:dyDescent="0.35">
      <c r="B1036">
        <v>2018</v>
      </c>
      <c r="C1036" s="1">
        <v>43523</v>
      </c>
      <c r="D1036">
        <v>2411</v>
      </c>
      <c r="E1036" t="s">
        <v>23</v>
      </c>
      <c r="F1036" t="s">
        <v>34</v>
      </c>
      <c r="G1036" t="s">
        <v>48</v>
      </c>
      <c r="H1036">
        <v>64.86</v>
      </c>
      <c r="I1036">
        <v>57.1</v>
      </c>
      <c r="J1036">
        <v>0.5383</v>
      </c>
      <c r="K1036">
        <v>0.21149999999999999</v>
      </c>
      <c r="L1036">
        <v>0.25019999999999998</v>
      </c>
      <c r="M1036">
        <v>1.8</v>
      </c>
      <c r="N1036">
        <v>1.04</v>
      </c>
      <c r="O1036">
        <v>50.7</v>
      </c>
      <c r="P1036">
        <v>26.7</v>
      </c>
      <c r="Q1036">
        <v>2</v>
      </c>
      <c r="R1036">
        <v>0</v>
      </c>
      <c r="S1036">
        <v>1.17</v>
      </c>
      <c r="T1036">
        <v>0.93</v>
      </c>
      <c r="U1036">
        <v>1.07</v>
      </c>
      <c r="V1036">
        <v>0.8</v>
      </c>
      <c r="W1036">
        <v>2.1</v>
      </c>
      <c r="X1036">
        <v>0</v>
      </c>
    </row>
    <row r="1037" spans="2:24" hidden="1" x14ac:dyDescent="0.35">
      <c r="B1037">
        <v>2018</v>
      </c>
      <c r="C1037" s="1">
        <v>43523</v>
      </c>
      <c r="D1037">
        <v>2411</v>
      </c>
      <c r="E1037" t="s">
        <v>23</v>
      </c>
      <c r="F1037" t="s">
        <v>40</v>
      </c>
      <c r="G1037" t="s">
        <v>38</v>
      </c>
      <c r="H1037">
        <v>80.069999999999993</v>
      </c>
      <c r="I1037">
        <v>65.959999999999994</v>
      </c>
      <c r="J1037">
        <v>0.68110000000000004</v>
      </c>
      <c r="K1037">
        <v>0.13039999999999999</v>
      </c>
      <c r="L1037">
        <v>0.1885</v>
      </c>
      <c r="M1037">
        <v>2.42</v>
      </c>
      <c r="N1037">
        <v>0.97</v>
      </c>
      <c r="O1037">
        <v>76.599999999999994</v>
      </c>
      <c r="P1037">
        <v>0.5</v>
      </c>
      <c r="Q1037">
        <v>5</v>
      </c>
      <c r="R1037">
        <v>1</v>
      </c>
      <c r="S1037">
        <v>2.04</v>
      </c>
      <c r="T1037">
        <v>1.0900000000000001</v>
      </c>
      <c r="U1037">
        <v>2.16</v>
      </c>
      <c r="V1037">
        <v>1.46</v>
      </c>
      <c r="W1037">
        <v>5.0599999999999996</v>
      </c>
      <c r="X1037">
        <v>1.05</v>
      </c>
    </row>
    <row r="1038" spans="2:24" hidden="1" x14ac:dyDescent="0.35">
      <c r="B1038">
        <v>2018</v>
      </c>
      <c r="C1038" s="1">
        <v>43523</v>
      </c>
      <c r="D1038">
        <v>2411</v>
      </c>
      <c r="E1038" t="s">
        <v>23</v>
      </c>
      <c r="F1038" t="s">
        <v>30</v>
      </c>
      <c r="G1038" t="s">
        <v>39</v>
      </c>
      <c r="H1038">
        <v>72.87</v>
      </c>
      <c r="I1038">
        <v>79.02</v>
      </c>
      <c r="J1038">
        <v>0.31769999999999998</v>
      </c>
      <c r="K1038">
        <v>0.41110000000000002</v>
      </c>
      <c r="L1038">
        <v>0.2712</v>
      </c>
      <c r="M1038">
        <v>1.29</v>
      </c>
      <c r="N1038">
        <v>1.5</v>
      </c>
      <c r="O1038">
        <v>2.2999999999999998</v>
      </c>
      <c r="P1038">
        <v>56.2</v>
      </c>
      <c r="Q1038">
        <v>1</v>
      </c>
      <c r="R1038">
        <v>3</v>
      </c>
      <c r="S1038">
        <v>1.73</v>
      </c>
      <c r="T1038">
        <v>1.63</v>
      </c>
      <c r="U1038">
        <v>1.81</v>
      </c>
      <c r="V1038">
        <v>1.86</v>
      </c>
      <c r="W1038">
        <v>1.05</v>
      </c>
      <c r="X1038">
        <v>2.81</v>
      </c>
    </row>
    <row r="1039" spans="2:24" hidden="1" x14ac:dyDescent="0.35">
      <c r="B1039">
        <v>2018</v>
      </c>
      <c r="C1039" s="1">
        <v>43523</v>
      </c>
      <c r="D1039">
        <v>2411</v>
      </c>
      <c r="E1039" t="s">
        <v>23</v>
      </c>
      <c r="F1039" t="s">
        <v>36</v>
      </c>
      <c r="G1039" t="s">
        <v>43</v>
      </c>
      <c r="H1039">
        <v>93.65</v>
      </c>
      <c r="I1039">
        <v>66.760000000000005</v>
      </c>
      <c r="J1039">
        <v>0.90769999999999995</v>
      </c>
      <c r="K1039">
        <v>1.8599999999999998E-2</v>
      </c>
      <c r="L1039">
        <v>7.3700000000000002E-2</v>
      </c>
      <c r="M1039">
        <v>3.29</v>
      </c>
      <c r="N1039">
        <v>0.36</v>
      </c>
      <c r="O1039">
        <v>100</v>
      </c>
      <c r="P1039">
        <v>0.1</v>
      </c>
      <c r="Q1039">
        <v>1</v>
      </c>
      <c r="R1039">
        <v>0</v>
      </c>
      <c r="S1039">
        <v>3.7</v>
      </c>
      <c r="T1039">
        <v>0.49</v>
      </c>
      <c r="U1039">
        <v>3.3</v>
      </c>
      <c r="V1039">
        <v>0.48</v>
      </c>
      <c r="W1039">
        <v>1.05</v>
      </c>
      <c r="X1039">
        <v>0</v>
      </c>
    </row>
    <row r="1040" spans="2:24" hidden="1" x14ac:dyDescent="0.35">
      <c r="B1040">
        <v>2018</v>
      </c>
      <c r="C1040" s="1">
        <v>43523</v>
      </c>
      <c r="D1040">
        <v>2411</v>
      </c>
      <c r="E1040" t="s">
        <v>23</v>
      </c>
      <c r="F1040" t="s">
        <v>42</v>
      </c>
      <c r="G1040" t="s">
        <v>29</v>
      </c>
      <c r="H1040">
        <v>83.83</v>
      </c>
      <c r="I1040">
        <v>84.39</v>
      </c>
      <c r="J1040">
        <v>0.47889999999999999</v>
      </c>
      <c r="K1040">
        <v>0.2671</v>
      </c>
      <c r="L1040">
        <v>0.254</v>
      </c>
      <c r="M1040">
        <v>1.75</v>
      </c>
      <c r="N1040">
        <v>1.25</v>
      </c>
      <c r="O1040">
        <v>90.1</v>
      </c>
      <c r="P1040">
        <v>40.4</v>
      </c>
      <c r="Q1040">
        <v>2</v>
      </c>
      <c r="R1040">
        <v>0</v>
      </c>
      <c r="S1040">
        <v>0.56000000000000005</v>
      </c>
      <c r="T1040">
        <v>0.83</v>
      </c>
      <c r="U1040">
        <v>1.01</v>
      </c>
      <c r="V1040">
        <v>1.1499999999999999</v>
      </c>
      <c r="W1040">
        <v>1.74</v>
      </c>
      <c r="X1040">
        <v>0</v>
      </c>
    </row>
    <row r="1041" spans="2:24" hidden="1" x14ac:dyDescent="0.35">
      <c r="B1041">
        <v>2018</v>
      </c>
      <c r="C1041" s="1">
        <v>43523</v>
      </c>
      <c r="D1041">
        <v>2411</v>
      </c>
      <c r="E1041" t="s">
        <v>23</v>
      </c>
      <c r="F1041" t="s">
        <v>41</v>
      </c>
      <c r="G1041" t="s">
        <v>35</v>
      </c>
      <c r="H1041">
        <v>92.29</v>
      </c>
      <c r="I1041">
        <v>70.510000000000005</v>
      </c>
      <c r="J1041">
        <v>0.85729999999999995</v>
      </c>
      <c r="K1041">
        <v>3.0800000000000001E-2</v>
      </c>
      <c r="L1041">
        <v>0.1119</v>
      </c>
      <c r="M1041">
        <v>2.75</v>
      </c>
      <c r="N1041">
        <v>0.37</v>
      </c>
      <c r="O1041">
        <v>100</v>
      </c>
      <c r="P1041">
        <v>0</v>
      </c>
      <c r="Q1041">
        <v>5</v>
      </c>
      <c r="R1041">
        <v>0</v>
      </c>
      <c r="S1041">
        <v>2.89</v>
      </c>
      <c r="T1041">
        <v>0.66</v>
      </c>
      <c r="U1041">
        <v>2.63</v>
      </c>
      <c r="V1041">
        <v>0.53</v>
      </c>
      <c r="W1041">
        <v>4.7</v>
      </c>
      <c r="X1041">
        <v>0</v>
      </c>
    </row>
    <row r="1042" spans="2:24" hidden="1" x14ac:dyDescent="0.35">
      <c r="B1042">
        <v>2018</v>
      </c>
      <c r="C1042" s="1">
        <v>43526</v>
      </c>
      <c r="D1042">
        <v>2411</v>
      </c>
      <c r="E1042" t="s">
        <v>23</v>
      </c>
      <c r="F1042" t="s">
        <v>29</v>
      </c>
      <c r="G1042" t="s">
        <v>40</v>
      </c>
      <c r="H1042">
        <v>84.4</v>
      </c>
      <c r="I1042">
        <v>80.44</v>
      </c>
      <c r="J1042">
        <v>0.48859999999999998</v>
      </c>
      <c r="K1042">
        <v>0.26669999999999999</v>
      </c>
      <c r="L1042">
        <v>0.24479999999999999</v>
      </c>
      <c r="M1042">
        <v>1.86</v>
      </c>
      <c r="N1042">
        <v>1.32</v>
      </c>
      <c r="O1042">
        <v>83.5</v>
      </c>
      <c r="P1042">
        <v>100</v>
      </c>
      <c r="Q1042">
        <v>1</v>
      </c>
      <c r="R1042">
        <v>1</v>
      </c>
      <c r="S1042">
        <v>1.65</v>
      </c>
      <c r="T1042">
        <v>3.22</v>
      </c>
      <c r="U1042">
        <v>1.33</v>
      </c>
      <c r="V1042">
        <v>1.36</v>
      </c>
      <c r="W1042">
        <v>1.05</v>
      </c>
      <c r="X1042">
        <v>1.05</v>
      </c>
    </row>
    <row r="1043" spans="2:24" hidden="1" x14ac:dyDescent="0.35">
      <c r="B1043">
        <v>2018</v>
      </c>
      <c r="C1043" s="1">
        <v>43526</v>
      </c>
      <c r="D1043">
        <v>2411</v>
      </c>
      <c r="E1043" t="s">
        <v>23</v>
      </c>
      <c r="F1043" t="s">
        <v>49</v>
      </c>
      <c r="G1043" t="s">
        <v>47</v>
      </c>
      <c r="H1043">
        <v>70.010000000000005</v>
      </c>
      <c r="I1043">
        <v>56.02</v>
      </c>
      <c r="J1043">
        <v>0.53520000000000001</v>
      </c>
      <c r="K1043">
        <v>0.19650000000000001</v>
      </c>
      <c r="L1043">
        <v>0.26829999999999998</v>
      </c>
      <c r="M1043">
        <v>1.61</v>
      </c>
      <c r="N1043">
        <v>0.87</v>
      </c>
      <c r="O1043">
        <v>0</v>
      </c>
      <c r="P1043">
        <v>53</v>
      </c>
      <c r="Q1043">
        <v>2</v>
      </c>
      <c r="R1043">
        <v>0</v>
      </c>
      <c r="S1043">
        <v>3.48</v>
      </c>
      <c r="T1043">
        <v>0.92</v>
      </c>
      <c r="U1043">
        <v>1.78</v>
      </c>
      <c r="V1043">
        <v>1.66</v>
      </c>
      <c r="W1043">
        <v>2.1</v>
      </c>
      <c r="X1043">
        <v>0</v>
      </c>
    </row>
    <row r="1044" spans="2:24" hidden="1" x14ac:dyDescent="0.35">
      <c r="B1044">
        <v>2018</v>
      </c>
      <c r="C1044" s="1">
        <v>43526</v>
      </c>
      <c r="D1044">
        <v>2411</v>
      </c>
      <c r="E1044" t="s">
        <v>23</v>
      </c>
      <c r="F1044" t="s">
        <v>38</v>
      </c>
      <c r="G1044" t="s">
        <v>36</v>
      </c>
      <c r="H1044">
        <v>65.28</v>
      </c>
      <c r="I1044">
        <v>93.79</v>
      </c>
      <c r="J1044">
        <v>7.4099999999999999E-2</v>
      </c>
      <c r="K1044">
        <v>0.79520000000000002</v>
      </c>
      <c r="L1044">
        <v>0.13070000000000001</v>
      </c>
      <c r="M1044">
        <v>0.88</v>
      </c>
      <c r="N1044">
        <v>3.06</v>
      </c>
      <c r="O1044">
        <v>0.4</v>
      </c>
      <c r="P1044">
        <v>100</v>
      </c>
      <c r="Q1044">
        <v>0</v>
      </c>
      <c r="R1044">
        <v>1</v>
      </c>
      <c r="S1044">
        <v>0</v>
      </c>
      <c r="T1044">
        <v>1.66</v>
      </c>
      <c r="U1044">
        <v>0.22</v>
      </c>
      <c r="V1044">
        <v>2.36</v>
      </c>
      <c r="W1044">
        <v>0</v>
      </c>
      <c r="X1044">
        <v>1.05</v>
      </c>
    </row>
    <row r="1045" spans="2:24" hidden="1" x14ac:dyDescent="0.35">
      <c r="B1045">
        <v>2018</v>
      </c>
      <c r="C1045" s="1">
        <v>43526</v>
      </c>
      <c r="D1045">
        <v>2411</v>
      </c>
      <c r="E1045" t="s">
        <v>23</v>
      </c>
      <c r="F1045" t="s">
        <v>39</v>
      </c>
      <c r="G1045" t="s">
        <v>34</v>
      </c>
      <c r="H1045">
        <v>79.37</v>
      </c>
      <c r="I1045">
        <v>65.31</v>
      </c>
      <c r="J1045">
        <v>0.66039999999999999</v>
      </c>
      <c r="K1045">
        <v>0.12909999999999999</v>
      </c>
      <c r="L1045">
        <v>0.21049999999999999</v>
      </c>
      <c r="M1045">
        <v>2.11</v>
      </c>
      <c r="N1045">
        <v>0.81</v>
      </c>
      <c r="O1045">
        <v>68.3</v>
      </c>
      <c r="P1045">
        <v>21</v>
      </c>
      <c r="Q1045">
        <v>3</v>
      </c>
      <c r="R1045">
        <v>2</v>
      </c>
      <c r="S1045">
        <v>2.71</v>
      </c>
      <c r="T1045">
        <v>0.59</v>
      </c>
      <c r="U1045">
        <v>1.66</v>
      </c>
      <c r="V1045">
        <v>0.92</v>
      </c>
      <c r="W1045">
        <v>3.15</v>
      </c>
      <c r="X1045">
        <v>2.1</v>
      </c>
    </row>
    <row r="1046" spans="2:24" hidden="1" x14ac:dyDescent="0.35">
      <c r="B1046">
        <v>2018</v>
      </c>
      <c r="C1046" s="1">
        <v>43526</v>
      </c>
      <c r="D1046">
        <v>2411</v>
      </c>
      <c r="E1046" t="s">
        <v>23</v>
      </c>
      <c r="F1046" t="s">
        <v>32</v>
      </c>
      <c r="G1046" t="s">
        <v>30</v>
      </c>
      <c r="H1046">
        <v>63.79</v>
      </c>
      <c r="I1046">
        <v>72.27</v>
      </c>
      <c r="J1046">
        <v>0.3674</v>
      </c>
      <c r="K1046">
        <v>0.3528</v>
      </c>
      <c r="L1046">
        <v>0.27979999999999999</v>
      </c>
      <c r="M1046">
        <v>1.35</v>
      </c>
      <c r="N1046">
        <v>1.32</v>
      </c>
      <c r="O1046">
        <v>18.2</v>
      </c>
      <c r="P1046">
        <v>4</v>
      </c>
      <c r="Q1046">
        <v>1</v>
      </c>
      <c r="R1046">
        <v>3</v>
      </c>
      <c r="S1046">
        <v>1.95</v>
      </c>
      <c r="T1046">
        <v>0.6</v>
      </c>
      <c r="U1046">
        <v>2.19</v>
      </c>
      <c r="V1046">
        <v>1.1000000000000001</v>
      </c>
      <c r="W1046">
        <v>1.05</v>
      </c>
      <c r="X1046">
        <v>3.01</v>
      </c>
    </row>
    <row r="1047" spans="2:24" hidden="1" x14ac:dyDescent="0.35">
      <c r="B1047">
        <v>2018</v>
      </c>
      <c r="C1047" s="1">
        <v>43526</v>
      </c>
      <c r="D1047">
        <v>2411</v>
      </c>
      <c r="E1047" t="s">
        <v>23</v>
      </c>
      <c r="F1047" t="s">
        <v>45</v>
      </c>
      <c r="G1047" t="s">
        <v>44</v>
      </c>
      <c r="H1047">
        <v>61.48</v>
      </c>
      <c r="I1047">
        <v>55.83</v>
      </c>
      <c r="J1047">
        <v>0.54249999999999998</v>
      </c>
      <c r="K1047">
        <v>0.1741</v>
      </c>
      <c r="L1047">
        <v>0.28349999999999997</v>
      </c>
      <c r="M1047">
        <v>1.49</v>
      </c>
      <c r="N1047">
        <v>0.71</v>
      </c>
      <c r="O1047">
        <v>35.6</v>
      </c>
      <c r="P1047">
        <v>2.2999999999999998</v>
      </c>
      <c r="Q1047">
        <v>1</v>
      </c>
      <c r="R1047">
        <v>0</v>
      </c>
      <c r="S1047">
        <v>1.06</v>
      </c>
      <c r="T1047">
        <v>0.22</v>
      </c>
      <c r="U1047">
        <v>1.57</v>
      </c>
      <c r="V1047">
        <v>0.28000000000000003</v>
      </c>
      <c r="W1047">
        <v>1.05</v>
      </c>
      <c r="X1047">
        <v>0</v>
      </c>
    </row>
    <row r="1048" spans="2:24" hidden="1" x14ac:dyDescent="0.35">
      <c r="B1048">
        <v>2018</v>
      </c>
      <c r="C1048" s="1">
        <v>43526</v>
      </c>
      <c r="D1048">
        <v>2411</v>
      </c>
      <c r="E1048" t="s">
        <v>23</v>
      </c>
      <c r="F1048" t="s">
        <v>43</v>
      </c>
      <c r="G1048" t="s">
        <v>46</v>
      </c>
      <c r="H1048">
        <v>66.58</v>
      </c>
      <c r="I1048">
        <v>66.239999999999995</v>
      </c>
      <c r="J1048">
        <v>0.4516</v>
      </c>
      <c r="K1048">
        <v>0.2651</v>
      </c>
      <c r="L1048">
        <v>0.28320000000000001</v>
      </c>
      <c r="M1048">
        <v>1.46</v>
      </c>
      <c r="N1048">
        <v>1.05</v>
      </c>
      <c r="O1048">
        <v>0</v>
      </c>
      <c r="P1048">
        <v>3.5</v>
      </c>
      <c r="Q1048">
        <v>2</v>
      </c>
      <c r="R1048">
        <v>0</v>
      </c>
      <c r="S1048">
        <v>2.13</v>
      </c>
      <c r="T1048">
        <v>1.18</v>
      </c>
      <c r="U1048">
        <v>1.07</v>
      </c>
      <c r="V1048">
        <v>1.55</v>
      </c>
      <c r="W1048">
        <v>2.1</v>
      </c>
      <c r="X1048">
        <v>0</v>
      </c>
    </row>
    <row r="1049" spans="2:24" hidden="1" x14ac:dyDescent="0.35">
      <c r="B1049">
        <v>2018</v>
      </c>
      <c r="C1049" s="1">
        <v>43527</v>
      </c>
      <c r="D1049">
        <v>2411</v>
      </c>
      <c r="E1049" t="s">
        <v>23</v>
      </c>
      <c r="F1049" t="s">
        <v>35</v>
      </c>
      <c r="G1049" t="s">
        <v>25</v>
      </c>
      <c r="H1049">
        <v>69.400000000000006</v>
      </c>
      <c r="I1049">
        <v>71.78</v>
      </c>
      <c r="J1049">
        <v>0.39379999999999998</v>
      </c>
      <c r="K1049">
        <v>0.33650000000000002</v>
      </c>
      <c r="L1049">
        <v>0.2697</v>
      </c>
      <c r="M1049">
        <v>1.49</v>
      </c>
      <c r="N1049">
        <v>1.36</v>
      </c>
      <c r="O1049">
        <v>0</v>
      </c>
      <c r="P1049">
        <v>0</v>
      </c>
      <c r="Q1049">
        <v>2</v>
      </c>
      <c r="R1049">
        <v>1</v>
      </c>
      <c r="S1049">
        <v>1.51</v>
      </c>
      <c r="T1049">
        <v>0.98</v>
      </c>
      <c r="U1049">
        <v>1.02</v>
      </c>
      <c r="V1049">
        <v>1.36</v>
      </c>
      <c r="W1049">
        <v>2.1</v>
      </c>
      <c r="X1049">
        <v>1.05</v>
      </c>
    </row>
    <row r="1050" spans="2:24" hidden="1" x14ac:dyDescent="0.35">
      <c r="B1050">
        <v>2018</v>
      </c>
      <c r="C1050" s="1">
        <v>43527</v>
      </c>
      <c r="D1050">
        <v>2411</v>
      </c>
      <c r="E1050" t="s">
        <v>23</v>
      </c>
      <c r="F1050" t="s">
        <v>48</v>
      </c>
      <c r="G1050" t="s">
        <v>42</v>
      </c>
      <c r="H1050">
        <v>56.99</v>
      </c>
      <c r="I1050">
        <v>84.02</v>
      </c>
      <c r="J1050">
        <v>0.13539999999999999</v>
      </c>
      <c r="K1050">
        <v>0.66039999999999999</v>
      </c>
      <c r="L1050">
        <v>0.20419999999999999</v>
      </c>
      <c r="M1050">
        <v>0.89</v>
      </c>
      <c r="N1050">
        <v>2.21</v>
      </c>
      <c r="O1050">
        <v>12.3</v>
      </c>
      <c r="P1050">
        <v>85.6</v>
      </c>
      <c r="Q1050">
        <v>1</v>
      </c>
      <c r="R1050">
        <v>2</v>
      </c>
      <c r="S1050">
        <v>1.1499999999999999</v>
      </c>
      <c r="T1050">
        <v>1.52</v>
      </c>
      <c r="U1050">
        <v>1.06</v>
      </c>
      <c r="V1050">
        <v>2.2799999999999998</v>
      </c>
      <c r="W1050">
        <v>1.05</v>
      </c>
      <c r="X1050">
        <v>2.1</v>
      </c>
    </row>
    <row r="1051" spans="2:24" hidden="1" x14ac:dyDescent="0.35">
      <c r="B1051">
        <v>2018</v>
      </c>
      <c r="C1051" s="1">
        <v>43527</v>
      </c>
      <c r="D1051">
        <v>2411</v>
      </c>
      <c r="E1051" t="s">
        <v>23</v>
      </c>
      <c r="F1051" t="s">
        <v>28</v>
      </c>
      <c r="G1051" t="s">
        <v>41</v>
      </c>
      <c r="H1051">
        <v>70.39</v>
      </c>
      <c r="I1051">
        <v>92.77</v>
      </c>
      <c r="J1051">
        <v>0.10539999999999999</v>
      </c>
      <c r="K1051">
        <v>0.69910000000000005</v>
      </c>
      <c r="L1051">
        <v>0.19550000000000001</v>
      </c>
      <c r="M1051">
        <v>0.72</v>
      </c>
      <c r="N1051">
        <v>2.2000000000000002</v>
      </c>
      <c r="O1051">
        <v>0</v>
      </c>
      <c r="P1051">
        <v>100</v>
      </c>
      <c r="Q1051">
        <v>0</v>
      </c>
      <c r="R1051">
        <v>0</v>
      </c>
      <c r="S1051">
        <v>0.35</v>
      </c>
      <c r="T1051">
        <v>1.08</v>
      </c>
      <c r="U1051">
        <v>1.1299999999999999</v>
      </c>
      <c r="V1051">
        <v>2.29</v>
      </c>
      <c r="W1051">
        <v>0</v>
      </c>
      <c r="X1051">
        <v>0</v>
      </c>
    </row>
    <row r="1052" spans="2:24" hidden="1" x14ac:dyDescent="0.35">
      <c r="B1052">
        <v>2018</v>
      </c>
      <c r="C1052" s="1">
        <v>43533</v>
      </c>
      <c r="D1052">
        <v>2411</v>
      </c>
      <c r="E1052" t="s">
        <v>23</v>
      </c>
      <c r="F1052" t="s">
        <v>30</v>
      </c>
      <c r="G1052" t="s">
        <v>45</v>
      </c>
      <c r="H1052">
        <v>71.91</v>
      </c>
      <c r="I1052">
        <v>62.35</v>
      </c>
      <c r="J1052">
        <v>0.53920000000000001</v>
      </c>
      <c r="K1052">
        <v>0.19839999999999999</v>
      </c>
      <c r="L1052">
        <v>0.26229999999999998</v>
      </c>
      <c r="M1052">
        <v>1.67</v>
      </c>
      <c r="N1052">
        <v>0.91</v>
      </c>
      <c r="O1052">
        <v>1.3</v>
      </c>
      <c r="P1052">
        <v>11.5</v>
      </c>
      <c r="Q1052">
        <v>1</v>
      </c>
      <c r="R1052">
        <v>2</v>
      </c>
      <c r="S1052">
        <v>1.65</v>
      </c>
      <c r="T1052">
        <v>0.15</v>
      </c>
      <c r="U1052">
        <v>1.91</v>
      </c>
      <c r="V1052">
        <v>0.69</v>
      </c>
      <c r="W1052">
        <v>1.05</v>
      </c>
      <c r="X1052">
        <v>2.1</v>
      </c>
    </row>
    <row r="1053" spans="2:24" hidden="1" x14ac:dyDescent="0.35">
      <c r="B1053">
        <v>2018</v>
      </c>
      <c r="C1053" s="1">
        <v>43533</v>
      </c>
      <c r="D1053">
        <v>2411</v>
      </c>
      <c r="E1053" t="s">
        <v>23</v>
      </c>
      <c r="F1053" t="s">
        <v>44</v>
      </c>
      <c r="G1053" t="s">
        <v>38</v>
      </c>
      <c r="H1053">
        <v>55.46</v>
      </c>
      <c r="I1053">
        <v>64.849999999999994</v>
      </c>
      <c r="J1053">
        <v>0.3211</v>
      </c>
      <c r="K1053">
        <v>0.38550000000000001</v>
      </c>
      <c r="L1053">
        <v>0.29339999999999999</v>
      </c>
      <c r="M1053">
        <v>1.1599999999999999</v>
      </c>
      <c r="N1053">
        <v>1.29</v>
      </c>
      <c r="O1053">
        <v>0.7</v>
      </c>
      <c r="P1053">
        <v>0.6</v>
      </c>
      <c r="Q1053">
        <v>0</v>
      </c>
      <c r="R1053">
        <v>2</v>
      </c>
      <c r="S1053">
        <v>0.38</v>
      </c>
      <c r="T1053">
        <v>2.0099999999999998</v>
      </c>
      <c r="U1053">
        <v>1.06</v>
      </c>
      <c r="V1053">
        <v>1.36</v>
      </c>
      <c r="W1053">
        <v>0</v>
      </c>
      <c r="X1053">
        <v>2.1</v>
      </c>
    </row>
    <row r="1054" spans="2:24" hidden="1" x14ac:dyDescent="0.35">
      <c r="B1054">
        <v>2018</v>
      </c>
      <c r="C1054" s="1">
        <v>43533</v>
      </c>
      <c r="D1054">
        <v>2411</v>
      </c>
      <c r="E1054" t="s">
        <v>23</v>
      </c>
      <c r="F1054" t="s">
        <v>25</v>
      </c>
      <c r="G1054" t="s">
        <v>48</v>
      </c>
      <c r="H1054">
        <v>71.650000000000006</v>
      </c>
      <c r="I1054">
        <v>57.16</v>
      </c>
      <c r="J1054">
        <v>0.58819999999999995</v>
      </c>
      <c r="K1054">
        <v>0.17580000000000001</v>
      </c>
      <c r="L1054">
        <v>0.23599999999999999</v>
      </c>
      <c r="M1054">
        <v>1.92</v>
      </c>
      <c r="N1054">
        <v>0.94</v>
      </c>
      <c r="O1054">
        <v>0.1</v>
      </c>
      <c r="P1054">
        <v>8</v>
      </c>
      <c r="Q1054">
        <v>3</v>
      </c>
      <c r="R1054">
        <v>1</v>
      </c>
      <c r="S1054">
        <v>2.0499999999999998</v>
      </c>
      <c r="T1054">
        <v>0.21</v>
      </c>
      <c r="U1054">
        <v>1.72</v>
      </c>
      <c r="V1054">
        <v>0.52</v>
      </c>
      <c r="W1054">
        <v>2.75</v>
      </c>
      <c r="X1054">
        <v>1.05</v>
      </c>
    </row>
    <row r="1055" spans="2:24" hidden="1" x14ac:dyDescent="0.35">
      <c r="B1055">
        <v>2018</v>
      </c>
      <c r="C1055" s="1">
        <v>43533</v>
      </c>
      <c r="D1055">
        <v>2411</v>
      </c>
      <c r="E1055" t="s">
        <v>23</v>
      </c>
      <c r="F1055" t="s">
        <v>34</v>
      </c>
      <c r="G1055" t="s">
        <v>29</v>
      </c>
      <c r="H1055">
        <v>65.13</v>
      </c>
      <c r="I1055">
        <v>83.49</v>
      </c>
      <c r="J1055">
        <v>0.20080000000000001</v>
      </c>
      <c r="K1055">
        <v>0.55579999999999996</v>
      </c>
      <c r="L1055">
        <v>0.24340000000000001</v>
      </c>
      <c r="M1055">
        <v>1.03</v>
      </c>
      <c r="N1055">
        <v>1.86</v>
      </c>
      <c r="O1055">
        <v>22.7</v>
      </c>
      <c r="P1055">
        <v>76.5</v>
      </c>
      <c r="Q1055">
        <v>2</v>
      </c>
      <c r="R1055">
        <v>1</v>
      </c>
      <c r="S1055">
        <v>2.08</v>
      </c>
      <c r="T1055">
        <v>1.64</v>
      </c>
      <c r="U1055">
        <v>1.04</v>
      </c>
      <c r="V1055">
        <v>1.61</v>
      </c>
      <c r="W1055">
        <v>2.1</v>
      </c>
      <c r="X1055">
        <v>1.05</v>
      </c>
    </row>
    <row r="1056" spans="2:24" hidden="1" x14ac:dyDescent="0.35">
      <c r="B1056">
        <v>2018</v>
      </c>
      <c r="C1056" s="1">
        <v>43533</v>
      </c>
      <c r="D1056">
        <v>2411</v>
      </c>
      <c r="E1056" t="s">
        <v>23</v>
      </c>
      <c r="F1056" t="s">
        <v>46</v>
      </c>
      <c r="G1056" t="s">
        <v>28</v>
      </c>
      <c r="H1056">
        <v>65.7</v>
      </c>
      <c r="I1056">
        <v>70.599999999999994</v>
      </c>
      <c r="J1056">
        <v>0.38900000000000001</v>
      </c>
      <c r="K1056">
        <v>0.30909999999999999</v>
      </c>
      <c r="L1056">
        <v>0.3019</v>
      </c>
      <c r="M1056">
        <v>1.25</v>
      </c>
      <c r="N1056">
        <v>1.08</v>
      </c>
      <c r="O1056">
        <v>6.9</v>
      </c>
      <c r="P1056">
        <v>0</v>
      </c>
      <c r="Q1056">
        <v>3</v>
      </c>
      <c r="R1056">
        <v>2</v>
      </c>
      <c r="S1056">
        <v>2.94</v>
      </c>
      <c r="T1056">
        <v>1.03</v>
      </c>
      <c r="U1056">
        <v>1.17</v>
      </c>
      <c r="V1056">
        <v>0.88</v>
      </c>
      <c r="W1056">
        <v>3.15</v>
      </c>
      <c r="X1056">
        <v>2.1</v>
      </c>
    </row>
    <row r="1057" spans="2:24" hidden="1" x14ac:dyDescent="0.35">
      <c r="B1057">
        <v>2018</v>
      </c>
      <c r="C1057" s="1">
        <v>43533</v>
      </c>
      <c r="D1057">
        <v>2411</v>
      </c>
      <c r="E1057" t="s">
        <v>23</v>
      </c>
      <c r="F1057" t="s">
        <v>47</v>
      </c>
      <c r="G1057" t="s">
        <v>43</v>
      </c>
      <c r="H1057">
        <v>55.19</v>
      </c>
      <c r="I1057">
        <v>67.05</v>
      </c>
      <c r="J1057">
        <v>0.35680000000000001</v>
      </c>
      <c r="K1057">
        <v>0.36399999999999999</v>
      </c>
      <c r="L1057">
        <v>0.2792</v>
      </c>
      <c r="M1057">
        <v>1.33</v>
      </c>
      <c r="N1057">
        <v>1.35</v>
      </c>
      <c r="O1057">
        <v>45.4</v>
      </c>
      <c r="P1057">
        <v>0</v>
      </c>
      <c r="Q1057">
        <v>2</v>
      </c>
      <c r="R1057">
        <v>0</v>
      </c>
      <c r="S1057">
        <v>3.31</v>
      </c>
      <c r="T1057">
        <v>0.32</v>
      </c>
      <c r="U1057">
        <v>1.45</v>
      </c>
      <c r="V1057">
        <v>0.78</v>
      </c>
      <c r="W1057">
        <v>2.1</v>
      </c>
      <c r="X1057">
        <v>0</v>
      </c>
    </row>
    <row r="1058" spans="2:24" hidden="1" x14ac:dyDescent="0.35">
      <c r="B1058">
        <v>2018</v>
      </c>
      <c r="C1058" s="1">
        <v>43533</v>
      </c>
      <c r="D1058">
        <v>2411</v>
      </c>
      <c r="E1058" t="s">
        <v>23</v>
      </c>
      <c r="F1058" t="s">
        <v>36</v>
      </c>
      <c r="G1058" t="s">
        <v>35</v>
      </c>
      <c r="H1058">
        <v>94.15</v>
      </c>
      <c r="I1058">
        <v>69.58</v>
      </c>
      <c r="J1058">
        <v>0.89610000000000001</v>
      </c>
      <c r="K1058">
        <v>2.1399999999999999E-2</v>
      </c>
      <c r="L1058">
        <v>8.2500000000000004E-2</v>
      </c>
      <c r="M1058">
        <v>3.15</v>
      </c>
      <c r="N1058">
        <v>0.36</v>
      </c>
      <c r="O1058">
        <v>100</v>
      </c>
      <c r="P1058">
        <v>0</v>
      </c>
      <c r="Q1058">
        <v>3</v>
      </c>
      <c r="R1058">
        <v>1</v>
      </c>
      <c r="S1058">
        <v>3.4</v>
      </c>
      <c r="T1058">
        <v>0.42</v>
      </c>
      <c r="U1058">
        <v>2.91</v>
      </c>
      <c r="V1058">
        <v>0.31</v>
      </c>
      <c r="W1058">
        <v>3.15</v>
      </c>
      <c r="X1058">
        <v>1.05</v>
      </c>
    </row>
    <row r="1059" spans="2:24" hidden="1" x14ac:dyDescent="0.35">
      <c r="B1059">
        <v>2018</v>
      </c>
      <c r="C1059" s="1">
        <v>43534</v>
      </c>
      <c r="D1059">
        <v>2411</v>
      </c>
      <c r="E1059" t="s">
        <v>23</v>
      </c>
      <c r="F1059" t="s">
        <v>41</v>
      </c>
      <c r="G1059" t="s">
        <v>32</v>
      </c>
      <c r="H1059">
        <v>92.81</v>
      </c>
      <c r="I1059">
        <v>63.93</v>
      </c>
      <c r="J1059">
        <v>0.89300000000000002</v>
      </c>
      <c r="K1059">
        <v>1.7399999999999999E-2</v>
      </c>
      <c r="L1059">
        <v>8.9599999999999999E-2</v>
      </c>
      <c r="M1059">
        <v>2.88</v>
      </c>
      <c r="N1059">
        <v>0.25</v>
      </c>
      <c r="O1059">
        <v>100</v>
      </c>
      <c r="P1059">
        <v>26.3</v>
      </c>
      <c r="Q1059">
        <v>4</v>
      </c>
      <c r="R1059">
        <v>2</v>
      </c>
      <c r="S1059">
        <v>3.6</v>
      </c>
      <c r="T1059">
        <v>0.62</v>
      </c>
      <c r="U1059">
        <v>2.73</v>
      </c>
      <c r="V1059">
        <v>0.66</v>
      </c>
      <c r="W1059">
        <v>3.68</v>
      </c>
      <c r="X1059">
        <v>2.1</v>
      </c>
    </row>
    <row r="1060" spans="2:24" hidden="1" x14ac:dyDescent="0.35">
      <c r="B1060">
        <v>2018</v>
      </c>
      <c r="C1060" s="1">
        <v>43534</v>
      </c>
      <c r="D1060">
        <v>2411</v>
      </c>
      <c r="E1060" t="s">
        <v>23</v>
      </c>
      <c r="F1060" t="s">
        <v>42</v>
      </c>
      <c r="G1060" t="s">
        <v>49</v>
      </c>
      <c r="H1060">
        <v>84.77</v>
      </c>
      <c r="I1060">
        <v>70.45</v>
      </c>
      <c r="J1060">
        <v>0.7087</v>
      </c>
      <c r="K1060">
        <v>9.4399999999999998E-2</v>
      </c>
      <c r="L1060">
        <v>0.19700000000000001</v>
      </c>
      <c r="M1060">
        <v>2.13</v>
      </c>
      <c r="N1060">
        <v>0.63</v>
      </c>
      <c r="O1060">
        <v>90.3</v>
      </c>
      <c r="P1060">
        <v>0</v>
      </c>
      <c r="Q1060">
        <v>1</v>
      </c>
      <c r="R1060">
        <v>1</v>
      </c>
      <c r="S1060">
        <v>1.33</v>
      </c>
      <c r="T1060">
        <v>0.53</v>
      </c>
      <c r="U1060">
        <v>2.31</v>
      </c>
      <c r="V1060">
        <v>0.32</v>
      </c>
      <c r="W1060">
        <v>1.05</v>
      </c>
      <c r="X1060">
        <v>1.05</v>
      </c>
    </row>
    <row r="1061" spans="2:24" hidden="1" x14ac:dyDescent="0.35">
      <c r="B1061">
        <v>2018</v>
      </c>
      <c r="C1061" s="1">
        <v>43534</v>
      </c>
      <c r="D1061">
        <v>2411</v>
      </c>
      <c r="E1061" t="s">
        <v>23</v>
      </c>
      <c r="F1061" t="s">
        <v>40</v>
      </c>
      <c r="G1061" t="s">
        <v>39</v>
      </c>
      <c r="H1061">
        <v>80.73</v>
      </c>
      <c r="I1061">
        <v>80.510000000000005</v>
      </c>
      <c r="J1061">
        <v>0.45569999999999999</v>
      </c>
      <c r="K1061">
        <v>0.30199999999999999</v>
      </c>
      <c r="L1061">
        <v>0.24229999999999999</v>
      </c>
      <c r="M1061">
        <v>1.87</v>
      </c>
      <c r="N1061">
        <v>1.49</v>
      </c>
      <c r="O1061">
        <v>100</v>
      </c>
      <c r="P1061">
        <v>100</v>
      </c>
      <c r="Q1061">
        <v>2</v>
      </c>
      <c r="R1061">
        <v>0</v>
      </c>
      <c r="S1061">
        <v>1.69</v>
      </c>
      <c r="T1061">
        <v>2.86</v>
      </c>
      <c r="U1061">
        <v>1.32</v>
      </c>
      <c r="V1061">
        <v>1.8</v>
      </c>
      <c r="W1061">
        <v>2.1</v>
      </c>
      <c r="X1061">
        <v>0</v>
      </c>
    </row>
    <row r="1062" spans="2:24" hidden="1" x14ac:dyDescent="0.35">
      <c r="B1062">
        <v>2018</v>
      </c>
      <c r="C1062" s="1">
        <v>43540</v>
      </c>
      <c r="D1062">
        <v>2411</v>
      </c>
      <c r="E1062" t="s">
        <v>23</v>
      </c>
      <c r="F1062" t="s">
        <v>38</v>
      </c>
      <c r="G1062" t="s">
        <v>46</v>
      </c>
      <c r="H1062">
        <v>66.400000000000006</v>
      </c>
      <c r="I1062">
        <v>66.59</v>
      </c>
      <c r="J1062">
        <v>0.4531</v>
      </c>
      <c r="K1062">
        <v>0.27739999999999998</v>
      </c>
      <c r="L1062">
        <v>0.26950000000000002</v>
      </c>
      <c r="M1062">
        <v>1.57</v>
      </c>
      <c r="N1062">
        <v>1.18</v>
      </c>
      <c r="O1062">
        <v>0.1</v>
      </c>
      <c r="P1062">
        <v>3.1</v>
      </c>
      <c r="Q1062">
        <v>2</v>
      </c>
      <c r="R1062">
        <v>2</v>
      </c>
      <c r="S1062">
        <v>1.64</v>
      </c>
      <c r="T1062">
        <v>1.1100000000000001</v>
      </c>
      <c r="U1062">
        <v>0.72</v>
      </c>
      <c r="V1062">
        <v>1.07</v>
      </c>
      <c r="W1062">
        <v>2.1</v>
      </c>
      <c r="X1062">
        <v>2.1</v>
      </c>
    </row>
    <row r="1063" spans="2:24" hidden="1" x14ac:dyDescent="0.35">
      <c r="B1063">
        <v>2018</v>
      </c>
      <c r="C1063" s="1">
        <v>43540</v>
      </c>
      <c r="D1063">
        <v>2411</v>
      </c>
      <c r="E1063" t="s">
        <v>23</v>
      </c>
      <c r="F1063" t="s">
        <v>43</v>
      </c>
      <c r="G1063" t="s">
        <v>44</v>
      </c>
      <c r="H1063">
        <v>64.62</v>
      </c>
      <c r="I1063">
        <v>54.09</v>
      </c>
      <c r="J1063">
        <v>0.46429999999999999</v>
      </c>
      <c r="K1063">
        <v>0.24079999999999999</v>
      </c>
      <c r="L1063">
        <v>0.2949</v>
      </c>
      <c r="M1063">
        <v>1.38</v>
      </c>
      <c r="N1063">
        <v>0.91</v>
      </c>
      <c r="O1063">
        <v>0.1</v>
      </c>
      <c r="P1063">
        <v>0</v>
      </c>
      <c r="Q1063">
        <v>4</v>
      </c>
      <c r="R1063">
        <v>3</v>
      </c>
      <c r="S1063">
        <v>2.0099999999999998</v>
      </c>
      <c r="T1063">
        <v>1.6</v>
      </c>
      <c r="U1063">
        <v>2.6</v>
      </c>
      <c r="V1063">
        <v>0.56999999999999995</v>
      </c>
      <c r="W1063">
        <v>4.2</v>
      </c>
      <c r="X1063">
        <v>3.15</v>
      </c>
    </row>
    <row r="1064" spans="2:24" hidden="1" x14ac:dyDescent="0.35">
      <c r="B1064">
        <v>2018</v>
      </c>
      <c r="C1064" s="1">
        <v>43540</v>
      </c>
      <c r="D1064">
        <v>2411</v>
      </c>
      <c r="E1064" t="s">
        <v>23</v>
      </c>
      <c r="F1064" t="s">
        <v>32</v>
      </c>
      <c r="G1064" t="s">
        <v>25</v>
      </c>
      <c r="H1064">
        <v>64.25</v>
      </c>
      <c r="I1064">
        <v>72.28</v>
      </c>
      <c r="J1064">
        <v>0.39050000000000001</v>
      </c>
      <c r="K1064">
        <v>0.33829999999999999</v>
      </c>
      <c r="L1064">
        <v>0.2712</v>
      </c>
      <c r="M1064">
        <v>1.47</v>
      </c>
      <c r="N1064">
        <v>1.35</v>
      </c>
      <c r="O1064">
        <v>32.1</v>
      </c>
      <c r="P1064">
        <v>0</v>
      </c>
      <c r="Q1064">
        <v>1</v>
      </c>
      <c r="R1064">
        <v>2</v>
      </c>
      <c r="S1064">
        <v>1.24</v>
      </c>
      <c r="T1064">
        <v>0.78</v>
      </c>
      <c r="U1064">
        <v>2.2200000000000002</v>
      </c>
      <c r="V1064">
        <v>0.89</v>
      </c>
      <c r="W1064">
        <v>0.84</v>
      </c>
      <c r="X1064">
        <v>2.1</v>
      </c>
    </row>
    <row r="1065" spans="2:24" hidden="1" x14ac:dyDescent="0.35">
      <c r="B1065">
        <v>2018</v>
      </c>
      <c r="C1065" s="1">
        <v>43541</v>
      </c>
      <c r="D1065">
        <v>2411</v>
      </c>
      <c r="E1065" t="s">
        <v>23</v>
      </c>
      <c r="F1065" t="s">
        <v>48</v>
      </c>
      <c r="G1065" t="s">
        <v>41</v>
      </c>
      <c r="H1065">
        <v>56.52</v>
      </c>
      <c r="I1065">
        <v>93.13</v>
      </c>
      <c r="J1065">
        <v>5.4199999999999998E-2</v>
      </c>
      <c r="K1065">
        <v>0.81799999999999995</v>
      </c>
      <c r="L1065">
        <v>0.1278</v>
      </c>
      <c r="M1065">
        <v>0.61</v>
      </c>
      <c r="N1065">
        <v>2.83</v>
      </c>
      <c r="O1065">
        <v>3.2</v>
      </c>
      <c r="P1065">
        <v>88.9</v>
      </c>
      <c r="Q1065">
        <v>1</v>
      </c>
      <c r="R1065">
        <v>2</v>
      </c>
      <c r="S1065">
        <v>0.9</v>
      </c>
      <c r="T1065">
        <v>2.96</v>
      </c>
      <c r="U1065">
        <v>0.56000000000000005</v>
      </c>
      <c r="V1065">
        <v>2.5499999999999998</v>
      </c>
      <c r="W1065">
        <v>1.05</v>
      </c>
      <c r="X1065">
        <v>2.1</v>
      </c>
    </row>
    <row r="1066" spans="2:24" hidden="1" x14ac:dyDescent="0.35">
      <c r="B1066">
        <v>2018</v>
      </c>
      <c r="C1066" s="1">
        <v>43541</v>
      </c>
      <c r="D1066">
        <v>2411</v>
      </c>
      <c r="E1066" t="s">
        <v>23</v>
      </c>
      <c r="F1066" t="s">
        <v>28</v>
      </c>
      <c r="G1066" t="s">
        <v>42</v>
      </c>
      <c r="H1066">
        <v>69.13</v>
      </c>
      <c r="I1066">
        <v>86.31</v>
      </c>
      <c r="J1066">
        <v>0.17180000000000001</v>
      </c>
      <c r="K1066">
        <v>0.59260000000000002</v>
      </c>
      <c r="L1066">
        <v>0.2356</v>
      </c>
      <c r="M1066">
        <v>0.92</v>
      </c>
      <c r="N1066">
        <v>1.92</v>
      </c>
      <c r="O1066">
        <v>0.1</v>
      </c>
      <c r="P1066">
        <v>95.9</v>
      </c>
      <c r="Q1066">
        <v>2</v>
      </c>
      <c r="R1066">
        <v>0</v>
      </c>
      <c r="S1066">
        <v>2.5499999999999998</v>
      </c>
      <c r="T1066">
        <v>1.41</v>
      </c>
      <c r="U1066">
        <v>0.89</v>
      </c>
      <c r="V1066">
        <v>2.35</v>
      </c>
      <c r="W1066">
        <v>2.06</v>
      </c>
      <c r="X1066">
        <v>0</v>
      </c>
    </row>
    <row r="1067" spans="2:24" hidden="1" x14ac:dyDescent="0.35">
      <c r="B1067">
        <v>2018</v>
      </c>
      <c r="C1067" s="1">
        <v>43554</v>
      </c>
      <c r="D1067">
        <v>2411</v>
      </c>
      <c r="E1067" t="s">
        <v>23</v>
      </c>
      <c r="F1067" t="s">
        <v>48</v>
      </c>
      <c r="G1067" t="s">
        <v>36</v>
      </c>
      <c r="H1067">
        <v>56.72</v>
      </c>
      <c r="I1067">
        <v>94.7</v>
      </c>
      <c r="J1067">
        <v>3.8199999999999998E-2</v>
      </c>
      <c r="K1067">
        <v>0.86599999999999999</v>
      </c>
      <c r="L1067">
        <v>9.5799999999999996E-2</v>
      </c>
      <c r="M1067">
        <v>0.61</v>
      </c>
      <c r="N1067">
        <v>3.28</v>
      </c>
      <c r="O1067">
        <v>2.2999999999999998</v>
      </c>
      <c r="P1067">
        <v>100</v>
      </c>
      <c r="Q1067">
        <v>0</v>
      </c>
      <c r="R1067">
        <v>2</v>
      </c>
      <c r="S1067">
        <v>0.65</v>
      </c>
      <c r="T1067">
        <v>2.19</v>
      </c>
      <c r="U1067">
        <v>0.59</v>
      </c>
      <c r="V1067">
        <v>2.98</v>
      </c>
      <c r="W1067">
        <v>0</v>
      </c>
      <c r="X1067">
        <v>2.1</v>
      </c>
    </row>
    <row r="1068" spans="2:24" hidden="1" x14ac:dyDescent="0.35">
      <c r="B1068">
        <v>2018</v>
      </c>
      <c r="C1068" s="1">
        <v>43554</v>
      </c>
      <c r="D1068">
        <v>2411</v>
      </c>
      <c r="E1068" t="s">
        <v>23</v>
      </c>
      <c r="F1068" t="s">
        <v>39</v>
      </c>
      <c r="G1068" t="s">
        <v>35</v>
      </c>
      <c r="H1068">
        <v>80.69</v>
      </c>
      <c r="I1068">
        <v>69.290000000000006</v>
      </c>
      <c r="J1068">
        <v>0.65439999999999998</v>
      </c>
      <c r="K1068">
        <v>0.14180000000000001</v>
      </c>
      <c r="L1068">
        <v>0.20380000000000001</v>
      </c>
      <c r="M1068">
        <v>2.2400000000000002</v>
      </c>
      <c r="N1068">
        <v>0.94</v>
      </c>
      <c r="O1068">
        <v>72.900000000000006</v>
      </c>
      <c r="P1068">
        <v>0</v>
      </c>
      <c r="Q1068">
        <v>2</v>
      </c>
      <c r="R1068">
        <v>1</v>
      </c>
      <c r="S1068">
        <v>2.31</v>
      </c>
      <c r="T1068">
        <v>1.39</v>
      </c>
      <c r="U1068">
        <v>1.63</v>
      </c>
      <c r="V1068">
        <v>3.37</v>
      </c>
      <c r="W1068">
        <v>2.0499999999999998</v>
      </c>
      <c r="X1068">
        <v>1.05</v>
      </c>
    </row>
    <row r="1069" spans="2:24" hidden="1" x14ac:dyDescent="0.35">
      <c r="B1069">
        <v>2018</v>
      </c>
      <c r="C1069" s="1">
        <v>43554</v>
      </c>
      <c r="D1069">
        <v>2411</v>
      </c>
      <c r="E1069" t="s">
        <v>23</v>
      </c>
      <c r="F1069" t="s">
        <v>30</v>
      </c>
      <c r="G1069" t="s">
        <v>44</v>
      </c>
      <c r="H1069">
        <v>71.66</v>
      </c>
      <c r="I1069">
        <v>53.47</v>
      </c>
      <c r="J1069">
        <v>0.64700000000000002</v>
      </c>
      <c r="K1069">
        <v>0.11559999999999999</v>
      </c>
      <c r="L1069">
        <v>0.2374</v>
      </c>
      <c r="M1069">
        <v>1.79</v>
      </c>
      <c r="N1069">
        <v>0.6</v>
      </c>
      <c r="O1069">
        <v>5.8</v>
      </c>
      <c r="P1069">
        <v>0</v>
      </c>
      <c r="Q1069">
        <v>2</v>
      </c>
      <c r="R1069">
        <v>0</v>
      </c>
      <c r="S1069">
        <v>2.9</v>
      </c>
      <c r="T1069">
        <v>0.79</v>
      </c>
      <c r="U1069">
        <v>1.73</v>
      </c>
      <c r="V1069">
        <v>1.28</v>
      </c>
      <c r="W1069">
        <v>1.64</v>
      </c>
      <c r="X1069">
        <v>0</v>
      </c>
    </row>
    <row r="1070" spans="2:24" hidden="1" x14ac:dyDescent="0.35">
      <c r="B1070">
        <v>2018</v>
      </c>
      <c r="C1070" s="1">
        <v>43554</v>
      </c>
      <c r="D1070">
        <v>2411</v>
      </c>
      <c r="E1070" t="s">
        <v>23</v>
      </c>
      <c r="F1070" t="s">
        <v>45</v>
      </c>
      <c r="G1070" t="s">
        <v>34</v>
      </c>
      <c r="H1070">
        <v>62.63</v>
      </c>
      <c r="I1070">
        <v>66.150000000000006</v>
      </c>
      <c r="J1070">
        <v>0.39460000000000001</v>
      </c>
      <c r="K1070">
        <v>0.31979999999999997</v>
      </c>
      <c r="L1070">
        <v>0.28560000000000002</v>
      </c>
      <c r="M1070">
        <v>1.36</v>
      </c>
      <c r="N1070">
        <v>1.2</v>
      </c>
      <c r="O1070">
        <v>10.3</v>
      </c>
      <c r="P1070">
        <v>15.4</v>
      </c>
      <c r="Q1070">
        <v>0</v>
      </c>
      <c r="R1070">
        <v>1</v>
      </c>
      <c r="S1070">
        <v>0.76</v>
      </c>
      <c r="T1070">
        <v>0.88</v>
      </c>
      <c r="U1070">
        <v>1.44</v>
      </c>
      <c r="V1070">
        <v>1.19</v>
      </c>
      <c r="W1070">
        <v>0</v>
      </c>
      <c r="X1070">
        <v>1.05</v>
      </c>
    </row>
    <row r="1071" spans="2:24" hidden="1" x14ac:dyDescent="0.35">
      <c r="B1071">
        <v>2018</v>
      </c>
      <c r="C1071" s="1">
        <v>43554</v>
      </c>
      <c r="D1071">
        <v>2411</v>
      </c>
      <c r="E1071" t="s">
        <v>23</v>
      </c>
      <c r="F1071" t="s">
        <v>25</v>
      </c>
      <c r="G1071" t="s">
        <v>38</v>
      </c>
      <c r="H1071">
        <v>72.13</v>
      </c>
      <c r="I1071">
        <v>65.98</v>
      </c>
      <c r="J1071">
        <v>0.43740000000000001</v>
      </c>
      <c r="K1071">
        <v>0.29870000000000002</v>
      </c>
      <c r="L1071">
        <v>0.26390000000000002</v>
      </c>
      <c r="M1071">
        <v>1.61</v>
      </c>
      <c r="N1071">
        <v>1.29</v>
      </c>
      <c r="O1071">
        <v>0</v>
      </c>
      <c r="P1071">
        <v>0.1</v>
      </c>
      <c r="Q1071">
        <v>2</v>
      </c>
      <c r="R1071">
        <v>0</v>
      </c>
      <c r="S1071">
        <v>1.8</v>
      </c>
      <c r="T1071">
        <v>0.87</v>
      </c>
      <c r="U1071">
        <v>1.69</v>
      </c>
      <c r="V1071">
        <v>0.74</v>
      </c>
      <c r="W1071">
        <v>1.81</v>
      </c>
      <c r="X1071">
        <v>0</v>
      </c>
    </row>
    <row r="1072" spans="2:24" hidden="1" x14ac:dyDescent="0.35">
      <c r="B1072">
        <v>2018</v>
      </c>
      <c r="C1072" s="1">
        <v>43554</v>
      </c>
      <c r="D1072">
        <v>2411</v>
      </c>
      <c r="E1072" t="s">
        <v>23</v>
      </c>
      <c r="F1072" t="s">
        <v>32</v>
      </c>
      <c r="G1072" t="s">
        <v>49</v>
      </c>
      <c r="H1072">
        <v>64.459999999999994</v>
      </c>
      <c r="I1072">
        <v>70.66</v>
      </c>
      <c r="J1072">
        <v>0.42349999999999999</v>
      </c>
      <c r="K1072">
        <v>0.30070000000000002</v>
      </c>
      <c r="L1072">
        <v>0.27579999999999999</v>
      </c>
      <c r="M1072">
        <v>1.48</v>
      </c>
      <c r="N1072">
        <v>1.21</v>
      </c>
      <c r="O1072">
        <v>42.8</v>
      </c>
      <c r="P1072">
        <v>0</v>
      </c>
      <c r="Q1072">
        <v>2</v>
      </c>
      <c r="R1072">
        <v>0</v>
      </c>
      <c r="S1072">
        <v>0.72</v>
      </c>
      <c r="T1072">
        <v>0.56999999999999995</v>
      </c>
      <c r="U1072">
        <v>0.49</v>
      </c>
      <c r="V1072">
        <v>1.1100000000000001</v>
      </c>
      <c r="W1072">
        <v>1.92</v>
      </c>
      <c r="X1072">
        <v>0</v>
      </c>
    </row>
    <row r="1073" spans="2:24" hidden="1" x14ac:dyDescent="0.35">
      <c r="B1073">
        <v>2018</v>
      </c>
      <c r="C1073" s="1">
        <v>43554</v>
      </c>
      <c r="D1073">
        <v>2411</v>
      </c>
      <c r="E1073" t="s">
        <v>23</v>
      </c>
      <c r="F1073" t="s">
        <v>43</v>
      </c>
      <c r="G1073" t="s">
        <v>28</v>
      </c>
      <c r="H1073">
        <v>63.95</v>
      </c>
      <c r="I1073">
        <v>70.400000000000006</v>
      </c>
      <c r="J1073">
        <v>0.37540000000000001</v>
      </c>
      <c r="K1073">
        <v>0.3538</v>
      </c>
      <c r="L1073">
        <v>0.2707</v>
      </c>
      <c r="M1073">
        <v>1.44</v>
      </c>
      <c r="N1073">
        <v>1.39</v>
      </c>
      <c r="O1073">
        <v>0</v>
      </c>
      <c r="P1073">
        <v>0</v>
      </c>
      <c r="Q1073">
        <v>0</v>
      </c>
      <c r="R1073">
        <v>2</v>
      </c>
      <c r="S1073">
        <v>0.09</v>
      </c>
      <c r="T1073">
        <v>2.46</v>
      </c>
      <c r="U1073">
        <v>0.37</v>
      </c>
      <c r="V1073">
        <v>2.23</v>
      </c>
      <c r="W1073">
        <v>0</v>
      </c>
      <c r="X1073">
        <v>2.1</v>
      </c>
    </row>
    <row r="1074" spans="2:24" hidden="1" x14ac:dyDescent="0.35">
      <c r="B1074">
        <v>2018</v>
      </c>
      <c r="C1074" s="1">
        <v>43555</v>
      </c>
      <c r="D1074">
        <v>2411</v>
      </c>
      <c r="E1074" t="s">
        <v>23</v>
      </c>
      <c r="F1074" t="s">
        <v>47</v>
      </c>
      <c r="G1074" t="s">
        <v>42</v>
      </c>
      <c r="H1074">
        <v>57.61</v>
      </c>
      <c r="I1074">
        <v>85.31</v>
      </c>
      <c r="J1074">
        <v>0.14299999999999999</v>
      </c>
      <c r="K1074">
        <v>0.64480000000000004</v>
      </c>
      <c r="L1074">
        <v>0.2122</v>
      </c>
      <c r="M1074">
        <v>0.89</v>
      </c>
      <c r="N1074">
        <v>2.13</v>
      </c>
      <c r="O1074">
        <v>54.7</v>
      </c>
      <c r="P1074">
        <v>86.6</v>
      </c>
      <c r="Q1074">
        <v>1</v>
      </c>
      <c r="R1074">
        <v>2</v>
      </c>
      <c r="S1074">
        <v>0.47</v>
      </c>
      <c r="T1074">
        <v>2.15</v>
      </c>
      <c r="U1074">
        <v>1.43</v>
      </c>
      <c r="V1074">
        <v>1.88</v>
      </c>
      <c r="W1074">
        <v>1.05</v>
      </c>
      <c r="X1074">
        <v>2.1</v>
      </c>
    </row>
    <row r="1075" spans="2:24" hidden="1" x14ac:dyDescent="0.35">
      <c r="B1075">
        <v>2018</v>
      </c>
      <c r="C1075" s="1">
        <v>43555</v>
      </c>
      <c r="D1075">
        <v>2411</v>
      </c>
      <c r="E1075" t="s">
        <v>23</v>
      </c>
      <c r="F1075" t="s">
        <v>41</v>
      </c>
      <c r="G1075" t="s">
        <v>29</v>
      </c>
      <c r="H1075">
        <v>93.05</v>
      </c>
      <c r="I1075">
        <v>82.61</v>
      </c>
      <c r="J1075">
        <v>0.6482</v>
      </c>
      <c r="K1075">
        <v>0.13880000000000001</v>
      </c>
      <c r="L1075">
        <v>0.21299999999999999</v>
      </c>
      <c r="M1075">
        <v>2.11</v>
      </c>
      <c r="N1075">
        <v>0.86</v>
      </c>
      <c r="O1075">
        <v>100</v>
      </c>
      <c r="P1075">
        <v>84.7</v>
      </c>
      <c r="Q1075">
        <v>2</v>
      </c>
      <c r="R1075">
        <v>1</v>
      </c>
      <c r="S1075">
        <v>1.26</v>
      </c>
      <c r="T1075">
        <v>1.07</v>
      </c>
      <c r="U1075">
        <v>2.23</v>
      </c>
      <c r="V1075">
        <v>0.94</v>
      </c>
      <c r="W1075">
        <v>2.1</v>
      </c>
      <c r="X1075">
        <v>1.05</v>
      </c>
    </row>
    <row r="1076" spans="2:24" hidden="1" x14ac:dyDescent="0.35">
      <c r="B1076">
        <v>2018</v>
      </c>
      <c r="C1076" s="1">
        <v>43556</v>
      </c>
      <c r="D1076">
        <v>2411</v>
      </c>
      <c r="E1076" t="s">
        <v>23</v>
      </c>
      <c r="F1076" t="s">
        <v>40</v>
      </c>
      <c r="G1076" t="s">
        <v>46</v>
      </c>
      <c r="H1076">
        <v>81.33</v>
      </c>
      <c r="I1076">
        <v>66.94</v>
      </c>
      <c r="J1076">
        <v>0.71399999999999997</v>
      </c>
      <c r="K1076">
        <v>9.8799999999999999E-2</v>
      </c>
      <c r="L1076">
        <v>0.18729999999999999</v>
      </c>
      <c r="M1076">
        <v>2.27</v>
      </c>
      <c r="N1076">
        <v>0.71</v>
      </c>
      <c r="O1076">
        <v>97</v>
      </c>
      <c r="P1076">
        <v>1.1000000000000001</v>
      </c>
      <c r="Q1076">
        <v>2</v>
      </c>
      <c r="R1076">
        <v>0</v>
      </c>
      <c r="S1076">
        <v>1.19</v>
      </c>
      <c r="T1076">
        <v>0.06</v>
      </c>
      <c r="U1076">
        <v>2.27</v>
      </c>
      <c r="V1076">
        <v>0.48</v>
      </c>
      <c r="W1076">
        <v>1.78</v>
      </c>
      <c r="X1076">
        <v>0</v>
      </c>
    </row>
    <row r="1077" spans="2:24" hidden="1" x14ac:dyDescent="0.35">
      <c r="B1077">
        <v>2018</v>
      </c>
      <c r="C1077" s="1">
        <v>43557</v>
      </c>
      <c r="D1077">
        <v>2411</v>
      </c>
      <c r="E1077" t="s">
        <v>23</v>
      </c>
      <c r="F1077" t="s">
        <v>49</v>
      </c>
      <c r="G1077" t="s">
        <v>39</v>
      </c>
      <c r="H1077">
        <v>70.53</v>
      </c>
      <c r="I1077">
        <v>79.739999999999995</v>
      </c>
      <c r="J1077">
        <v>0.25440000000000002</v>
      </c>
      <c r="K1077">
        <v>0.48749999999999999</v>
      </c>
      <c r="L1077">
        <v>0.25800000000000001</v>
      </c>
      <c r="M1077">
        <v>1.17</v>
      </c>
      <c r="N1077">
        <v>1.71</v>
      </c>
      <c r="O1077">
        <v>0</v>
      </c>
      <c r="P1077">
        <v>88.7</v>
      </c>
      <c r="Q1077">
        <v>2</v>
      </c>
      <c r="R1077">
        <v>1</v>
      </c>
      <c r="S1077">
        <v>1.75</v>
      </c>
      <c r="T1077">
        <v>1.92</v>
      </c>
      <c r="U1077">
        <v>0.6</v>
      </c>
      <c r="V1077">
        <v>2.15</v>
      </c>
      <c r="W1077">
        <v>1.89</v>
      </c>
      <c r="X1077">
        <v>1.05</v>
      </c>
    </row>
    <row r="1078" spans="2:24" hidden="1" x14ac:dyDescent="0.35">
      <c r="B1078">
        <v>2018</v>
      </c>
      <c r="C1078" s="1">
        <v>43557</v>
      </c>
      <c r="D1078">
        <v>2411</v>
      </c>
      <c r="E1078" t="s">
        <v>23</v>
      </c>
      <c r="F1078" t="s">
        <v>35</v>
      </c>
      <c r="G1078" t="s">
        <v>48</v>
      </c>
      <c r="H1078">
        <v>70.2</v>
      </c>
      <c r="I1078">
        <v>56.61</v>
      </c>
      <c r="J1078">
        <v>0.48149999999999998</v>
      </c>
      <c r="K1078">
        <v>0.26450000000000001</v>
      </c>
      <c r="L1078">
        <v>0.254</v>
      </c>
      <c r="M1078">
        <v>1.75</v>
      </c>
      <c r="N1078">
        <v>1.24</v>
      </c>
      <c r="O1078">
        <v>0</v>
      </c>
      <c r="P1078">
        <v>0</v>
      </c>
      <c r="Q1078">
        <v>4</v>
      </c>
      <c r="R1078">
        <v>1</v>
      </c>
      <c r="S1078">
        <v>1.57</v>
      </c>
      <c r="T1078">
        <v>1.7</v>
      </c>
      <c r="U1078">
        <v>1.73</v>
      </c>
      <c r="V1078">
        <v>2.11</v>
      </c>
      <c r="W1078">
        <v>4.09</v>
      </c>
      <c r="X1078">
        <v>1.05</v>
      </c>
    </row>
    <row r="1079" spans="2:24" hidden="1" x14ac:dyDescent="0.35">
      <c r="B1079">
        <v>2018</v>
      </c>
      <c r="C1079" s="1">
        <v>43558</v>
      </c>
      <c r="D1079">
        <v>2411</v>
      </c>
      <c r="E1079" t="s">
        <v>23</v>
      </c>
      <c r="F1079" t="s">
        <v>36</v>
      </c>
      <c r="G1079" t="s">
        <v>47</v>
      </c>
      <c r="H1079">
        <v>94.84</v>
      </c>
      <c r="I1079">
        <v>57.68</v>
      </c>
      <c r="J1079">
        <v>0.93889999999999996</v>
      </c>
      <c r="K1079">
        <v>8.0000000000000002E-3</v>
      </c>
      <c r="L1079">
        <v>5.3100000000000001E-2</v>
      </c>
      <c r="M1079">
        <v>3.43</v>
      </c>
      <c r="N1079">
        <v>0.2</v>
      </c>
      <c r="O1079">
        <v>100</v>
      </c>
      <c r="P1079">
        <v>47.6</v>
      </c>
      <c r="Q1079">
        <v>2</v>
      </c>
      <c r="R1079">
        <v>0</v>
      </c>
      <c r="S1079">
        <v>3.04</v>
      </c>
      <c r="T1079">
        <v>0.08</v>
      </c>
      <c r="U1079">
        <v>3.14</v>
      </c>
      <c r="V1079">
        <v>0.64</v>
      </c>
      <c r="W1079">
        <v>2.1</v>
      </c>
      <c r="X1079">
        <v>0</v>
      </c>
    </row>
    <row r="1080" spans="2:24" hidden="1" x14ac:dyDescent="0.35">
      <c r="B1080">
        <v>2018</v>
      </c>
      <c r="C1080" s="1">
        <v>43558</v>
      </c>
      <c r="D1080">
        <v>2411</v>
      </c>
      <c r="E1080" t="s">
        <v>23</v>
      </c>
      <c r="F1080" t="s">
        <v>29</v>
      </c>
      <c r="G1080" t="s">
        <v>30</v>
      </c>
      <c r="H1080">
        <v>82.88</v>
      </c>
      <c r="I1080">
        <v>71.760000000000005</v>
      </c>
      <c r="J1080">
        <v>0.67659999999999998</v>
      </c>
      <c r="K1080">
        <v>0.1177</v>
      </c>
      <c r="L1080">
        <v>0.20580000000000001</v>
      </c>
      <c r="M1080">
        <v>2.12</v>
      </c>
      <c r="N1080">
        <v>0.75</v>
      </c>
      <c r="O1080">
        <v>100</v>
      </c>
      <c r="P1080">
        <v>0.4</v>
      </c>
      <c r="Q1080">
        <v>2</v>
      </c>
      <c r="R1080">
        <v>0</v>
      </c>
      <c r="S1080">
        <v>2.04</v>
      </c>
      <c r="T1080">
        <v>0.56999999999999995</v>
      </c>
      <c r="U1080">
        <v>2.78</v>
      </c>
      <c r="V1080">
        <v>0.27</v>
      </c>
      <c r="W1080">
        <v>1.84</v>
      </c>
      <c r="X1080">
        <v>0</v>
      </c>
    </row>
    <row r="1081" spans="2:24" hidden="1" x14ac:dyDescent="0.35">
      <c r="B1081">
        <v>2018</v>
      </c>
      <c r="C1081" s="1">
        <v>43558</v>
      </c>
      <c r="D1081">
        <v>2411</v>
      </c>
      <c r="E1081" t="s">
        <v>23</v>
      </c>
      <c r="F1081" t="s">
        <v>42</v>
      </c>
      <c r="G1081" t="s">
        <v>45</v>
      </c>
      <c r="H1081">
        <v>85.26</v>
      </c>
      <c r="I1081">
        <v>62.21</v>
      </c>
      <c r="J1081">
        <v>0.81820000000000004</v>
      </c>
      <c r="K1081">
        <v>4.19E-2</v>
      </c>
      <c r="L1081">
        <v>0.1399</v>
      </c>
      <c r="M1081">
        <v>2.4700000000000002</v>
      </c>
      <c r="N1081">
        <v>0.4</v>
      </c>
      <c r="O1081">
        <v>81.599999999999994</v>
      </c>
      <c r="P1081">
        <v>10.6</v>
      </c>
      <c r="Q1081">
        <v>3</v>
      </c>
      <c r="R1081">
        <v>0</v>
      </c>
      <c r="S1081">
        <v>3.06</v>
      </c>
      <c r="T1081">
        <v>0.4</v>
      </c>
      <c r="U1081">
        <v>2.75</v>
      </c>
      <c r="V1081">
        <v>0.62</v>
      </c>
      <c r="W1081">
        <v>3.15</v>
      </c>
      <c r="X1081">
        <v>0</v>
      </c>
    </row>
    <row r="1082" spans="2:24" hidden="1" x14ac:dyDescent="0.35">
      <c r="B1082">
        <v>2018</v>
      </c>
      <c r="C1082" s="1">
        <v>43560</v>
      </c>
      <c r="D1082">
        <v>2411</v>
      </c>
      <c r="E1082" t="s">
        <v>23</v>
      </c>
      <c r="F1082" t="s">
        <v>34</v>
      </c>
      <c r="G1082" t="s">
        <v>41</v>
      </c>
      <c r="H1082">
        <v>66.930000000000007</v>
      </c>
      <c r="I1082">
        <v>92.89</v>
      </c>
      <c r="J1082">
        <v>8.8900000000000007E-2</v>
      </c>
      <c r="K1082">
        <v>0.73409999999999997</v>
      </c>
      <c r="L1082">
        <v>0.17699999999999999</v>
      </c>
      <c r="M1082">
        <v>0.68</v>
      </c>
      <c r="N1082">
        <v>2.35</v>
      </c>
      <c r="O1082">
        <v>1.9</v>
      </c>
      <c r="P1082">
        <v>100</v>
      </c>
      <c r="Q1082">
        <v>1</v>
      </c>
      <c r="R1082">
        <v>3</v>
      </c>
      <c r="S1082">
        <v>0.88</v>
      </c>
      <c r="T1082">
        <v>2.2599999999999998</v>
      </c>
      <c r="U1082">
        <v>1.1399999999999999</v>
      </c>
      <c r="V1082">
        <v>2.78</v>
      </c>
      <c r="W1082">
        <v>1.05</v>
      </c>
      <c r="X1082">
        <v>2.74</v>
      </c>
    </row>
    <row r="1083" spans="2:24" hidden="1" x14ac:dyDescent="0.35">
      <c r="B1083">
        <v>2018</v>
      </c>
      <c r="C1083" s="1">
        <v>43561</v>
      </c>
      <c r="D1083">
        <v>2411</v>
      </c>
      <c r="E1083" t="s">
        <v>23</v>
      </c>
      <c r="F1083" t="s">
        <v>44</v>
      </c>
      <c r="G1083" t="s">
        <v>25</v>
      </c>
      <c r="H1083">
        <v>53.18</v>
      </c>
      <c r="I1083">
        <v>72.86</v>
      </c>
      <c r="J1083">
        <v>0.29249999999999998</v>
      </c>
      <c r="K1083">
        <v>0.41310000000000002</v>
      </c>
      <c r="L1083">
        <v>0.2944</v>
      </c>
      <c r="M1083">
        <v>1.07</v>
      </c>
      <c r="N1083">
        <v>1.33</v>
      </c>
      <c r="O1083">
        <v>0</v>
      </c>
      <c r="P1083">
        <v>0</v>
      </c>
      <c r="Q1083">
        <v>1</v>
      </c>
      <c r="R1083">
        <v>4</v>
      </c>
      <c r="S1083">
        <v>1.69</v>
      </c>
      <c r="T1083">
        <v>3.28</v>
      </c>
      <c r="U1083">
        <v>0.89</v>
      </c>
      <c r="V1083">
        <v>1.0900000000000001</v>
      </c>
      <c r="W1083">
        <v>1.05</v>
      </c>
      <c r="X1083">
        <v>3.62</v>
      </c>
    </row>
    <row r="1084" spans="2:24" hidden="1" x14ac:dyDescent="0.35">
      <c r="B1084">
        <v>2018</v>
      </c>
      <c r="C1084" s="1">
        <v>43561</v>
      </c>
      <c r="D1084">
        <v>2411</v>
      </c>
      <c r="E1084" t="s">
        <v>23</v>
      </c>
      <c r="F1084" t="s">
        <v>46</v>
      </c>
      <c r="G1084" t="s">
        <v>30</v>
      </c>
      <c r="H1084">
        <v>66.53</v>
      </c>
      <c r="I1084">
        <v>70.819999999999993</v>
      </c>
      <c r="J1084">
        <v>0.38790000000000002</v>
      </c>
      <c r="K1084">
        <v>0.32140000000000002</v>
      </c>
      <c r="L1084">
        <v>0.29070000000000001</v>
      </c>
      <c r="M1084">
        <v>1.32</v>
      </c>
      <c r="N1084">
        <v>1.17</v>
      </c>
      <c r="O1084">
        <v>1.9</v>
      </c>
      <c r="P1084">
        <v>1.2</v>
      </c>
      <c r="Q1084">
        <v>0</v>
      </c>
      <c r="R1084">
        <v>1</v>
      </c>
      <c r="S1084">
        <v>1.06</v>
      </c>
      <c r="T1084">
        <v>0.91</v>
      </c>
      <c r="U1084">
        <v>2.04</v>
      </c>
      <c r="V1084">
        <v>1.17</v>
      </c>
      <c r="W1084">
        <v>0</v>
      </c>
      <c r="X1084">
        <v>1.05</v>
      </c>
    </row>
    <row r="1085" spans="2:24" hidden="1" x14ac:dyDescent="0.35">
      <c r="B1085">
        <v>2018</v>
      </c>
      <c r="C1085" s="1">
        <v>43561</v>
      </c>
      <c r="D1085">
        <v>2411</v>
      </c>
      <c r="E1085" t="s">
        <v>23</v>
      </c>
      <c r="F1085" t="s">
        <v>38</v>
      </c>
      <c r="G1085" t="s">
        <v>32</v>
      </c>
      <c r="H1085">
        <v>65.400000000000006</v>
      </c>
      <c r="I1085">
        <v>65.02</v>
      </c>
      <c r="J1085">
        <v>0.43509999999999999</v>
      </c>
      <c r="K1085">
        <v>0.30249999999999999</v>
      </c>
      <c r="L1085">
        <v>0.26240000000000002</v>
      </c>
      <c r="M1085">
        <v>1.62</v>
      </c>
      <c r="N1085">
        <v>1.31</v>
      </c>
      <c r="O1085">
        <v>0.1</v>
      </c>
      <c r="P1085">
        <v>23.6</v>
      </c>
      <c r="Q1085">
        <v>1</v>
      </c>
      <c r="R1085">
        <v>3</v>
      </c>
      <c r="S1085">
        <v>1.32</v>
      </c>
      <c r="T1085">
        <v>1.7</v>
      </c>
      <c r="U1085">
        <v>1.95</v>
      </c>
      <c r="V1085">
        <v>1.32</v>
      </c>
      <c r="W1085">
        <v>1.05</v>
      </c>
      <c r="X1085">
        <v>3.15</v>
      </c>
    </row>
    <row r="1086" spans="2:24" hidden="1" x14ac:dyDescent="0.35">
      <c r="B1086">
        <v>2018</v>
      </c>
      <c r="C1086" s="1">
        <v>43562</v>
      </c>
      <c r="D1086">
        <v>2411</v>
      </c>
      <c r="E1086" t="s">
        <v>23</v>
      </c>
      <c r="F1086" t="s">
        <v>28</v>
      </c>
      <c r="G1086" t="s">
        <v>40</v>
      </c>
      <c r="H1086">
        <v>72.75</v>
      </c>
      <c r="I1086">
        <v>81.93</v>
      </c>
      <c r="J1086">
        <v>0.2525</v>
      </c>
      <c r="K1086">
        <v>0.49199999999999999</v>
      </c>
      <c r="L1086">
        <v>0.2555</v>
      </c>
      <c r="M1086">
        <v>1.18</v>
      </c>
      <c r="N1086">
        <v>1.74</v>
      </c>
      <c r="O1086">
        <v>0</v>
      </c>
      <c r="P1086">
        <v>92.4</v>
      </c>
      <c r="Q1086">
        <v>1</v>
      </c>
      <c r="R1086">
        <v>0</v>
      </c>
      <c r="S1086">
        <v>2.65</v>
      </c>
      <c r="T1086">
        <v>0.35</v>
      </c>
      <c r="U1086">
        <v>1.82</v>
      </c>
      <c r="V1086">
        <v>0.69</v>
      </c>
      <c r="W1086">
        <v>1.05</v>
      </c>
      <c r="X1086">
        <v>0</v>
      </c>
    </row>
    <row r="1087" spans="2:24" hidden="1" x14ac:dyDescent="0.35">
      <c r="B1087">
        <v>2018</v>
      </c>
      <c r="C1087" s="1">
        <v>43563</v>
      </c>
      <c r="D1087">
        <v>2411</v>
      </c>
      <c r="E1087" t="s">
        <v>23</v>
      </c>
      <c r="F1087" t="s">
        <v>42</v>
      </c>
      <c r="G1087" t="s">
        <v>43</v>
      </c>
      <c r="H1087">
        <v>85.96</v>
      </c>
      <c r="I1087">
        <v>61.56</v>
      </c>
      <c r="J1087">
        <v>0.84160000000000001</v>
      </c>
      <c r="K1087">
        <v>3.9699999999999999E-2</v>
      </c>
      <c r="L1087">
        <v>0.1187</v>
      </c>
      <c r="M1087">
        <v>2.78</v>
      </c>
      <c r="N1087">
        <v>0.47</v>
      </c>
      <c r="O1087">
        <v>99.8</v>
      </c>
      <c r="P1087">
        <v>0</v>
      </c>
      <c r="Q1087">
        <v>2</v>
      </c>
      <c r="R1087">
        <v>0</v>
      </c>
      <c r="S1087">
        <v>2.13</v>
      </c>
      <c r="T1087">
        <v>0.62</v>
      </c>
      <c r="U1087">
        <v>2.04</v>
      </c>
      <c r="V1087">
        <v>0.91</v>
      </c>
      <c r="W1087">
        <v>1.59</v>
      </c>
      <c r="X1087">
        <v>0</v>
      </c>
    </row>
    <row r="1088" spans="2:24" hidden="1" x14ac:dyDescent="0.35">
      <c r="B1088">
        <v>2018</v>
      </c>
      <c r="C1088" s="1">
        <v>43567</v>
      </c>
      <c r="D1088">
        <v>2411</v>
      </c>
      <c r="E1088" t="s">
        <v>23</v>
      </c>
      <c r="F1088" t="s">
        <v>25</v>
      </c>
      <c r="G1088" t="s">
        <v>46</v>
      </c>
      <c r="H1088">
        <v>73.31</v>
      </c>
      <c r="I1088">
        <v>66.42</v>
      </c>
      <c r="J1088">
        <v>0.5212</v>
      </c>
      <c r="K1088">
        <v>0.20960000000000001</v>
      </c>
      <c r="L1088">
        <v>0.26919999999999999</v>
      </c>
      <c r="M1088">
        <v>1.61</v>
      </c>
      <c r="N1088">
        <v>0.92</v>
      </c>
      <c r="O1088">
        <v>0</v>
      </c>
      <c r="P1088">
        <v>4.9000000000000004</v>
      </c>
      <c r="Q1088">
        <v>0</v>
      </c>
      <c r="R1088">
        <v>1</v>
      </c>
      <c r="S1088">
        <v>1.01</v>
      </c>
      <c r="T1088">
        <v>1.1599999999999999</v>
      </c>
      <c r="U1088">
        <v>1.6</v>
      </c>
      <c r="V1088">
        <v>0.99</v>
      </c>
      <c r="W1088">
        <v>0</v>
      </c>
      <c r="X1088">
        <v>1.05</v>
      </c>
    </row>
    <row r="1089" spans="2:24" hidden="1" x14ac:dyDescent="0.35">
      <c r="B1089">
        <v>2018</v>
      </c>
      <c r="C1089" s="1">
        <v>43568</v>
      </c>
      <c r="D1089">
        <v>2411</v>
      </c>
      <c r="E1089" t="s">
        <v>23</v>
      </c>
      <c r="F1089" t="s">
        <v>29</v>
      </c>
      <c r="G1089" t="s">
        <v>44</v>
      </c>
      <c r="H1089">
        <v>84.1</v>
      </c>
      <c r="I1089">
        <v>52.04</v>
      </c>
      <c r="J1089">
        <v>0.88180000000000003</v>
      </c>
      <c r="K1089">
        <v>1.6199999999999999E-2</v>
      </c>
      <c r="L1089">
        <v>0.1019</v>
      </c>
      <c r="M1089">
        <v>2.65</v>
      </c>
      <c r="N1089">
        <v>0.2</v>
      </c>
      <c r="O1089">
        <v>100</v>
      </c>
      <c r="P1089">
        <v>0</v>
      </c>
      <c r="Q1089">
        <v>4</v>
      </c>
      <c r="R1089">
        <v>0</v>
      </c>
      <c r="S1089">
        <v>2.33</v>
      </c>
      <c r="T1089">
        <v>0.95</v>
      </c>
      <c r="U1089">
        <v>2.71</v>
      </c>
      <c r="V1089">
        <v>0.73</v>
      </c>
      <c r="W1089">
        <v>3.23</v>
      </c>
      <c r="X1089">
        <v>0</v>
      </c>
    </row>
    <row r="1090" spans="2:24" hidden="1" x14ac:dyDescent="0.35">
      <c r="B1090">
        <v>2018</v>
      </c>
      <c r="C1090" s="1">
        <v>43568</v>
      </c>
      <c r="D1090">
        <v>2411</v>
      </c>
      <c r="E1090" t="s">
        <v>23</v>
      </c>
      <c r="F1090" t="s">
        <v>45</v>
      </c>
      <c r="G1090" t="s">
        <v>38</v>
      </c>
      <c r="H1090">
        <v>61.11</v>
      </c>
      <c r="I1090">
        <v>64.209999999999994</v>
      </c>
      <c r="J1090">
        <v>0.41460000000000002</v>
      </c>
      <c r="K1090">
        <v>0.31119999999999998</v>
      </c>
      <c r="L1090">
        <v>0.2742</v>
      </c>
      <c r="M1090">
        <v>1.48</v>
      </c>
      <c r="N1090">
        <v>1.25</v>
      </c>
      <c r="O1090">
        <v>22.6</v>
      </c>
      <c r="P1090">
        <v>0.4</v>
      </c>
      <c r="Q1090">
        <v>0</v>
      </c>
      <c r="R1090">
        <v>5</v>
      </c>
      <c r="S1090">
        <v>0.31</v>
      </c>
      <c r="T1090">
        <v>2.72</v>
      </c>
      <c r="U1090">
        <v>1.19</v>
      </c>
      <c r="V1090">
        <v>2.57</v>
      </c>
      <c r="W1090">
        <v>0</v>
      </c>
      <c r="X1090">
        <v>3.89</v>
      </c>
    </row>
    <row r="1091" spans="2:24" hidden="1" x14ac:dyDescent="0.35">
      <c r="B1091">
        <v>2018</v>
      </c>
      <c r="C1091" s="1">
        <v>43568</v>
      </c>
      <c r="D1091">
        <v>2411</v>
      </c>
      <c r="E1091" t="s">
        <v>23</v>
      </c>
      <c r="F1091" t="s">
        <v>34</v>
      </c>
      <c r="G1091" t="s">
        <v>49</v>
      </c>
      <c r="H1091">
        <v>66.77</v>
      </c>
      <c r="I1091">
        <v>70.44</v>
      </c>
      <c r="J1091">
        <v>0.4118</v>
      </c>
      <c r="K1091">
        <v>0.30080000000000001</v>
      </c>
      <c r="L1091">
        <v>0.28739999999999999</v>
      </c>
      <c r="M1091">
        <v>1.38</v>
      </c>
      <c r="N1091">
        <v>1.1399999999999999</v>
      </c>
      <c r="O1091">
        <v>6.5</v>
      </c>
      <c r="P1091">
        <v>0</v>
      </c>
      <c r="Q1091">
        <v>3</v>
      </c>
      <c r="R1091">
        <v>1</v>
      </c>
      <c r="S1091">
        <v>3.24</v>
      </c>
      <c r="T1091">
        <v>0.83</v>
      </c>
      <c r="U1091">
        <v>1.1299999999999999</v>
      </c>
      <c r="V1091">
        <v>1.0900000000000001</v>
      </c>
      <c r="W1091">
        <v>3.14</v>
      </c>
      <c r="X1091">
        <v>1.05</v>
      </c>
    </row>
    <row r="1092" spans="2:24" hidden="1" x14ac:dyDescent="0.35">
      <c r="B1092">
        <v>2018</v>
      </c>
      <c r="C1092" s="1">
        <v>43568</v>
      </c>
      <c r="D1092">
        <v>2411</v>
      </c>
      <c r="E1092" t="s">
        <v>23</v>
      </c>
      <c r="F1092" t="s">
        <v>32</v>
      </c>
      <c r="G1092" t="s">
        <v>47</v>
      </c>
      <c r="H1092">
        <v>65.98</v>
      </c>
      <c r="I1092">
        <v>57.83</v>
      </c>
      <c r="J1092">
        <v>0.51719999999999999</v>
      </c>
      <c r="K1092">
        <v>0.22140000000000001</v>
      </c>
      <c r="L1092">
        <v>0.26150000000000001</v>
      </c>
      <c r="M1092">
        <v>1.68</v>
      </c>
      <c r="N1092">
        <v>1.01</v>
      </c>
      <c r="O1092">
        <v>22.1</v>
      </c>
      <c r="P1092">
        <v>43.5</v>
      </c>
      <c r="Q1092">
        <v>2</v>
      </c>
      <c r="R1092">
        <v>0</v>
      </c>
      <c r="S1092">
        <v>2.75</v>
      </c>
      <c r="T1092">
        <v>0.87</v>
      </c>
      <c r="U1092">
        <v>1.26</v>
      </c>
      <c r="V1092">
        <v>0.68</v>
      </c>
      <c r="W1092">
        <v>1.58</v>
      </c>
      <c r="X1092">
        <v>0</v>
      </c>
    </row>
    <row r="1093" spans="2:24" hidden="1" x14ac:dyDescent="0.35">
      <c r="B1093">
        <v>2018</v>
      </c>
      <c r="C1093" s="1">
        <v>43568</v>
      </c>
      <c r="D1093">
        <v>2411</v>
      </c>
      <c r="E1093" t="s">
        <v>23</v>
      </c>
      <c r="F1093" t="s">
        <v>48</v>
      </c>
      <c r="G1093" t="s">
        <v>28</v>
      </c>
      <c r="H1093">
        <v>56.74</v>
      </c>
      <c r="I1093">
        <v>74.38</v>
      </c>
      <c r="J1093">
        <v>0.31809999999999999</v>
      </c>
      <c r="K1093">
        <v>0.4088</v>
      </c>
      <c r="L1093">
        <v>0.2732</v>
      </c>
      <c r="M1093">
        <v>1.28</v>
      </c>
      <c r="N1093">
        <v>1.48</v>
      </c>
      <c r="O1093">
        <v>0</v>
      </c>
      <c r="P1093">
        <v>0</v>
      </c>
      <c r="Q1093">
        <v>2</v>
      </c>
      <c r="R1093">
        <v>0</v>
      </c>
      <c r="S1093">
        <v>1.63</v>
      </c>
      <c r="T1093">
        <v>1.1000000000000001</v>
      </c>
      <c r="U1093">
        <v>1.26</v>
      </c>
      <c r="V1093">
        <v>1.74</v>
      </c>
      <c r="W1093">
        <v>2.1</v>
      </c>
      <c r="X1093">
        <v>0</v>
      </c>
    </row>
    <row r="1094" spans="2:24" hidden="1" x14ac:dyDescent="0.35">
      <c r="B1094">
        <v>2018</v>
      </c>
      <c r="C1094" s="1">
        <v>43568</v>
      </c>
      <c r="D1094">
        <v>2411</v>
      </c>
      <c r="E1094" t="s">
        <v>23</v>
      </c>
      <c r="F1094" t="s">
        <v>39</v>
      </c>
      <c r="G1094" t="s">
        <v>43</v>
      </c>
      <c r="H1094">
        <v>79.650000000000006</v>
      </c>
      <c r="I1094">
        <v>61.78</v>
      </c>
      <c r="J1094">
        <v>0.70079999999999998</v>
      </c>
      <c r="K1094">
        <v>0.1132</v>
      </c>
      <c r="L1094">
        <v>0.186</v>
      </c>
      <c r="M1094">
        <v>2.37</v>
      </c>
      <c r="N1094">
        <v>0.84</v>
      </c>
      <c r="O1094">
        <v>52.7</v>
      </c>
      <c r="P1094">
        <v>0</v>
      </c>
      <c r="Q1094">
        <v>2</v>
      </c>
      <c r="R1094">
        <v>1</v>
      </c>
      <c r="S1094">
        <v>2.74</v>
      </c>
      <c r="T1094">
        <v>1.74</v>
      </c>
      <c r="U1094">
        <v>1.85</v>
      </c>
      <c r="V1094">
        <v>2.2000000000000002</v>
      </c>
      <c r="W1094">
        <v>2.1</v>
      </c>
      <c r="X1094">
        <v>1.05</v>
      </c>
    </row>
    <row r="1095" spans="2:24" hidden="1" x14ac:dyDescent="0.35">
      <c r="B1095">
        <v>2018</v>
      </c>
      <c r="C1095" s="1">
        <v>43569</v>
      </c>
      <c r="D1095">
        <v>2411</v>
      </c>
      <c r="E1095" t="s">
        <v>23</v>
      </c>
      <c r="F1095" t="s">
        <v>30</v>
      </c>
      <c r="G1095" t="s">
        <v>36</v>
      </c>
      <c r="H1095">
        <v>71.09</v>
      </c>
      <c r="I1095">
        <v>94.51</v>
      </c>
      <c r="J1095">
        <v>8.5800000000000001E-2</v>
      </c>
      <c r="K1095">
        <v>0.74729999999999996</v>
      </c>
      <c r="L1095">
        <v>0.16689999999999999</v>
      </c>
      <c r="M1095">
        <v>0.72</v>
      </c>
      <c r="N1095">
        <v>2.48</v>
      </c>
      <c r="O1095">
        <v>0</v>
      </c>
      <c r="P1095">
        <v>100</v>
      </c>
      <c r="Q1095">
        <v>1</v>
      </c>
      <c r="R1095">
        <v>3</v>
      </c>
      <c r="S1095">
        <v>0.31</v>
      </c>
      <c r="T1095">
        <v>2.69</v>
      </c>
      <c r="U1095">
        <v>0.67</v>
      </c>
      <c r="V1095">
        <v>3.43</v>
      </c>
      <c r="W1095">
        <v>1.05</v>
      </c>
      <c r="X1095">
        <v>2.63</v>
      </c>
    </row>
    <row r="1096" spans="2:24" hidden="1" x14ac:dyDescent="0.35">
      <c r="B1096">
        <v>2018</v>
      </c>
      <c r="C1096" s="1">
        <v>43569</v>
      </c>
      <c r="D1096">
        <v>2411</v>
      </c>
      <c r="E1096" t="s">
        <v>23</v>
      </c>
      <c r="F1096" t="s">
        <v>41</v>
      </c>
      <c r="G1096" t="s">
        <v>42</v>
      </c>
      <c r="H1096">
        <v>92.95</v>
      </c>
      <c r="I1096">
        <v>85.61</v>
      </c>
      <c r="J1096">
        <v>0.58960000000000001</v>
      </c>
      <c r="K1096">
        <v>0.1767</v>
      </c>
      <c r="L1096">
        <v>0.23369999999999999</v>
      </c>
      <c r="M1096">
        <v>1.95</v>
      </c>
      <c r="N1096">
        <v>0.96</v>
      </c>
      <c r="O1096">
        <v>100</v>
      </c>
      <c r="P1096">
        <v>100</v>
      </c>
      <c r="Q1096">
        <v>2</v>
      </c>
      <c r="R1096">
        <v>0</v>
      </c>
      <c r="S1096">
        <v>1.52</v>
      </c>
      <c r="T1096">
        <v>1.4</v>
      </c>
      <c r="U1096">
        <v>2.23</v>
      </c>
      <c r="V1096">
        <v>0.62</v>
      </c>
      <c r="W1096">
        <v>2.1</v>
      </c>
      <c r="X1096">
        <v>0</v>
      </c>
    </row>
    <row r="1097" spans="2:24" hidden="1" x14ac:dyDescent="0.35">
      <c r="B1097">
        <v>2018</v>
      </c>
      <c r="C1097" s="1">
        <v>43570</v>
      </c>
      <c r="D1097">
        <v>2411</v>
      </c>
      <c r="E1097" t="s">
        <v>23</v>
      </c>
      <c r="F1097" t="s">
        <v>35</v>
      </c>
      <c r="G1097" t="s">
        <v>40</v>
      </c>
      <c r="H1097">
        <v>69.66</v>
      </c>
      <c r="I1097">
        <v>81.44</v>
      </c>
      <c r="J1097">
        <v>0.23810000000000001</v>
      </c>
      <c r="K1097">
        <v>0.52600000000000002</v>
      </c>
      <c r="L1097">
        <v>0.23580000000000001</v>
      </c>
      <c r="M1097">
        <v>1.27</v>
      </c>
      <c r="N1097">
        <v>1.98</v>
      </c>
      <c r="O1097">
        <v>0</v>
      </c>
      <c r="P1097">
        <v>100</v>
      </c>
      <c r="Q1097">
        <v>0</v>
      </c>
      <c r="R1097">
        <v>1</v>
      </c>
      <c r="S1097">
        <v>1</v>
      </c>
      <c r="T1097">
        <v>2.27</v>
      </c>
      <c r="U1097">
        <v>1.1200000000000001</v>
      </c>
      <c r="V1097">
        <v>2.65</v>
      </c>
      <c r="W1097">
        <v>0</v>
      </c>
      <c r="X1097">
        <v>1.05</v>
      </c>
    </row>
    <row r="1098" spans="2:24" hidden="1" x14ac:dyDescent="0.35">
      <c r="B1098">
        <v>2018</v>
      </c>
      <c r="C1098" s="1">
        <v>43571</v>
      </c>
      <c r="D1098">
        <v>2411</v>
      </c>
      <c r="E1098" t="s">
        <v>23</v>
      </c>
      <c r="F1098" t="s">
        <v>45</v>
      </c>
      <c r="G1098" t="s">
        <v>47</v>
      </c>
      <c r="H1098">
        <v>57.98</v>
      </c>
      <c r="I1098">
        <v>57.19</v>
      </c>
      <c r="J1098">
        <v>0.44550000000000001</v>
      </c>
      <c r="K1098">
        <v>0.26629999999999998</v>
      </c>
      <c r="L1098">
        <v>0.28810000000000002</v>
      </c>
      <c r="M1098">
        <v>1.41</v>
      </c>
      <c r="N1098">
        <v>1.03</v>
      </c>
      <c r="O1098">
        <v>49</v>
      </c>
      <c r="P1098">
        <v>49.5</v>
      </c>
      <c r="Q1098">
        <v>0</v>
      </c>
      <c r="R1098">
        <v>2</v>
      </c>
      <c r="S1098">
        <v>0.66</v>
      </c>
      <c r="T1098">
        <v>0.92</v>
      </c>
      <c r="U1098">
        <v>1.85</v>
      </c>
      <c r="V1098">
        <v>0.78</v>
      </c>
      <c r="W1098">
        <v>0</v>
      </c>
      <c r="X1098">
        <v>2.1</v>
      </c>
    </row>
    <row r="1099" spans="2:24" hidden="1" x14ac:dyDescent="0.35">
      <c r="B1099">
        <v>2018</v>
      </c>
      <c r="C1099" s="1">
        <v>43575</v>
      </c>
      <c r="D1099">
        <v>2411</v>
      </c>
      <c r="E1099" t="s">
        <v>23</v>
      </c>
      <c r="F1099" t="s">
        <v>36</v>
      </c>
      <c r="G1099" t="s">
        <v>29</v>
      </c>
      <c r="H1099">
        <v>94.85</v>
      </c>
      <c r="I1099">
        <v>84.13</v>
      </c>
      <c r="J1099">
        <v>0.70469999999999999</v>
      </c>
      <c r="K1099">
        <v>0.1114</v>
      </c>
      <c r="L1099">
        <v>0.18390000000000001</v>
      </c>
      <c r="M1099">
        <v>2.39</v>
      </c>
      <c r="N1099">
        <v>0.84</v>
      </c>
      <c r="O1099">
        <v>100</v>
      </c>
      <c r="P1099">
        <v>59.2</v>
      </c>
      <c r="Q1099">
        <v>1</v>
      </c>
      <c r="R1099">
        <v>0</v>
      </c>
      <c r="S1099">
        <v>2.02</v>
      </c>
      <c r="T1099">
        <v>1.33</v>
      </c>
      <c r="U1099">
        <v>1.92</v>
      </c>
      <c r="V1099">
        <v>0.77</v>
      </c>
      <c r="W1099">
        <v>1.05</v>
      </c>
      <c r="X1099">
        <v>0</v>
      </c>
    </row>
    <row r="1100" spans="2:24" hidden="1" x14ac:dyDescent="0.35">
      <c r="B1100">
        <v>2018</v>
      </c>
      <c r="C1100" s="1">
        <v>43575</v>
      </c>
      <c r="D1100">
        <v>2411</v>
      </c>
      <c r="E1100" t="s">
        <v>23</v>
      </c>
      <c r="F1100" t="s">
        <v>49</v>
      </c>
      <c r="G1100" t="s">
        <v>45</v>
      </c>
      <c r="H1100">
        <v>68.790000000000006</v>
      </c>
      <c r="I1100">
        <v>57.06</v>
      </c>
      <c r="J1100">
        <v>0.51559999999999995</v>
      </c>
      <c r="K1100">
        <v>0.21110000000000001</v>
      </c>
      <c r="L1100">
        <v>0.27329999999999999</v>
      </c>
      <c r="M1100">
        <v>1.57</v>
      </c>
      <c r="N1100">
        <v>0.91</v>
      </c>
      <c r="O1100">
        <v>0</v>
      </c>
      <c r="P1100">
        <v>50.3</v>
      </c>
      <c r="Q1100">
        <v>0</v>
      </c>
      <c r="R1100">
        <v>0</v>
      </c>
      <c r="S1100">
        <v>2.5499999999999998</v>
      </c>
      <c r="T1100">
        <v>0.2</v>
      </c>
      <c r="U1100">
        <v>2.74</v>
      </c>
      <c r="V1100">
        <v>0.27</v>
      </c>
      <c r="W1100">
        <v>0</v>
      </c>
      <c r="X1100">
        <v>0</v>
      </c>
    </row>
    <row r="1101" spans="2:24" hidden="1" x14ac:dyDescent="0.35">
      <c r="B1101">
        <v>2018</v>
      </c>
      <c r="C1101" s="1">
        <v>43575</v>
      </c>
      <c r="D1101">
        <v>2411</v>
      </c>
      <c r="E1101" t="s">
        <v>23</v>
      </c>
      <c r="F1101" t="s">
        <v>43</v>
      </c>
      <c r="G1101" t="s">
        <v>25</v>
      </c>
      <c r="H1101">
        <v>62.59</v>
      </c>
      <c r="I1101">
        <v>72.47</v>
      </c>
      <c r="J1101">
        <v>0.35670000000000002</v>
      </c>
      <c r="K1101">
        <v>0.37540000000000001</v>
      </c>
      <c r="L1101">
        <v>0.26790000000000003</v>
      </c>
      <c r="M1101">
        <v>1.42</v>
      </c>
      <c r="N1101">
        <v>1.47</v>
      </c>
      <c r="O1101">
        <v>0</v>
      </c>
      <c r="P1101">
        <v>0</v>
      </c>
      <c r="Q1101">
        <v>2</v>
      </c>
      <c r="R1101">
        <v>2</v>
      </c>
      <c r="S1101">
        <v>1.25</v>
      </c>
      <c r="T1101">
        <v>0.95</v>
      </c>
      <c r="U1101">
        <v>1.44</v>
      </c>
      <c r="V1101">
        <v>1.18</v>
      </c>
      <c r="W1101">
        <v>2.1</v>
      </c>
      <c r="X1101">
        <v>2.1</v>
      </c>
    </row>
    <row r="1102" spans="2:24" hidden="1" x14ac:dyDescent="0.35">
      <c r="B1102">
        <v>2018</v>
      </c>
      <c r="C1102" s="1">
        <v>43575</v>
      </c>
      <c r="D1102">
        <v>2411</v>
      </c>
      <c r="E1102" t="s">
        <v>23</v>
      </c>
      <c r="F1102" t="s">
        <v>44</v>
      </c>
      <c r="G1102" t="s">
        <v>35</v>
      </c>
      <c r="H1102">
        <v>51.83</v>
      </c>
      <c r="I1102">
        <v>68.75</v>
      </c>
      <c r="J1102">
        <v>0.30909999999999999</v>
      </c>
      <c r="K1102">
        <v>0.4148</v>
      </c>
      <c r="L1102">
        <v>0.27600000000000002</v>
      </c>
      <c r="M1102">
        <v>1.23</v>
      </c>
      <c r="N1102">
        <v>1.47</v>
      </c>
      <c r="O1102">
        <v>0</v>
      </c>
      <c r="P1102">
        <v>0</v>
      </c>
      <c r="Q1102">
        <v>1</v>
      </c>
      <c r="R1102">
        <v>2</v>
      </c>
      <c r="S1102">
        <v>1.04</v>
      </c>
      <c r="T1102">
        <v>1.1299999999999999</v>
      </c>
      <c r="U1102">
        <v>0.63</v>
      </c>
      <c r="V1102">
        <v>1.19</v>
      </c>
      <c r="W1102">
        <v>1.05</v>
      </c>
      <c r="X1102">
        <v>1.84</v>
      </c>
    </row>
    <row r="1103" spans="2:24" hidden="1" x14ac:dyDescent="0.35">
      <c r="B1103">
        <v>2018</v>
      </c>
      <c r="C1103" s="1">
        <v>43575</v>
      </c>
      <c r="D1103">
        <v>2411</v>
      </c>
      <c r="E1103" t="s">
        <v>23</v>
      </c>
      <c r="F1103" t="s">
        <v>38</v>
      </c>
      <c r="G1103" t="s">
        <v>48</v>
      </c>
      <c r="H1103">
        <v>67.05</v>
      </c>
      <c r="I1103">
        <v>58.03</v>
      </c>
      <c r="J1103">
        <v>0.45889999999999997</v>
      </c>
      <c r="K1103">
        <v>0.28799999999999998</v>
      </c>
      <c r="L1103">
        <v>0.25309999999999999</v>
      </c>
      <c r="M1103">
        <v>1.74</v>
      </c>
      <c r="N1103">
        <v>1.34</v>
      </c>
      <c r="O1103">
        <v>0</v>
      </c>
      <c r="P1103">
        <v>0</v>
      </c>
      <c r="Q1103">
        <v>0</v>
      </c>
      <c r="R1103">
        <v>1</v>
      </c>
      <c r="S1103">
        <v>2.81</v>
      </c>
      <c r="T1103">
        <v>2.46</v>
      </c>
      <c r="U1103">
        <v>1.44</v>
      </c>
      <c r="V1103">
        <v>1.97</v>
      </c>
      <c r="W1103">
        <v>0</v>
      </c>
      <c r="X1103">
        <v>1.05</v>
      </c>
    </row>
    <row r="1104" spans="2:24" hidden="1" x14ac:dyDescent="0.35">
      <c r="B1104">
        <v>2018</v>
      </c>
      <c r="C1104" s="1">
        <v>43575</v>
      </c>
      <c r="D1104">
        <v>2411</v>
      </c>
      <c r="E1104" t="s">
        <v>23</v>
      </c>
      <c r="F1104" t="s">
        <v>46</v>
      </c>
      <c r="G1104" t="s">
        <v>34</v>
      </c>
      <c r="H1104">
        <v>67.489999999999995</v>
      </c>
      <c r="I1104">
        <v>68.09</v>
      </c>
      <c r="J1104">
        <v>0.39760000000000001</v>
      </c>
      <c r="K1104">
        <v>0.31230000000000002</v>
      </c>
      <c r="L1104">
        <v>0.29010000000000002</v>
      </c>
      <c r="M1104">
        <v>1.34</v>
      </c>
      <c r="N1104">
        <v>1.1499999999999999</v>
      </c>
      <c r="O1104">
        <v>0.2</v>
      </c>
      <c r="P1104">
        <v>0.4</v>
      </c>
      <c r="Q1104">
        <v>3</v>
      </c>
      <c r="R1104">
        <v>1</v>
      </c>
      <c r="S1104">
        <v>1.48</v>
      </c>
      <c r="T1104">
        <v>1.35</v>
      </c>
      <c r="U1104">
        <v>1.02</v>
      </c>
      <c r="V1104">
        <v>1.69</v>
      </c>
      <c r="W1104">
        <v>2.73</v>
      </c>
      <c r="X1104">
        <v>1.05</v>
      </c>
    </row>
    <row r="1105" spans="2:24" hidden="1" x14ac:dyDescent="0.35">
      <c r="B1105">
        <v>2018</v>
      </c>
      <c r="C1105" s="1">
        <v>43576</v>
      </c>
      <c r="D1105">
        <v>2411</v>
      </c>
      <c r="E1105" t="s">
        <v>23</v>
      </c>
      <c r="F1105" t="s">
        <v>28</v>
      </c>
      <c r="G1105" t="s">
        <v>39</v>
      </c>
      <c r="H1105">
        <v>73.260000000000005</v>
      </c>
      <c r="I1105">
        <v>78.53</v>
      </c>
      <c r="J1105">
        <v>0.32179999999999997</v>
      </c>
      <c r="K1105">
        <v>0.41</v>
      </c>
      <c r="L1105">
        <v>0.26819999999999999</v>
      </c>
      <c r="M1105">
        <v>1.33</v>
      </c>
      <c r="N1105">
        <v>1.53</v>
      </c>
      <c r="O1105">
        <v>0</v>
      </c>
      <c r="P1105">
        <v>58.6</v>
      </c>
      <c r="Q1105">
        <v>4</v>
      </c>
      <c r="R1105">
        <v>0</v>
      </c>
      <c r="S1105">
        <v>1.61</v>
      </c>
      <c r="T1105">
        <v>0.38</v>
      </c>
      <c r="U1105">
        <v>0.97</v>
      </c>
      <c r="V1105">
        <v>0.72</v>
      </c>
      <c r="W1105">
        <v>4.2</v>
      </c>
      <c r="X1105">
        <v>0</v>
      </c>
    </row>
    <row r="1106" spans="2:24" hidden="1" x14ac:dyDescent="0.35">
      <c r="B1106">
        <v>2018</v>
      </c>
      <c r="C1106" s="1">
        <v>43576</v>
      </c>
      <c r="D1106">
        <v>2411</v>
      </c>
      <c r="E1106" t="s">
        <v>23</v>
      </c>
      <c r="F1106" t="s">
        <v>40</v>
      </c>
      <c r="G1106" t="s">
        <v>30</v>
      </c>
      <c r="H1106">
        <v>82.37</v>
      </c>
      <c r="I1106">
        <v>70.31</v>
      </c>
      <c r="J1106">
        <v>0.68830000000000002</v>
      </c>
      <c r="K1106">
        <v>0.11070000000000001</v>
      </c>
      <c r="L1106">
        <v>0.2011</v>
      </c>
      <c r="M1106">
        <v>2.15</v>
      </c>
      <c r="N1106">
        <v>0.73</v>
      </c>
      <c r="O1106">
        <v>100</v>
      </c>
      <c r="P1106">
        <v>0</v>
      </c>
      <c r="Q1106">
        <v>2</v>
      </c>
      <c r="R1106">
        <v>3</v>
      </c>
      <c r="S1106">
        <v>1.7</v>
      </c>
      <c r="T1106">
        <v>2.37</v>
      </c>
      <c r="U1106">
        <v>1.94</v>
      </c>
      <c r="V1106">
        <v>1.53</v>
      </c>
      <c r="W1106">
        <v>2.1</v>
      </c>
      <c r="X1106">
        <v>3.15</v>
      </c>
    </row>
    <row r="1107" spans="2:24" hidden="1" x14ac:dyDescent="0.35">
      <c r="B1107">
        <v>2018</v>
      </c>
      <c r="C1107" s="1">
        <v>43576</v>
      </c>
      <c r="D1107">
        <v>2411</v>
      </c>
      <c r="E1107" t="s">
        <v>23</v>
      </c>
      <c r="F1107" t="s">
        <v>47</v>
      </c>
      <c r="G1107" t="s">
        <v>41</v>
      </c>
      <c r="H1107">
        <v>58.28</v>
      </c>
      <c r="I1107">
        <v>93.55</v>
      </c>
      <c r="J1107">
        <v>7.4499999999999997E-2</v>
      </c>
      <c r="K1107">
        <v>0.7722</v>
      </c>
      <c r="L1107">
        <v>0.15329999999999999</v>
      </c>
      <c r="M1107">
        <v>0.69</v>
      </c>
      <c r="N1107">
        <v>2.6</v>
      </c>
      <c r="O1107">
        <v>81</v>
      </c>
      <c r="P1107">
        <v>100</v>
      </c>
      <c r="Q1107">
        <v>0</v>
      </c>
      <c r="R1107">
        <v>2</v>
      </c>
      <c r="S1107">
        <v>1.1200000000000001</v>
      </c>
      <c r="T1107">
        <v>2.84</v>
      </c>
      <c r="U1107">
        <v>0.74</v>
      </c>
      <c r="V1107">
        <v>2.4700000000000002</v>
      </c>
      <c r="W1107">
        <v>0</v>
      </c>
      <c r="X1107">
        <v>1.82</v>
      </c>
    </row>
    <row r="1108" spans="2:24" hidden="1" x14ac:dyDescent="0.35">
      <c r="B1108">
        <v>2018</v>
      </c>
      <c r="C1108" s="1">
        <v>43577</v>
      </c>
      <c r="D1108">
        <v>2411</v>
      </c>
      <c r="E1108" t="s">
        <v>23</v>
      </c>
      <c r="F1108" t="s">
        <v>42</v>
      </c>
      <c r="G1108" t="s">
        <v>32</v>
      </c>
      <c r="H1108">
        <v>84.85</v>
      </c>
      <c r="I1108">
        <v>66.760000000000005</v>
      </c>
      <c r="J1108">
        <v>0.75270000000000004</v>
      </c>
      <c r="K1108">
        <v>7.8899999999999998E-2</v>
      </c>
      <c r="L1108">
        <v>0.16839999999999999</v>
      </c>
      <c r="M1108">
        <v>2.4</v>
      </c>
      <c r="N1108">
        <v>0.64</v>
      </c>
      <c r="O1108">
        <v>100</v>
      </c>
      <c r="P1108">
        <v>0.1</v>
      </c>
      <c r="Q1108">
        <v>2</v>
      </c>
      <c r="R1108">
        <v>2</v>
      </c>
      <c r="S1108">
        <v>1.5</v>
      </c>
      <c r="T1108">
        <v>0.81</v>
      </c>
      <c r="U1108">
        <v>2.78</v>
      </c>
      <c r="V1108">
        <v>0.38</v>
      </c>
      <c r="W1108">
        <v>2.1</v>
      </c>
      <c r="X1108">
        <v>2.1</v>
      </c>
    </row>
    <row r="1109" spans="2:24" hidden="1" x14ac:dyDescent="0.35">
      <c r="B1109">
        <v>2018</v>
      </c>
      <c r="C1109" s="1">
        <v>43578</v>
      </c>
      <c r="D1109">
        <v>2411</v>
      </c>
      <c r="E1109" t="s">
        <v>23</v>
      </c>
      <c r="F1109" t="s">
        <v>35</v>
      </c>
      <c r="G1109" t="s">
        <v>34</v>
      </c>
      <c r="H1109">
        <v>68.94</v>
      </c>
      <c r="I1109">
        <v>67.84</v>
      </c>
      <c r="J1109">
        <v>0.42480000000000001</v>
      </c>
      <c r="K1109">
        <v>0.31209999999999999</v>
      </c>
      <c r="L1109">
        <v>0.2631</v>
      </c>
      <c r="M1109">
        <v>1.6</v>
      </c>
      <c r="N1109">
        <v>1.34</v>
      </c>
      <c r="O1109">
        <v>0</v>
      </c>
      <c r="P1109">
        <v>0.4</v>
      </c>
      <c r="Q1109">
        <v>1</v>
      </c>
      <c r="R1109">
        <v>1</v>
      </c>
      <c r="S1109">
        <v>1.75</v>
      </c>
      <c r="T1109">
        <v>1.93</v>
      </c>
      <c r="U1109">
        <v>1.92</v>
      </c>
      <c r="V1109">
        <v>0.87</v>
      </c>
      <c r="W1109">
        <v>1.05</v>
      </c>
      <c r="X1109">
        <v>1.05</v>
      </c>
    </row>
    <row r="1110" spans="2:24" hidden="1" x14ac:dyDescent="0.35">
      <c r="B1110">
        <v>2018</v>
      </c>
      <c r="C1110" s="1">
        <v>43578</v>
      </c>
      <c r="D1110">
        <v>2411</v>
      </c>
      <c r="E1110" t="s">
        <v>23</v>
      </c>
      <c r="F1110" t="s">
        <v>29</v>
      </c>
      <c r="G1110" t="s">
        <v>45</v>
      </c>
      <c r="H1110">
        <v>84.36</v>
      </c>
      <c r="I1110">
        <v>56.21</v>
      </c>
      <c r="J1110">
        <v>0.83260000000000001</v>
      </c>
      <c r="K1110">
        <v>3.61E-2</v>
      </c>
      <c r="L1110">
        <v>0.13120000000000001</v>
      </c>
      <c r="M1110">
        <v>2.52</v>
      </c>
      <c r="N1110">
        <v>0.36</v>
      </c>
      <c r="O1110">
        <v>74.2</v>
      </c>
      <c r="P1110">
        <v>32.4</v>
      </c>
      <c r="Q1110">
        <v>1</v>
      </c>
      <c r="R1110">
        <v>0</v>
      </c>
      <c r="S1110">
        <v>1.48</v>
      </c>
      <c r="T1110">
        <v>0.2</v>
      </c>
      <c r="U1110">
        <v>2.36</v>
      </c>
      <c r="V1110">
        <v>0.23</v>
      </c>
      <c r="W1110">
        <v>1.05</v>
      </c>
      <c r="X1110">
        <v>0</v>
      </c>
    </row>
    <row r="1111" spans="2:24" hidden="1" x14ac:dyDescent="0.35">
      <c r="B1111">
        <v>2018</v>
      </c>
      <c r="C1111" s="1">
        <v>43579</v>
      </c>
      <c r="D1111">
        <v>2411</v>
      </c>
      <c r="E1111" t="s">
        <v>23</v>
      </c>
      <c r="F1111" t="s">
        <v>49</v>
      </c>
      <c r="G1111" t="s">
        <v>40</v>
      </c>
      <c r="H1111">
        <v>69.87</v>
      </c>
      <c r="I1111">
        <v>80.8</v>
      </c>
      <c r="J1111">
        <v>0.23069999999999999</v>
      </c>
      <c r="K1111">
        <v>0.51519999999999999</v>
      </c>
      <c r="L1111">
        <v>0.25409999999999999</v>
      </c>
      <c r="M1111">
        <v>1.1000000000000001</v>
      </c>
      <c r="N1111">
        <v>1.76</v>
      </c>
      <c r="O1111">
        <v>0</v>
      </c>
      <c r="P1111">
        <v>100</v>
      </c>
      <c r="Q1111">
        <v>3</v>
      </c>
      <c r="R1111">
        <v>1</v>
      </c>
      <c r="S1111">
        <v>0.95</v>
      </c>
      <c r="T1111">
        <v>1.02</v>
      </c>
      <c r="U1111">
        <v>0.86</v>
      </c>
      <c r="V1111">
        <v>1.85</v>
      </c>
      <c r="W1111">
        <v>3.15</v>
      </c>
      <c r="X1111">
        <v>1.05</v>
      </c>
    </row>
    <row r="1112" spans="2:24" hidden="1" x14ac:dyDescent="0.35">
      <c r="B1112">
        <v>2018</v>
      </c>
      <c r="C1112" s="1">
        <v>43579</v>
      </c>
      <c r="D1112">
        <v>2411</v>
      </c>
      <c r="E1112" t="s">
        <v>23</v>
      </c>
      <c r="F1112" t="s">
        <v>39</v>
      </c>
      <c r="G1112" t="s">
        <v>36</v>
      </c>
      <c r="H1112">
        <v>76.84</v>
      </c>
      <c r="I1112">
        <v>94.68</v>
      </c>
      <c r="J1112">
        <v>0.15260000000000001</v>
      </c>
      <c r="K1112">
        <v>0.65</v>
      </c>
      <c r="L1112">
        <v>0.1973</v>
      </c>
      <c r="M1112">
        <v>1.07</v>
      </c>
      <c r="N1112">
        <v>2.38</v>
      </c>
      <c r="O1112">
        <v>63.2</v>
      </c>
      <c r="P1112">
        <v>100</v>
      </c>
      <c r="Q1112">
        <v>0</v>
      </c>
      <c r="R1112">
        <v>2</v>
      </c>
      <c r="S1112">
        <v>0.55000000000000004</v>
      </c>
      <c r="T1112">
        <v>0.62</v>
      </c>
      <c r="U1112">
        <v>1.1599999999999999</v>
      </c>
      <c r="V1112">
        <v>2.8</v>
      </c>
      <c r="W1112">
        <v>0</v>
      </c>
      <c r="X1112">
        <v>2.1</v>
      </c>
    </row>
    <row r="1113" spans="2:24" hidden="1" x14ac:dyDescent="0.35">
      <c r="B1113">
        <v>2018</v>
      </c>
      <c r="C1113" s="1">
        <v>43581</v>
      </c>
      <c r="D1113">
        <v>2411</v>
      </c>
      <c r="E1113" t="s">
        <v>23</v>
      </c>
      <c r="F1113" t="s">
        <v>41</v>
      </c>
      <c r="G1113" t="s">
        <v>44</v>
      </c>
      <c r="H1113">
        <v>93.6</v>
      </c>
      <c r="I1113">
        <v>51.84</v>
      </c>
      <c r="J1113">
        <v>0.93440000000000001</v>
      </c>
      <c r="K1113">
        <v>8.6999999999999994E-3</v>
      </c>
      <c r="L1113">
        <v>5.7000000000000002E-2</v>
      </c>
      <c r="M1113">
        <v>3.34</v>
      </c>
      <c r="N1113">
        <v>0.2</v>
      </c>
      <c r="O1113">
        <v>98.8</v>
      </c>
      <c r="P1113">
        <v>0</v>
      </c>
      <c r="Q1113">
        <v>5</v>
      </c>
      <c r="R1113">
        <v>0</v>
      </c>
      <c r="S1113">
        <v>3.37</v>
      </c>
      <c r="T1113">
        <v>0.2</v>
      </c>
      <c r="U1113">
        <v>2.0699999999999998</v>
      </c>
      <c r="V1113">
        <v>0.19</v>
      </c>
      <c r="W1113">
        <v>4.93</v>
      </c>
      <c r="X1113">
        <v>0</v>
      </c>
    </row>
    <row r="1114" spans="2:24" hidden="1" x14ac:dyDescent="0.35">
      <c r="B1114">
        <v>2018</v>
      </c>
      <c r="C1114" s="1">
        <v>43582</v>
      </c>
      <c r="D1114">
        <v>2411</v>
      </c>
      <c r="E1114" t="s">
        <v>23</v>
      </c>
      <c r="F1114" t="s">
        <v>29</v>
      </c>
      <c r="G1114" t="s">
        <v>43</v>
      </c>
      <c r="H1114">
        <v>84.53</v>
      </c>
      <c r="I1114">
        <v>62.88</v>
      </c>
      <c r="J1114">
        <v>0.76119999999999999</v>
      </c>
      <c r="K1114">
        <v>7.5700000000000003E-2</v>
      </c>
      <c r="L1114">
        <v>0.16309999999999999</v>
      </c>
      <c r="M1114">
        <v>2.46</v>
      </c>
      <c r="N1114">
        <v>0.64</v>
      </c>
      <c r="O1114">
        <v>40.4</v>
      </c>
      <c r="P1114">
        <v>0</v>
      </c>
      <c r="Q1114">
        <v>0</v>
      </c>
      <c r="R1114">
        <v>1</v>
      </c>
      <c r="S1114">
        <v>1.73</v>
      </c>
      <c r="T1114">
        <v>1.04</v>
      </c>
      <c r="U1114">
        <v>1.83</v>
      </c>
      <c r="V1114">
        <v>0.86</v>
      </c>
      <c r="W1114">
        <v>0</v>
      </c>
      <c r="X1114">
        <v>1.05</v>
      </c>
    </row>
    <row r="1115" spans="2:24" hidden="1" x14ac:dyDescent="0.35">
      <c r="B1115">
        <v>2018</v>
      </c>
      <c r="C1115" s="1">
        <v>43582</v>
      </c>
      <c r="D1115">
        <v>2411</v>
      </c>
      <c r="E1115" t="s">
        <v>23</v>
      </c>
      <c r="F1115" t="s">
        <v>48</v>
      </c>
      <c r="G1115" t="s">
        <v>47</v>
      </c>
      <c r="H1115">
        <v>59.3</v>
      </c>
      <c r="I1115">
        <v>58.27</v>
      </c>
      <c r="J1115">
        <v>0.41139999999999999</v>
      </c>
      <c r="K1115">
        <v>0.31009999999999999</v>
      </c>
      <c r="L1115">
        <v>0.27850000000000003</v>
      </c>
      <c r="M1115">
        <v>1.44</v>
      </c>
      <c r="N1115">
        <v>1.22</v>
      </c>
      <c r="O1115">
        <v>0</v>
      </c>
      <c r="P1115">
        <v>61.7</v>
      </c>
      <c r="Q1115">
        <v>1</v>
      </c>
      <c r="R1115">
        <v>0</v>
      </c>
      <c r="S1115">
        <v>0.42</v>
      </c>
      <c r="T1115">
        <v>1.19</v>
      </c>
      <c r="U1115">
        <v>1.57</v>
      </c>
      <c r="V1115">
        <v>1.05</v>
      </c>
      <c r="W1115">
        <v>1.05</v>
      </c>
      <c r="X1115">
        <v>0</v>
      </c>
    </row>
    <row r="1116" spans="2:24" hidden="1" x14ac:dyDescent="0.35">
      <c r="B1116">
        <v>2018</v>
      </c>
      <c r="C1116" s="1">
        <v>43582</v>
      </c>
      <c r="D1116">
        <v>2411</v>
      </c>
      <c r="E1116" t="s">
        <v>23</v>
      </c>
      <c r="F1116" t="s">
        <v>30</v>
      </c>
      <c r="G1116" t="s">
        <v>28</v>
      </c>
      <c r="H1116">
        <v>71.78</v>
      </c>
      <c r="I1116">
        <v>75.05</v>
      </c>
      <c r="J1116">
        <v>0.38340000000000002</v>
      </c>
      <c r="K1116">
        <v>0.3332</v>
      </c>
      <c r="L1116">
        <v>0.28339999999999999</v>
      </c>
      <c r="M1116">
        <v>1.36</v>
      </c>
      <c r="N1116">
        <v>1.25</v>
      </c>
      <c r="O1116">
        <v>0</v>
      </c>
      <c r="P1116">
        <v>0</v>
      </c>
      <c r="Q1116">
        <v>0</v>
      </c>
      <c r="R1116">
        <v>0</v>
      </c>
      <c r="S1116">
        <v>0.3</v>
      </c>
      <c r="T1116">
        <v>1.36</v>
      </c>
      <c r="U1116">
        <v>0.55000000000000004</v>
      </c>
      <c r="V1116">
        <v>1.8</v>
      </c>
      <c r="W1116">
        <v>0</v>
      </c>
      <c r="X1116">
        <v>0</v>
      </c>
    </row>
    <row r="1117" spans="2:24" hidden="1" x14ac:dyDescent="0.35">
      <c r="B1117">
        <v>2018</v>
      </c>
      <c r="C1117" s="1">
        <v>43582</v>
      </c>
      <c r="D1117">
        <v>2411</v>
      </c>
      <c r="E1117" t="s">
        <v>23</v>
      </c>
      <c r="F1117" t="s">
        <v>35</v>
      </c>
      <c r="G1117" t="s">
        <v>49</v>
      </c>
      <c r="H1117">
        <v>68.81</v>
      </c>
      <c r="I1117">
        <v>70.5</v>
      </c>
      <c r="J1117">
        <v>0.3987</v>
      </c>
      <c r="K1117">
        <v>0.32569999999999999</v>
      </c>
      <c r="L1117">
        <v>0.27560000000000001</v>
      </c>
      <c r="M1117">
        <v>1.45</v>
      </c>
      <c r="N1117">
        <v>1.28</v>
      </c>
      <c r="O1117">
        <v>0</v>
      </c>
      <c r="P1117">
        <v>0</v>
      </c>
      <c r="Q1117">
        <v>1</v>
      </c>
      <c r="R1117">
        <v>2</v>
      </c>
      <c r="S1117">
        <v>1.04</v>
      </c>
      <c r="T1117">
        <v>2.1800000000000002</v>
      </c>
      <c r="U1117">
        <v>1.39</v>
      </c>
      <c r="V1117">
        <v>1.47</v>
      </c>
      <c r="W1117">
        <v>1.05</v>
      </c>
      <c r="X1117">
        <v>2.1</v>
      </c>
    </row>
    <row r="1118" spans="2:24" hidden="1" x14ac:dyDescent="0.35">
      <c r="B1118">
        <v>2018</v>
      </c>
      <c r="C1118" s="1">
        <v>43582</v>
      </c>
      <c r="D1118">
        <v>2411</v>
      </c>
      <c r="E1118" t="s">
        <v>23</v>
      </c>
      <c r="F1118" t="s">
        <v>34</v>
      </c>
      <c r="G1118" t="s">
        <v>38</v>
      </c>
      <c r="H1118">
        <v>68</v>
      </c>
      <c r="I1118">
        <v>65.73</v>
      </c>
      <c r="J1118">
        <v>0.42080000000000001</v>
      </c>
      <c r="K1118">
        <v>0.31909999999999999</v>
      </c>
      <c r="L1118">
        <v>0.26</v>
      </c>
      <c r="M1118">
        <v>1.62</v>
      </c>
      <c r="N1118">
        <v>1.39</v>
      </c>
      <c r="O1118">
        <v>0.2</v>
      </c>
      <c r="P1118">
        <v>0</v>
      </c>
      <c r="Q1118">
        <v>3</v>
      </c>
      <c r="R1118">
        <v>3</v>
      </c>
      <c r="S1118">
        <v>2.75</v>
      </c>
      <c r="T1118">
        <v>2.2200000000000002</v>
      </c>
      <c r="U1118">
        <v>2.14</v>
      </c>
      <c r="V1118">
        <v>1.21</v>
      </c>
      <c r="W1118">
        <v>3.15</v>
      </c>
      <c r="X1118">
        <v>3.15</v>
      </c>
    </row>
    <row r="1119" spans="2:24" hidden="1" x14ac:dyDescent="0.35">
      <c r="B1119">
        <v>2018</v>
      </c>
      <c r="C1119" s="1">
        <v>43582</v>
      </c>
      <c r="D1119">
        <v>2411</v>
      </c>
      <c r="E1119" t="s">
        <v>23</v>
      </c>
      <c r="F1119" t="s">
        <v>45</v>
      </c>
      <c r="G1119" t="s">
        <v>46</v>
      </c>
      <c r="H1119">
        <v>56.38</v>
      </c>
      <c r="I1119">
        <v>67.48</v>
      </c>
      <c r="J1119">
        <v>0.34710000000000002</v>
      </c>
      <c r="K1119">
        <v>0.34789999999999999</v>
      </c>
      <c r="L1119">
        <v>0.30509999999999998</v>
      </c>
      <c r="M1119">
        <v>1.1499999999999999</v>
      </c>
      <c r="N1119">
        <v>1.1499999999999999</v>
      </c>
      <c r="O1119">
        <v>24.2</v>
      </c>
      <c r="P1119">
        <v>0</v>
      </c>
      <c r="Q1119">
        <v>1</v>
      </c>
      <c r="R1119">
        <v>1</v>
      </c>
      <c r="S1119">
        <v>1.31</v>
      </c>
      <c r="T1119">
        <v>0.39</v>
      </c>
      <c r="U1119">
        <v>1.67</v>
      </c>
      <c r="V1119">
        <v>0.98</v>
      </c>
      <c r="W1119">
        <v>1.05</v>
      </c>
      <c r="X1119">
        <v>1.05</v>
      </c>
    </row>
    <row r="1120" spans="2:24" hidden="1" x14ac:dyDescent="0.35">
      <c r="B1120">
        <v>2018</v>
      </c>
      <c r="C1120" s="1">
        <v>43583</v>
      </c>
      <c r="D1120">
        <v>2411</v>
      </c>
      <c r="E1120" t="s">
        <v>23</v>
      </c>
      <c r="F1120" t="s">
        <v>25</v>
      </c>
      <c r="G1120" t="s">
        <v>40</v>
      </c>
      <c r="H1120">
        <v>72.17</v>
      </c>
      <c r="I1120">
        <v>80.209999999999994</v>
      </c>
      <c r="J1120">
        <v>0.26540000000000002</v>
      </c>
      <c r="K1120">
        <v>0.48089999999999999</v>
      </c>
      <c r="L1120">
        <v>0.25369999999999998</v>
      </c>
      <c r="M1120">
        <v>1.25</v>
      </c>
      <c r="N1120">
        <v>1.75</v>
      </c>
      <c r="O1120">
        <v>0</v>
      </c>
      <c r="P1120">
        <v>100</v>
      </c>
      <c r="Q1120">
        <v>3</v>
      </c>
      <c r="R1120">
        <v>0</v>
      </c>
      <c r="S1120">
        <v>3.78</v>
      </c>
      <c r="T1120">
        <v>0.71</v>
      </c>
      <c r="U1120">
        <v>2.81</v>
      </c>
      <c r="V1120">
        <v>0.91</v>
      </c>
      <c r="W1120">
        <v>1.77</v>
      </c>
      <c r="X1120">
        <v>0</v>
      </c>
    </row>
    <row r="1121" spans="2:24" hidden="1" x14ac:dyDescent="0.35">
      <c r="B1121">
        <v>2018</v>
      </c>
      <c r="C1121" s="1">
        <v>43583</v>
      </c>
      <c r="D1121">
        <v>2411</v>
      </c>
      <c r="E1121" t="s">
        <v>23</v>
      </c>
      <c r="F1121" t="s">
        <v>32</v>
      </c>
      <c r="G1121" t="s">
        <v>36</v>
      </c>
      <c r="H1121">
        <v>67.14</v>
      </c>
      <c r="I1121">
        <v>94.57</v>
      </c>
      <c r="J1121">
        <v>6.7000000000000004E-2</v>
      </c>
      <c r="K1121">
        <v>0.79159999999999997</v>
      </c>
      <c r="L1121">
        <v>0.14149999999999999</v>
      </c>
      <c r="M1121">
        <v>0.68</v>
      </c>
      <c r="N1121">
        <v>2.73</v>
      </c>
      <c r="O1121">
        <v>0</v>
      </c>
      <c r="P1121">
        <v>100</v>
      </c>
      <c r="Q1121">
        <v>0</v>
      </c>
      <c r="R1121">
        <v>1</v>
      </c>
      <c r="S1121">
        <v>0.06</v>
      </c>
      <c r="T1121">
        <v>2.5499999999999998</v>
      </c>
      <c r="U1121">
        <v>0.4</v>
      </c>
      <c r="V1121">
        <v>2.92</v>
      </c>
      <c r="W1121">
        <v>0</v>
      </c>
      <c r="X1121">
        <v>1.05</v>
      </c>
    </row>
    <row r="1122" spans="2:24" hidden="1" x14ac:dyDescent="0.35">
      <c r="B1122">
        <v>2018</v>
      </c>
      <c r="C1122" s="1">
        <v>43583</v>
      </c>
      <c r="D1122">
        <v>2411</v>
      </c>
      <c r="E1122" t="s">
        <v>23</v>
      </c>
      <c r="F1122" t="s">
        <v>39</v>
      </c>
      <c r="G1122" t="s">
        <v>42</v>
      </c>
      <c r="H1122">
        <v>76.540000000000006</v>
      </c>
      <c r="I1122">
        <v>84.53</v>
      </c>
      <c r="J1122">
        <v>0.34210000000000002</v>
      </c>
      <c r="K1122">
        <v>0.40139999999999998</v>
      </c>
      <c r="L1122">
        <v>0.25650000000000001</v>
      </c>
      <c r="M1122">
        <v>1.49</v>
      </c>
      <c r="N1122">
        <v>1.63</v>
      </c>
      <c r="O1122">
        <v>100</v>
      </c>
      <c r="P1122">
        <v>100</v>
      </c>
      <c r="Q1122">
        <v>1</v>
      </c>
      <c r="R1122">
        <v>1</v>
      </c>
      <c r="S1122">
        <v>1.21</v>
      </c>
      <c r="T1122">
        <v>1.86</v>
      </c>
      <c r="U1122">
        <v>1.27</v>
      </c>
      <c r="V1122">
        <v>1.3</v>
      </c>
      <c r="W1122">
        <v>1.05</v>
      </c>
      <c r="X1122">
        <v>1.05</v>
      </c>
    </row>
    <row r="1123" spans="2:24" hidden="1" x14ac:dyDescent="0.35">
      <c r="B1123">
        <v>2018</v>
      </c>
      <c r="C1123" s="1">
        <v>43588</v>
      </c>
      <c r="D1123">
        <v>2411</v>
      </c>
      <c r="E1123" t="s">
        <v>23</v>
      </c>
      <c r="F1123" t="s">
        <v>28</v>
      </c>
      <c r="G1123" t="s">
        <v>32</v>
      </c>
      <c r="H1123">
        <v>76.290000000000006</v>
      </c>
      <c r="I1123">
        <v>66.400000000000006</v>
      </c>
      <c r="J1123">
        <v>0.4491</v>
      </c>
      <c r="K1123">
        <v>0.2697</v>
      </c>
      <c r="L1123">
        <v>0.28129999999999999</v>
      </c>
      <c r="M1123">
        <v>1.47</v>
      </c>
      <c r="N1123">
        <v>1.08</v>
      </c>
      <c r="O1123">
        <v>0</v>
      </c>
      <c r="P1123">
        <v>0</v>
      </c>
      <c r="Q1123">
        <v>2</v>
      </c>
      <c r="R1123">
        <v>0</v>
      </c>
      <c r="S1123">
        <v>1.61</v>
      </c>
      <c r="T1123">
        <v>0.7</v>
      </c>
      <c r="U1123">
        <v>1.29</v>
      </c>
      <c r="V1123">
        <v>1.01</v>
      </c>
      <c r="W1123">
        <v>2.1</v>
      </c>
      <c r="X1123">
        <v>0</v>
      </c>
    </row>
    <row r="1124" spans="2:24" hidden="1" x14ac:dyDescent="0.35">
      <c r="B1124">
        <v>2018</v>
      </c>
      <c r="C1124" s="1">
        <v>43589</v>
      </c>
      <c r="D1124">
        <v>2411</v>
      </c>
      <c r="E1124" t="s">
        <v>23</v>
      </c>
      <c r="F1124" t="s">
        <v>38</v>
      </c>
      <c r="G1124" t="s">
        <v>29</v>
      </c>
      <c r="H1124">
        <v>65.39</v>
      </c>
      <c r="I1124">
        <v>83.33</v>
      </c>
      <c r="J1124">
        <v>0.22009999999999999</v>
      </c>
      <c r="K1124">
        <v>0.54200000000000004</v>
      </c>
      <c r="L1124">
        <v>0.2379</v>
      </c>
      <c r="M1124">
        <v>1.1599999999999999</v>
      </c>
      <c r="N1124">
        <v>1.94</v>
      </c>
      <c r="O1124">
        <v>0</v>
      </c>
      <c r="P1124">
        <v>52.5</v>
      </c>
      <c r="Q1124">
        <v>1</v>
      </c>
      <c r="R1124">
        <v>0</v>
      </c>
      <c r="S1124">
        <v>2.27</v>
      </c>
      <c r="T1124">
        <v>0.79</v>
      </c>
      <c r="U1124">
        <v>2.1800000000000002</v>
      </c>
      <c r="V1124">
        <v>1.02</v>
      </c>
      <c r="W1124">
        <v>0.84</v>
      </c>
      <c r="X1124">
        <v>0</v>
      </c>
    </row>
    <row r="1125" spans="2:24" hidden="1" x14ac:dyDescent="0.35">
      <c r="B1125">
        <v>2018</v>
      </c>
      <c r="C1125" s="1">
        <v>43589</v>
      </c>
      <c r="D1125">
        <v>2411</v>
      </c>
      <c r="E1125" t="s">
        <v>23</v>
      </c>
      <c r="F1125" t="s">
        <v>49</v>
      </c>
      <c r="G1125" t="s">
        <v>48</v>
      </c>
      <c r="H1125">
        <v>71.55</v>
      </c>
      <c r="I1125">
        <v>59.31</v>
      </c>
      <c r="J1125">
        <v>0.46139999999999998</v>
      </c>
      <c r="K1125">
        <v>0.2671</v>
      </c>
      <c r="L1125">
        <v>0.27139999999999997</v>
      </c>
      <c r="M1125">
        <v>1.56</v>
      </c>
      <c r="N1125">
        <v>1.1299999999999999</v>
      </c>
      <c r="O1125">
        <v>0</v>
      </c>
      <c r="P1125">
        <v>0</v>
      </c>
      <c r="Q1125">
        <v>1</v>
      </c>
      <c r="R1125">
        <v>0</v>
      </c>
      <c r="S1125">
        <v>2.21</v>
      </c>
      <c r="T1125">
        <v>0.49</v>
      </c>
      <c r="U1125">
        <v>1.94</v>
      </c>
      <c r="V1125">
        <v>0.69</v>
      </c>
      <c r="W1125">
        <v>1.05</v>
      </c>
      <c r="X1125">
        <v>0</v>
      </c>
    </row>
    <row r="1126" spans="2:24" hidden="1" x14ac:dyDescent="0.35">
      <c r="B1126">
        <v>2018</v>
      </c>
      <c r="C1126" s="1">
        <v>43589</v>
      </c>
      <c r="D1126">
        <v>2411</v>
      </c>
      <c r="E1126" t="s">
        <v>23</v>
      </c>
      <c r="F1126" t="s">
        <v>43</v>
      </c>
      <c r="G1126" t="s">
        <v>34</v>
      </c>
      <c r="H1126">
        <v>64.180000000000007</v>
      </c>
      <c r="I1126">
        <v>67.709999999999994</v>
      </c>
      <c r="J1126">
        <v>0.3891</v>
      </c>
      <c r="K1126">
        <v>0.3488</v>
      </c>
      <c r="L1126">
        <v>0.2621</v>
      </c>
      <c r="M1126">
        <v>1.55</v>
      </c>
      <c r="N1126">
        <v>1.45</v>
      </c>
      <c r="O1126">
        <v>0</v>
      </c>
      <c r="P1126">
        <v>0</v>
      </c>
      <c r="Q1126">
        <v>3</v>
      </c>
      <c r="R1126">
        <v>0</v>
      </c>
      <c r="S1126">
        <v>1.39</v>
      </c>
      <c r="T1126">
        <v>0.44</v>
      </c>
      <c r="U1126">
        <v>0.95</v>
      </c>
      <c r="V1126">
        <v>1.33</v>
      </c>
      <c r="W1126">
        <v>3.1</v>
      </c>
      <c r="X1126">
        <v>0</v>
      </c>
    </row>
    <row r="1127" spans="2:24" hidden="1" x14ac:dyDescent="0.35">
      <c r="B1127">
        <v>2018</v>
      </c>
      <c r="C1127" s="1">
        <v>43589</v>
      </c>
      <c r="D1127">
        <v>2411</v>
      </c>
      <c r="E1127" t="s">
        <v>23</v>
      </c>
      <c r="F1127" t="s">
        <v>47</v>
      </c>
      <c r="G1127" t="s">
        <v>30</v>
      </c>
      <c r="H1127">
        <v>58.7</v>
      </c>
      <c r="I1127">
        <v>70.87</v>
      </c>
      <c r="J1127">
        <v>0.33100000000000002</v>
      </c>
      <c r="K1127">
        <v>0.37869999999999998</v>
      </c>
      <c r="L1127">
        <v>0.2903</v>
      </c>
      <c r="M1127">
        <v>1.2</v>
      </c>
      <c r="N1127">
        <v>1.3</v>
      </c>
      <c r="O1127">
        <v>23.9</v>
      </c>
      <c r="P1127">
        <v>0</v>
      </c>
      <c r="Q1127">
        <v>2</v>
      </c>
      <c r="R1127">
        <v>3</v>
      </c>
      <c r="S1127">
        <v>1.64</v>
      </c>
      <c r="T1127">
        <v>1.88</v>
      </c>
      <c r="U1127">
        <v>2.58</v>
      </c>
      <c r="V1127">
        <v>2.35</v>
      </c>
      <c r="W1127">
        <v>2.1</v>
      </c>
      <c r="X1127">
        <v>3.15</v>
      </c>
    </row>
    <row r="1128" spans="2:24" hidden="1" x14ac:dyDescent="0.35">
      <c r="B1128">
        <v>2018</v>
      </c>
      <c r="C1128" s="1">
        <v>43589</v>
      </c>
      <c r="D1128">
        <v>2411</v>
      </c>
      <c r="E1128" t="s">
        <v>23</v>
      </c>
      <c r="F1128" t="s">
        <v>46</v>
      </c>
      <c r="G1128" t="s">
        <v>41</v>
      </c>
      <c r="H1128">
        <v>66.75</v>
      </c>
      <c r="I1128">
        <v>93.43</v>
      </c>
      <c r="J1128">
        <v>7.8600000000000003E-2</v>
      </c>
      <c r="K1128">
        <v>0.75419999999999998</v>
      </c>
      <c r="L1128">
        <v>0.16719999999999999</v>
      </c>
      <c r="M1128">
        <v>0.64</v>
      </c>
      <c r="N1128">
        <v>2.42</v>
      </c>
      <c r="O1128">
        <v>0</v>
      </c>
      <c r="P1128">
        <v>97.7</v>
      </c>
      <c r="Q1128">
        <v>2</v>
      </c>
      <c r="R1128">
        <v>3</v>
      </c>
      <c r="S1128">
        <v>1.43</v>
      </c>
      <c r="T1128">
        <v>1.63</v>
      </c>
      <c r="U1128">
        <v>0.69</v>
      </c>
      <c r="V1128">
        <v>1.92</v>
      </c>
      <c r="W1128">
        <v>2.1</v>
      </c>
      <c r="X1128">
        <v>3.15</v>
      </c>
    </row>
    <row r="1129" spans="2:24" hidden="1" x14ac:dyDescent="0.35">
      <c r="B1129">
        <v>2018</v>
      </c>
      <c r="C1129" s="1">
        <v>43590</v>
      </c>
      <c r="D1129">
        <v>2411</v>
      </c>
      <c r="E1129" t="s">
        <v>23</v>
      </c>
      <c r="F1129" t="s">
        <v>42</v>
      </c>
      <c r="G1129" t="s">
        <v>35</v>
      </c>
      <c r="H1129">
        <v>84.99</v>
      </c>
      <c r="I1129">
        <v>67.58</v>
      </c>
      <c r="J1129">
        <v>0.74329999999999996</v>
      </c>
      <c r="K1129">
        <v>8.6199999999999999E-2</v>
      </c>
      <c r="L1129">
        <v>0.17050000000000001</v>
      </c>
      <c r="M1129">
        <v>2.4300000000000002</v>
      </c>
      <c r="N1129">
        <v>0.7</v>
      </c>
      <c r="O1129">
        <v>100</v>
      </c>
      <c r="P1129">
        <v>0</v>
      </c>
      <c r="Q1129">
        <v>3</v>
      </c>
      <c r="R1129">
        <v>0</v>
      </c>
      <c r="S1129">
        <v>2.88</v>
      </c>
      <c r="T1129">
        <v>1.1000000000000001</v>
      </c>
      <c r="U1129">
        <v>2.35</v>
      </c>
      <c r="V1129">
        <v>2.1800000000000002</v>
      </c>
      <c r="W1129">
        <v>3.04</v>
      </c>
      <c r="X1129">
        <v>0</v>
      </c>
    </row>
    <row r="1130" spans="2:24" hidden="1" x14ac:dyDescent="0.35">
      <c r="B1130">
        <v>2018</v>
      </c>
      <c r="C1130" s="1">
        <v>43590</v>
      </c>
      <c r="D1130">
        <v>2411</v>
      </c>
      <c r="E1130" t="s">
        <v>23</v>
      </c>
      <c r="F1130" t="s">
        <v>44</v>
      </c>
      <c r="G1130" t="s">
        <v>39</v>
      </c>
      <c r="H1130">
        <v>51.35</v>
      </c>
      <c r="I1130">
        <v>76.47</v>
      </c>
      <c r="J1130">
        <v>0.1666</v>
      </c>
      <c r="K1130">
        <v>0.59599999999999997</v>
      </c>
      <c r="L1130">
        <v>0.2374</v>
      </c>
      <c r="M1130">
        <v>0.88</v>
      </c>
      <c r="N1130">
        <v>1.89</v>
      </c>
      <c r="O1130">
        <v>0</v>
      </c>
      <c r="P1130">
        <v>37.200000000000003</v>
      </c>
      <c r="Q1130">
        <v>1</v>
      </c>
      <c r="R1130">
        <v>1</v>
      </c>
      <c r="S1130">
        <v>0.84</v>
      </c>
      <c r="T1130">
        <v>1.94</v>
      </c>
      <c r="U1130">
        <v>0.77</v>
      </c>
      <c r="V1130">
        <v>3.77</v>
      </c>
      <c r="W1130">
        <v>1.05</v>
      </c>
      <c r="X1130">
        <v>1.05</v>
      </c>
    </row>
    <row r="1131" spans="2:24" hidden="1" x14ac:dyDescent="0.35">
      <c r="B1131">
        <v>2018</v>
      </c>
      <c r="C1131" s="1">
        <v>43590</v>
      </c>
      <c r="D1131">
        <v>2411</v>
      </c>
      <c r="E1131" t="s">
        <v>23</v>
      </c>
      <c r="F1131" t="s">
        <v>40</v>
      </c>
      <c r="G1131" t="s">
        <v>45</v>
      </c>
      <c r="H1131">
        <v>78.650000000000006</v>
      </c>
      <c r="I1131">
        <v>57.2</v>
      </c>
      <c r="J1131">
        <v>0.79610000000000003</v>
      </c>
      <c r="K1131">
        <v>5.3900000000000003E-2</v>
      </c>
      <c r="L1131">
        <v>0.15</v>
      </c>
      <c r="M1131">
        <v>2.4500000000000002</v>
      </c>
      <c r="N1131">
        <v>0.48</v>
      </c>
      <c r="O1131">
        <v>100</v>
      </c>
      <c r="P1131">
        <v>0</v>
      </c>
      <c r="Q1131">
        <v>1</v>
      </c>
      <c r="R1131">
        <v>1</v>
      </c>
      <c r="S1131">
        <v>2.37</v>
      </c>
      <c r="T1131">
        <v>2.0499999999999998</v>
      </c>
      <c r="U1131">
        <v>2.74</v>
      </c>
      <c r="V1131">
        <v>1.32</v>
      </c>
      <c r="W1131">
        <v>1.05</v>
      </c>
      <c r="X1131">
        <v>1.05</v>
      </c>
    </row>
    <row r="1132" spans="2:24" hidden="1" x14ac:dyDescent="0.35">
      <c r="B1132">
        <v>2018</v>
      </c>
      <c r="C1132" s="1">
        <v>43591</v>
      </c>
      <c r="D1132">
        <v>2411</v>
      </c>
      <c r="E1132" t="s">
        <v>23</v>
      </c>
      <c r="F1132" t="s">
        <v>36</v>
      </c>
      <c r="G1132" t="s">
        <v>25</v>
      </c>
      <c r="H1132">
        <v>94.49</v>
      </c>
      <c r="I1132">
        <v>74.37</v>
      </c>
      <c r="J1132">
        <v>0.88500000000000001</v>
      </c>
      <c r="K1132">
        <v>2.0400000000000001E-2</v>
      </c>
      <c r="L1132">
        <v>9.4600000000000004E-2</v>
      </c>
      <c r="M1132">
        <v>2.86</v>
      </c>
      <c r="N1132">
        <v>0.28999999999999998</v>
      </c>
      <c r="O1132">
        <v>100</v>
      </c>
      <c r="P1132">
        <v>0</v>
      </c>
      <c r="Q1132">
        <v>1</v>
      </c>
      <c r="R1132">
        <v>0</v>
      </c>
      <c r="S1132">
        <v>1.37</v>
      </c>
      <c r="T1132">
        <v>0.54</v>
      </c>
      <c r="U1132">
        <v>2.2599999999999998</v>
      </c>
      <c r="V1132">
        <v>0.4</v>
      </c>
      <c r="W1132">
        <v>1.05</v>
      </c>
      <c r="X1132">
        <v>0</v>
      </c>
    </row>
    <row r="1133" spans="2:24" hidden="1" x14ac:dyDescent="0.35">
      <c r="B1133">
        <v>2018</v>
      </c>
      <c r="C1133" s="1">
        <v>43597</v>
      </c>
      <c r="D1133">
        <v>2411</v>
      </c>
      <c r="E1133" t="s">
        <v>23</v>
      </c>
      <c r="F1133" t="s">
        <v>25</v>
      </c>
      <c r="G1133" t="s">
        <v>42</v>
      </c>
      <c r="H1133">
        <v>74.790000000000006</v>
      </c>
      <c r="I1133">
        <v>84.48</v>
      </c>
      <c r="J1133">
        <v>0.34029999999999999</v>
      </c>
      <c r="K1133">
        <v>0.38879999999999998</v>
      </c>
      <c r="L1133">
        <v>0.27089999999999997</v>
      </c>
      <c r="M1133">
        <v>1.36</v>
      </c>
      <c r="N1133">
        <v>1.47</v>
      </c>
      <c r="O1133">
        <v>0</v>
      </c>
      <c r="P1133">
        <v>0</v>
      </c>
      <c r="Q1133">
        <v>0</v>
      </c>
      <c r="R1133">
        <v>0</v>
      </c>
      <c r="S1133">
        <v>0.42</v>
      </c>
      <c r="T1133">
        <v>1.44</v>
      </c>
      <c r="U1133">
        <v>0.89</v>
      </c>
      <c r="V1133">
        <v>1.71</v>
      </c>
      <c r="W1133">
        <v>0</v>
      </c>
      <c r="X1133">
        <v>0</v>
      </c>
    </row>
    <row r="1134" spans="2:24" hidden="1" x14ac:dyDescent="0.35">
      <c r="B1134">
        <v>2018</v>
      </c>
      <c r="C1134" s="1">
        <v>43597</v>
      </c>
      <c r="D1134">
        <v>2411</v>
      </c>
      <c r="E1134" t="s">
        <v>23</v>
      </c>
      <c r="F1134" t="s">
        <v>35</v>
      </c>
      <c r="G1134" t="s">
        <v>43</v>
      </c>
      <c r="H1134">
        <v>67.319999999999993</v>
      </c>
      <c r="I1134">
        <v>65.349999999999994</v>
      </c>
      <c r="J1134">
        <v>0.4209</v>
      </c>
      <c r="K1134">
        <v>0.3211</v>
      </c>
      <c r="L1134">
        <v>0.25800000000000001</v>
      </c>
      <c r="M1134">
        <v>1.64</v>
      </c>
      <c r="N1134">
        <v>1.41</v>
      </c>
      <c r="O1134">
        <v>0</v>
      </c>
      <c r="P1134">
        <v>0</v>
      </c>
      <c r="Q1134">
        <v>1</v>
      </c>
      <c r="R1134">
        <v>4</v>
      </c>
      <c r="S1134">
        <v>2.0699999999999998</v>
      </c>
      <c r="T1134">
        <v>2.86</v>
      </c>
      <c r="U1134">
        <v>2.2400000000000002</v>
      </c>
      <c r="V1134">
        <v>1.91</v>
      </c>
      <c r="W1134">
        <v>1.05</v>
      </c>
      <c r="X1134">
        <v>3.6</v>
      </c>
    </row>
    <row r="1135" spans="2:24" hidden="1" x14ac:dyDescent="0.35">
      <c r="B1135">
        <v>2018</v>
      </c>
      <c r="C1135" s="1">
        <v>43597</v>
      </c>
      <c r="D1135">
        <v>2411</v>
      </c>
      <c r="E1135" t="s">
        <v>23</v>
      </c>
      <c r="F1135" t="s">
        <v>29</v>
      </c>
      <c r="G1135" t="s">
        <v>28</v>
      </c>
      <c r="H1135">
        <v>83.51</v>
      </c>
      <c r="I1135">
        <v>76.69</v>
      </c>
      <c r="J1135">
        <v>0.48520000000000002</v>
      </c>
      <c r="K1135">
        <v>0.23880000000000001</v>
      </c>
      <c r="L1135">
        <v>0.27600000000000002</v>
      </c>
      <c r="M1135">
        <v>1.54</v>
      </c>
      <c r="N1135">
        <v>1</v>
      </c>
      <c r="O1135">
        <v>0.8</v>
      </c>
      <c r="P1135">
        <v>0</v>
      </c>
      <c r="Q1135">
        <v>2</v>
      </c>
      <c r="R1135">
        <v>2</v>
      </c>
      <c r="S1135">
        <v>0.86</v>
      </c>
      <c r="T1135">
        <v>2.4300000000000002</v>
      </c>
      <c r="U1135">
        <v>0.84</v>
      </c>
      <c r="V1135">
        <v>1.34</v>
      </c>
      <c r="W1135">
        <v>2.1</v>
      </c>
      <c r="X1135">
        <v>2.1</v>
      </c>
    </row>
    <row r="1136" spans="2:24" hidden="1" x14ac:dyDescent="0.35">
      <c r="B1136">
        <v>2018</v>
      </c>
      <c r="C1136" s="1">
        <v>43597</v>
      </c>
      <c r="D1136">
        <v>2411</v>
      </c>
      <c r="E1136" t="s">
        <v>23</v>
      </c>
      <c r="F1136" t="s">
        <v>32</v>
      </c>
      <c r="G1136" t="s">
        <v>40</v>
      </c>
      <c r="H1136">
        <v>66.06</v>
      </c>
      <c r="I1136">
        <v>77.72</v>
      </c>
      <c r="J1136">
        <v>0.32950000000000002</v>
      </c>
      <c r="K1136">
        <v>0.41689999999999999</v>
      </c>
      <c r="L1136">
        <v>0.25359999999999999</v>
      </c>
      <c r="M1136">
        <v>1.48</v>
      </c>
      <c r="N1136">
        <v>1.68</v>
      </c>
      <c r="O1136">
        <v>0</v>
      </c>
      <c r="P1136">
        <v>0.5</v>
      </c>
      <c r="Q1136">
        <v>1</v>
      </c>
      <c r="R1136">
        <v>3</v>
      </c>
      <c r="S1136">
        <v>1.71</v>
      </c>
      <c r="T1136">
        <v>2.86</v>
      </c>
      <c r="U1136">
        <v>2.23</v>
      </c>
      <c r="V1136">
        <v>2.25</v>
      </c>
      <c r="W1136">
        <v>1.05</v>
      </c>
      <c r="X1136">
        <v>2.63</v>
      </c>
    </row>
    <row r="1137" spans="1:24" hidden="1" x14ac:dyDescent="0.35">
      <c r="B1137">
        <v>2018</v>
      </c>
      <c r="C1137" s="1">
        <v>43597</v>
      </c>
      <c r="D1137">
        <v>2411</v>
      </c>
      <c r="E1137" t="s">
        <v>23</v>
      </c>
      <c r="F1137" t="s">
        <v>48</v>
      </c>
      <c r="G1137" t="s">
        <v>46</v>
      </c>
      <c r="H1137">
        <v>58.81</v>
      </c>
      <c r="I1137">
        <v>67.540000000000006</v>
      </c>
      <c r="J1137">
        <v>0.35980000000000001</v>
      </c>
      <c r="K1137">
        <v>0.35549999999999998</v>
      </c>
      <c r="L1137">
        <v>0.28470000000000001</v>
      </c>
      <c r="M1137">
        <v>1.3</v>
      </c>
      <c r="N1137">
        <v>1.29</v>
      </c>
      <c r="O1137">
        <v>0</v>
      </c>
      <c r="P1137">
        <v>0</v>
      </c>
      <c r="Q1137">
        <v>0</v>
      </c>
      <c r="R1137">
        <v>4</v>
      </c>
      <c r="S1137">
        <v>0.76</v>
      </c>
      <c r="T1137">
        <v>2.06</v>
      </c>
      <c r="U1137">
        <v>2.0299999999999998</v>
      </c>
      <c r="V1137">
        <v>1.19</v>
      </c>
      <c r="W1137">
        <v>0</v>
      </c>
      <c r="X1137">
        <v>3.69</v>
      </c>
    </row>
    <row r="1138" spans="1:24" hidden="1" x14ac:dyDescent="0.35">
      <c r="B1138">
        <v>2018</v>
      </c>
      <c r="C1138" s="1">
        <v>43597</v>
      </c>
      <c r="D1138">
        <v>2411</v>
      </c>
      <c r="E1138" t="s">
        <v>23</v>
      </c>
      <c r="F1138" t="s">
        <v>30</v>
      </c>
      <c r="G1138" t="s">
        <v>38</v>
      </c>
      <c r="H1138">
        <v>70.33</v>
      </c>
      <c r="I1138">
        <v>67.16</v>
      </c>
      <c r="J1138">
        <v>0.42220000000000002</v>
      </c>
      <c r="K1138">
        <v>0.32200000000000001</v>
      </c>
      <c r="L1138">
        <v>0.25590000000000002</v>
      </c>
      <c r="M1138">
        <v>1.67</v>
      </c>
      <c r="N1138">
        <v>1.43</v>
      </c>
      <c r="O1138">
        <v>0</v>
      </c>
      <c r="P1138">
        <v>0</v>
      </c>
      <c r="Q1138">
        <v>5</v>
      </c>
      <c r="R1138">
        <v>3</v>
      </c>
      <c r="S1138">
        <v>2.69</v>
      </c>
      <c r="T1138">
        <v>2.17</v>
      </c>
      <c r="U1138">
        <v>1.29</v>
      </c>
      <c r="V1138">
        <v>1.77</v>
      </c>
      <c r="W1138">
        <v>4.99</v>
      </c>
      <c r="X1138">
        <v>3.15</v>
      </c>
    </row>
    <row r="1139" spans="1:24" hidden="1" x14ac:dyDescent="0.35">
      <c r="B1139">
        <v>2018</v>
      </c>
      <c r="C1139" s="1">
        <v>43597</v>
      </c>
      <c r="D1139">
        <v>2411</v>
      </c>
      <c r="E1139" t="s">
        <v>23</v>
      </c>
      <c r="F1139" t="s">
        <v>45</v>
      </c>
      <c r="G1139" t="s">
        <v>36</v>
      </c>
      <c r="H1139">
        <v>58.23</v>
      </c>
      <c r="I1139">
        <v>94.24</v>
      </c>
      <c r="J1139">
        <v>3.4599999999999999E-2</v>
      </c>
      <c r="K1139">
        <v>0.85270000000000001</v>
      </c>
      <c r="L1139">
        <v>0.11269999999999999</v>
      </c>
      <c r="M1139">
        <v>0.43</v>
      </c>
      <c r="N1139">
        <v>2.8</v>
      </c>
      <c r="O1139">
        <v>0</v>
      </c>
      <c r="P1139">
        <v>100</v>
      </c>
      <c r="Q1139">
        <v>1</v>
      </c>
      <c r="R1139">
        <v>4</v>
      </c>
      <c r="S1139">
        <v>0.67</v>
      </c>
      <c r="T1139">
        <v>2.11</v>
      </c>
      <c r="U1139">
        <v>0.33</v>
      </c>
      <c r="V1139">
        <v>3.74</v>
      </c>
      <c r="W1139">
        <v>1.05</v>
      </c>
      <c r="X1139">
        <v>4.16</v>
      </c>
    </row>
    <row r="1140" spans="1:24" hidden="1" x14ac:dyDescent="0.35">
      <c r="B1140">
        <v>2018</v>
      </c>
      <c r="C1140" s="1">
        <v>43597</v>
      </c>
      <c r="D1140">
        <v>2411</v>
      </c>
      <c r="E1140" t="s">
        <v>23</v>
      </c>
      <c r="F1140" t="s">
        <v>34</v>
      </c>
      <c r="G1140" t="s">
        <v>44</v>
      </c>
      <c r="H1140">
        <v>66.77</v>
      </c>
      <c r="I1140">
        <v>50.81</v>
      </c>
      <c r="J1140">
        <v>0.48930000000000001</v>
      </c>
      <c r="K1140">
        <v>0.23899999999999999</v>
      </c>
      <c r="L1140">
        <v>0.27179999999999999</v>
      </c>
      <c r="M1140">
        <v>1.58</v>
      </c>
      <c r="N1140">
        <v>1.02</v>
      </c>
      <c r="O1140">
        <v>0</v>
      </c>
      <c r="P1140">
        <v>0</v>
      </c>
      <c r="Q1140">
        <v>1</v>
      </c>
      <c r="R1140">
        <v>1</v>
      </c>
      <c r="S1140">
        <v>0.96</v>
      </c>
      <c r="T1140">
        <v>1.02</v>
      </c>
      <c r="U1140">
        <v>1.38</v>
      </c>
      <c r="V1140">
        <v>0.48</v>
      </c>
      <c r="W1140">
        <v>1.05</v>
      </c>
      <c r="X1140">
        <v>1.05</v>
      </c>
    </row>
    <row r="1141" spans="1:24" hidden="1" x14ac:dyDescent="0.35">
      <c r="B1141">
        <v>2018</v>
      </c>
      <c r="C1141" s="1">
        <v>43597</v>
      </c>
      <c r="D1141">
        <v>2411</v>
      </c>
      <c r="E1141" t="s">
        <v>23</v>
      </c>
      <c r="F1141" t="s">
        <v>41</v>
      </c>
      <c r="G1141" t="s">
        <v>49</v>
      </c>
      <c r="H1141">
        <v>93.31</v>
      </c>
      <c r="I1141">
        <v>72.23</v>
      </c>
      <c r="J1141">
        <v>0.84530000000000005</v>
      </c>
      <c r="K1141">
        <v>3.5099999999999999E-2</v>
      </c>
      <c r="L1141">
        <v>0.1196</v>
      </c>
      <c r="M1141">
        <v>2.69</v>
      </c>
      <c r="N1141">
        <v>0.4</v>
      </c>
      <c r="O1141">
        <v>58.9</v>
      </c>
      <c r="P1141">
        <v>0</v>
      </c>
      <c r="Q1141">
        <v>2</v>
      </c>
      <c r="R1141">
        <v>0</v>
      </c>
      <c r="S1141">
        <v>2</v>
      </c>
      <c r="T1141">
        <v>1.0900000000000001</v>
      </c>
      <c r="U1141">
        <v>1.18</v>
      </c>
      <c r="V1141">
        <v>1.1200000000000001</v>
      </c>
      <c r="W1141">
        <v>1.82</v>
      </c>
      <c r="X1141">
        <v>0</v>
      </c>
    </row>
    <row r="1142" spans="1:24" hidden="1" x14ac:dyDescent="0.35">
      <c r="B1142">
        <v>2018</v>
      </c>
      <c r="C1142" s="1">
        <v>43597</v>
      </c>
      <c r="D1142">
        <v>2411</v>
      </c>
      <c r="E1142" t="s">
        <v>23</v>
      </c>
      <c r="F1142" t="s">
        <v>39</v>
      </c>
      <c r="G1142" t="s">
        <v>47</v>
      </c>
      <c r="H1142">
        <v>76.84</v>
      </c>
      <c r="I1142">
        <v>58.35</v>
      </c>
      <c r="J1142">
        <v>0.51249999999999996</v>
      </c>
      <c r="K1142">
        <v>0.2351</v>
      </c>
      <c r="L1142">
        <v>0.25240000000000001</v>
      </c>
      <c r="M1142">
        <v>1.78</v>
      </c>
      <c r="N1142">
        <v>1.1299999999999999</v>
      </c>
      <c r="O1142">
        <v>0</v>
      </c>
      <c r="P1142">
        <v>0</v>
      </c>
      <c r="Q1142">
        <v>0</v>
      </c>
      <c r="R1142">
        <v>2</v>
      </c>
      <c r="S1142">
        <v>1.95</v>
      </c>
      <c r="T1142">
        <v>1.66</v>
      </c>
      <c r="U1142">
        <v>3.17</v>
      </c>
      <c r="V1142">
        <v>0.63</v>
      </c>
      <c r="W1142">
        <v>0</v>
      </c>
      <c r="X1142">
        <v>2.1</v>
      </c>
    </row>
    <row r="1143" spans="1:24" x14ac:dyDescent="0.35">
      <c r="A1143" t="str">
        <f>F1143&amp;G1143</f>
        <v>LiverpoolNorwich City</v>
      </c>
      <c r="B1143">
        <v>2019</v>
      </c>
      <c r="C1143" s="1">
        <v>43686</v>
      </c>
      <c r="D1143">
        <v>2411</v>
      </c>
      <c r="E1143" t="s">
        <v>23</v>
      </c>
      <c r="F1143" t="s">
        <v>41</v>
      </c>
      <c r="G1143" t="s">
        <v>50</v>
      </c>
      <c r="H1143">
        <v>92.88</v>
      </c>
      <c r="I1143">
        <v>62.33</v>
      </c>
      <c r="J1143">
        <v>0.88009999999999999</v>
      </c>
      <c r="K1143">
        <v>2.52E-2</v>
      </c>
      <c r="L1143">
        <v>9.4700000000000006E-2</v>
      </c>
      <c r="M1143">
        <v>2.84</v>
      </c>
      <c r="N1143">
        <v>0.34</v>
      </c>
      <c r="O1143">
        <v>49.1</v>
      </c>
      <c r="P1143">
        <v>42.6</v>
      </c>
      <c r="Q1143">
        <v>4</v>
      </c>
      <c r="R1143">
        <v>1</v>
      </c>
      <c r="S1143">
        <v>1.65</v>
      </c>
      <c r="T1143">
        <v>0.88</v>
      </c>
      <c r="U1143">
        <v>2.0299999999999998</v>
      </c>
      <c r="V1143">
        <v>0.91</v>
      </c>
      <c r="W1143">
        <v>4.2</v>
      </c>
      <c r="X1143">
        <v>1.05</v>
      </c>
    </row>
    <row r="1144" spans="1:24" x14ac:dyDescent="0.35">
      <c r="A1144" t="str">
        <f t="shared" ref="A1144:A1207" si="0">F1144&amp;G1144</f>
        <v>West Ham UnitedManchester City</v>
      </c>
      <c r="B1144">
        <v>2019</v>
      </c>
      <c r="C1144" s="1">
        <v>43687</v>
      </c>
      <c r="D1144">
        <v>2411</v>
      </c>
      <c r="E1144" t="s">
        <v>23</v>
      </c>
      <c r="F1144" t="s">
        <v>43</v>
      </c>
      <c r="G1144" t="s">
        <v>36</v>
      </c>
      <c r="H1144">
        <v>69.97</v>
      </c>
      <c r="I1144">
        <v>94.24</v>
      </c>
      <c r="J1144">
        <v>9.9699999999999997E-2</v>
      </c>
      <c r="K1144">
        <v>0.73929999999999996</v>
      </c>
      <c r="L1144">
        <v>0.161</v>
      </c>
      <c r="M1144">
        <v>0.82</v>
      </c>
      <c r="N1144">
        <v>2.52</v>
      </c>
      <c r="O1144">
        <v>23.4</v>
      </c>
      <c r="P1144">
        <v>76.099999999999994</v>
      </c>
      <c r="Q1144">
        <v>0</v>
      </c>
      <c r="R1144">
        <v>5</v>
      </c>
      <c r="S1144">
        <v>1.27</v>
      </c>
      <c r="T1144">
        <v>2.99</v>
      </c>
      <c r="U1144">
        <v>0.51</v>
      </c>
      <c r="V1144">
        <v>1.84</v>
      </c>
      <c r="W1144">
        <v>0</v>
      </c>
      <c r="X1144">
        <v>4.2</v>
      </c>
    </row>
    <row r="1145" spans="1:24" x14ac:dyDescent="0.35">
      <c r="A1145" t="str">
        <f t="shared" si="0"/>
        <v>Crystal PalaceEverton</v>
      </c>
      <c r="B1145">
        <v>2019</v>
      </c>
      <c r="C1145" s="1">
        <v>43687</v>
      </c>
      <c r="D1145">
        <v>2411</v>
      </c>
      <c r="E1145" t="s">
        <v>23</v>
      </c>
      <c r="F1145" t="s">
        <v>30</v>
      </c>
      <c r="G1145" t="s">
        <v>28</v>
      </c>
      <c r="H1145">
        <v>71.02</v>
      </c>
      <c r="I1145">
        <v>78.66</v>
      </c>
      <c r="J1145">
        <v>0.35639999999999999</v>
      </c>
      <c r="K1145">
        <v>0.37930000000000003</v>
      </c>
      <c r="L1145">
        <v>0.26440000000000002</v>
      </c>
      <c r="M1145">
        <v>1.33</v>
      </c>
      <c r="N1145">
        <v>1.38</v>
      </c>
      <c r="O1145">
        <v>21.5</v>
      </c>
      <c r="P1145">
        <v>35.799999999999997</v>
      </c>
      <c r="Q1145">
        <v>0</v>
      </c>
      <c r="R1145">
        <v>0</v>
      </c>
      <c r="S1145">
        <v>0.88</v>
      </c>
      <c r="T1145">
        <v>1.42</v>
      </c>
      <c r="U1145">
        <v>0.97</v>
      </c>
      <c r="V1145">
        <v>0.86</v>
      </c>
      <c r="W1145">
        <v>0</v>
      </c>
      <c r="X1145">
        <v>0</v>
      </c>
    </row>
    <row r="1146" spans="1:24" x14ac:dyDescent="0.35">
      <c r="A1146" t="str">
        <f t="shared" si="0"/>
        <v>WatfordBrighton and Hove Albion</v>
      </c>
      <c r="B1146">
        <v>2019</v>
      </c>
      <c r="C1146" s="1">
        <v>43687</v>
      </c>
      <c r="D1146">
        <v>2411</v>
      </c>
      <c r="E1146" t="s">
        <v>23</v>
      </c>
      <c r="F1146" t="s">
        <v>35</v>
      </c>
      <c r="G1146" t="s">
        <v>45</v>
      </c>
      <c r="H1146">
        <v>67.64</v>
      </c>
      <c r="I1146">
        <v>62.74</v>
      </c>
      <c r="J1146">
        <v>0.51329999999999998</v>
      </c>
      <c r="K1146">
        <v>0.23710000000000001</v>
      </c>
      <c r="L1146">
        <v>0.24959999999999999</v>
      </c>
      <c r="M1146">
        <v>1.67</v>
      </c>
      <c r="N1146">
        <v>1.05</v>
      </c>
      <c r="O1146">
        <v>31.3</v>
      </c>
      <c r="P1146">
        <v>38.799999999999997</v>
      </c>
      <c r="Q1146">
        <v>0</v>
      </c>
      <c r="R1146">
        <v>3</v>
      </c>
      <c r="S1146">
        <v>0.73</v>
      </c>
      <c r="T1146">
        <v>0.74</v>
      </c>
      <c r="U1146">
        <v>1.68</v>
      </c>
      <c r="V1146">
        <v>1.01</v>
      </c>
      <c r="W1146">
        <v>0</v>
      </c>
      <c r="X1146">
        <v>2.99</v>
      </c>
    </row>
    <row r="1147" spans="1:24" x14ac:dyDescent="0.35">
      <c r="A1147" t="str">
        <f t="shared" si="0"/>
        <v>BurnleySouthampton</v>
      </c>
      <c r="B1147">
        <v>2019</v>
      </c>
      <c r="C1147" s="1">
        <v>43687</v>
      </c>
      <c r="D1147">
        <v>2411</v>
      </c>
      <c r="E1147" t="s">
        <v>23</v>
      </c>
      <c r="F1147" t="s">
        <v>32</v>
      </c>
      <c r="G1147" t="s">
        <v>34</v>
      </c>
      <c r="H1147">
        <v>67.63</v>
      </c>
      <c r="I1147">
        <v>68.569999999999993</v>
      </c>
      <c r="J1147">
        <v>0.44500000000000001</v>
      </c>
      <c r="K1147">
        <v>0.29559999999999997</v>
      </c>
      <c r="L1147">
        <v>0.25940000000000002</v>
      </c>
      <c r="M1147">
        <v>1.53</v>
      </c>
      <c r="N1147">
        <v>1.2</v>
      </c>
      <c r="O1147">
        <v>32.799999999999997</v>
      </c>
      <c r="P1147">
        <v>26</v>
      </c>
      <c r="Q1147">
        <v>3</v>
      </c>
      <c r="R1147">
        <v>0</v>
      </c>
      <c r="S1147">
        <v>0.97</v>
      </c>
      <c r="T1147">
        <v>1.1599999999999999</v>
      </c>
      <c r="U1147">
        <v>1.1200000000000001</v>
      </c>
      <c r="V1147">
        <v>1.28</v>
      </c>
      <c r="W1147">
        <v>3.04</v>
      </c>
      <c r="X1147">
        <v>0</v>
      </c>
    </row>
    <row r="1148" spans="1:24" x14ac:dyDescent="0.35">
      <c r="A1148" t="str">
        <f t="shared" si="0"/>
        <v>AFC BournemouthSheffield United</v>
      </c>
      <c r="B1148">
        <v>2019</v>
      </c>
      <c r="C1148" s="1">
        <v>43687</v>
      </c>
      <c r="D1148">
        <v>2411</v>
      </c>
      <c r="E1148" t="s">
        <v>23</v>
      </c>
      <c r="F1148" t="s">
        <v>38</v>
      </c>
      <c r="G1148" t="s">
        <v>51</v>
      </c>
      <c r="H1148">
        <v>69.61</v>
      </c>
      <c r="I1148">
        <v>61.84</v>
      </c>
      <c r="J1148">
        <v>0.55120000000000002</v>
      </c>
      <c r="K1148">
        <v>0.2114</v>
      </c>
      <c r="L1148">
        <v>0.2374</v>
      </c>
      <c r="M1148">
        <v>1.8</v>
      </c>
      <c r="N1148">
        <v>1.02</v>
      </c>
      <c r="O1148">
        <v>29.3</v>
      </c>
      <c r="P1148">
        <v>38.200000000000003</v>
      </c>
      <c r="Q1148">
        <v>1</v>
      </c>
      <c r="R1148">
        <v>1</v>
      </c>
      <c r="S1148">
        <v>1.46</v>
      </c>
      <c r="T1148">
        <v>1.28</v>
      </c>
      <c r="U1148">
        <v>1.02</v>
      </c>
      <c r="V1148">
        <v>0.75</v>
      </c>
      <c r="W1148">
        <v>1.05</v>
      </c>
      <c r="X1148">
        <v>1.05</v>
      </c>
    </row>
    <row r="1149" spans="1:24" x14ac:dyDescent="0.35">
      <c r="A1149" t="str">
        <f t="shared" si="0"/>
        <v>Tottenham HotspurAston Villa</v>
      </c>
      <c r="B1149">
        <v>2019</v>
      </c>
      <c r="C1149" s="1">
        <v>43687</v>
      </c>
      <c r="D1149">
        <v>2411</v>
      </c>
      <c r="E1149" t="s">
        <v>23</v>
      </c>
      <c r="F1149" t="s">
        <v>29</v>
      </c>
      <c r="G1149" t="s">
        <v>52</v>
      </c>
      <c r="H1149">
        <v>85.07</v>
      </c>
      <c r="I1149">
        <v>64.64</v>
      </c>
      <c r="J1149">
        <v>0.72899999999999998</v>
      </c>
      <c r="K1149">
        <v>9.06E-2</v>
      </c>
      <c r="L1149">
        <v>0.1804</v>
      </c>
      <c r="M1149">
        <v>2.1800000000000002</v>
      </c>
      <c r="N1149">
        <v>0.62</v>
      </c>
      <c r="O1149">
        <v>61.8</v>
      </c>
      <c r="P1149">
        <v>32.299999999999997</v>
      </c>
      <c r="Q1149">
        <v>3</v>
      </c>
      <c r="R1149">
        <v>1</v>
      </c>
      <c r="S1149">
        <v>3.09</v>
      </c>
      <c r="T1149">
        <v>0.69</v>
      </c>
      <c r="U1149">
        <v>2.41</v>
      </c>
      <c r="V1149">
        <v>0.46</v>
      </c>
      <c r="W1149">
        <v>2.64</v>
      </c>
      <c r="X1149">
        <v>1.05</v>
      </c>
    </row>
    <row r="1150" spans="1:24" x14ac:dyDescent="0.35">
      <c r="A1150" t="str">
        <f t="shared" si="0"/>
        <v>Leicester CityWolverhampton</v>
      </c>
      <c r="B1150">
        <v>2019</v>
      </c>
      <c r="C1150" s="1">
        <v>43688</v>
      </c>
      <c r="D1150">
        <v>2411</v>
      </c>
      <c r="E1150" t="s">
        <v>23</v>
      </c>
      <c r="F1150" t="s">
        <v>25</v>
      </c>
      <c r="G1150" t="s">
        <v>49</v>
      </c>
      <c r="H1150">
        <v>75.28</v>
      </c>
      <c r="I1150">
        <v>74.05</v>
      </c>
      <c r="J1150">
        <v>0.46829999999999999</v>
      </c>
      <c r="K1150">
        <v>0.26369999999999999</v>
      </c>
      <c r="L1150">
        <v>0.26800000000000002</v>
      </c>
      <c r="M1150">
        <v>1.48</v>
      </c>
      <c r="N1150">
        <v>1.04</v>
      </c>
      <c r="O1150">
        <v>25.8</v>
      </c>
      <c r="P1150">
        <v>22.7</v>
      </c>
      <c r="Q1150">
        <v>0</v>
      </c>
      <c r="R1150">
        <v>0</v>
      </c>
      <c r="S1150">
        <v>0.67</v>
      </c>
      <c r="T1150">
        <v>0.51</v>
      </c>
      <c r="U1150">
        <v>1.94</v>
      </c>
      <c r="V1150">
        <v>1.1100000000000001</v>
      </c>
      <c r="W1150">
        <v>0</v>
      </c>
      <c r="X1150">
        <v>0</v>
      </c>
    </row>
    <row r="1151" spans="1:24" x14ac:dyDescent="0.35">
      <c r="A1151" t="str">
        <f t="shared" si="0"/>
        <v>NewcastleArsenal</v>
      </c>
      <c r="B1151">
        <v>2019</v>
      </c>
      <c r="C1151" s="1">
        <v>43688</v>
      </c>
      <c r="D1151">
        <v>2411</v>
      </c>
      <c r="E1151" t="s">
        <v>23</v>
      </c>
      <c r="F1151" t="s">
        <v>46</v>
      </c>
      <c r="G1151" t="s">
        <v>40</v>
      </c>
      <c r="H1151">
        <v>70.33</v>
      </c>
      <c r="I1151">
        <v>79.72</v>
      </c>
      <c r="J1151">
        <v>0.30590000000000001</v>
      </c>
      <c r="K1151">
        <v>0.4471</v>
      </c>
      <c r="L1151">
        <v>0.24709999999999999</v>
      </c>
      <c r="M1151">
        <v>1.33</v>
      </c>
      <c r="N1151">
        <v>1.65</v>
      </c>
      <c r="O1151">
        <v>24.2</v>
      </c>
      <c r="P1151">
        <v>47.9</v>
      </c>
      <c r="Q1151">
        <v>0</v>
      </c>
      <c r="R1151">
        <v>1</v>
      </c>
      <c r="S1151">
        <v>0.38</v>
      </c>
      <c r="T1151">
        <v>0.91</v>
      </c>
      <c r="U1151">
        <v>1.02</v>
      </c>
      <c r="V1151">
        <v>1.28</v>
      </c>
      <c r="W1151">
        <v>0</v>
      </c>
      <c r="X1151">
        <v>1.05</v>
      </c>
    </row>
    <row r="1152" spans="1:24" x14ac:dyDescent="0.35">
      <c r="A1152" t="str">
        <f t="shared" si="0"/>
        <v>Manchester UnitedChelsea</v>
      </c>
      <c r="B1152">
        <v>2019</v>
      </c>
      <c r="C1152" s="1">
        <v>43688</v>
      </c>
      <c r="D1152">
        <v>2411</v>
      </c>
      <c r="E1152" t="s">
        <v>23</v>
      </c>
      <c r="F1152" t="s">
        <v>39</v>
      </c>
      <c r="G1152" t="s">
        <v>42</v>
      </c>
      <c r="H1152">
        <v>79.989999999999995</v>
      </c>
      <c r="I1152">
        <v>85.88</v>
      </c>
      <c r="J1152">
        <v>0.3664</v>
      </c>
      <c r="K1152">
        <v>0.38429999999999997</v>
      </c>
      <c r="L1152">
        <v>0.24940000000000001</v>
      </c>
      <c r="M1152">
        <v>1.48</v>
      </c>
      <c r="N1152">
        <v>1.52</v>
      </c>
      <c r="O1152">
        <v>53.5</v>
      </c>
      <c r="P1152">
        <v>61</v>
      </c>
      <c r="Q1152">
        <v>4</v>
      </c>
      <c r="R1152">
        <v>0</v>
      </c>
      <c r="S1152">
        <v>2.34</v>
      </c>
      <c r="T1152">
        <v>1.27</v>
      </c>
      <c r="U1152">
        <v>1.36</v>
      </c>
      <c r="V1152">
        <v>1.29</v>
      </c>
      <c r="W1152">
        <v>3.92</v>
      </c>
      <c r="X1152">
        <v>0</v>
      </c>
    </row>
    <row r="1153" spans="1:24" x14ac:dyDescent="0.35">
      <c r="A1153" t="str">
        <f t="shared" si="0"/>
        <v>ArsenalBurnley</v>
      </c>
      <c r="B1153">
        <v>2019</v>
      </c>
      <c r="C1153" s="1">
        <v>43694</v>
      </c>
      <c r="D1153">
        <v>2411</v>
      </c>
      <c r="E1153" t="s">
        <v>23</v>
      </c>
      <c r="F1153" t="s">
        <v>40</v>
      </c>
      <c r="G1153" t="s">
        <v>32</v>
      </c>
      <c r="H1153">
        <v>80.42</v>
      </c>
      <c r="I1153">
        <v>68.31</v>
      </c>
      <c r="J1153">
        <v>0.63839999999999997</v>
      </c>
      <c r="K1153">
        <v>0.15570000000000001</v>
      </c>
      <c r="L1153">
        <v>0.2059</v>
      </c>
      <c r="M1153">
        <v>2.1</v>
      </c>
      <c r="N1153">
        <v>0.93</v>
      </c>
      <c r="O1153">
        <v>50.3</v>
      </c>
      <c r="P1153">
        <v>22</v>
      </c>
      <c r="Q1153">
        <v>2</v>
      </c>
      <c r="R1153">
        <v>1</v>
      </c>
      <c r="S1153">
        <v>1.26</v>
      </c>
      <c r="T1153">
        <v>1.33</v>
      </c>
      <c r="U1153">
        <v>1.81</v>
      </c>
      <c r="V1153">
        <v>1.64</v>
      </c>
      <c r="W1153">
        <v>2.1</v>
      </c>
      <c r="X1153">
        <v>1.05</v>
      </c>
    </row>
    <row r="1154" spans="1:24" x14ac:dyDescent="0.35">
      <c r="A1154" t="str">
        <f t="shared" si="0"/>
        <v>SouthamptonLiverpool</v>
      </c>
      <c r="B1154">
        <v>2019</v>
      </c>
      <c r="C1154" s="1">
        <v>43694</v>
      </c>
      <c r="D1154">
        <v>2411</v>
      </c>
      <c r="E1154" t="s">
        <v>23</v>
      </c>
      <c r="F1154" t="s">
        <v>34</v>
      </c>
      <c r="G1154" t="s">
        <v>41</v>
      </c>
      <c r="H1154">
        <v>67.97</v>
      </c>
      <c r="I1154">
        <v>92.4</v>
      </c>
      <c r="J1154">
        <v>0.14000000000000001</v>
      </c>
      <c r="K1154">
        <v>0.6734</v>
      </c>
      <c r="L1154">
        <v>0.18659999999999999</v>
      </c>
      <c r="M1154">
        <v>0.96</v>
      </c>
      <c r="N1154">
        <v>2.3199999999999998</v>
      </c>
      <c r="O1154">
        <v>29.8</v>
      </c>
      <c r="P1154">
        <v>47.3</v>
      </c>
      <c r="Q1154">
        <v>1</v>
      </c>
      <c r="R1154">
        <v>2</v>
      </c>
      <c r="S1154">
        <v>1.97</v>
      </c>
      <c r="T1154">
        <v>1.8</v>
      </c>
      <c r="U1154">
        <v>1.1000000000000001</v>
      </c>
      <c r="V1154">
        <v>1.0900000000000001</v>
      </c>
      <c r="W1154">
        <v>1.05</v>
      </c>
      <c r="X1154">
        <v>2.09</v>
      </c>
    </row>
    <row r="1155" spans="1:24" x14ac:dyDescent="0.35">
      <c r="A1155" t="str">
        <f t="shared" si="0"/>
        <v>Norwich CityNewcastle</v>
      </c>
      <c r="B1155">
        <v>2019</v>
      </c>
      <c r="C1155" s="1">
        <v>43694</v>
      </c>
      <c r="D1155">
        <v>2411</v>
      </c>
      <c r="E1155" t="s">
        <v>23</v>
      </c>
      <c r="F1155" t="s">
        <v>50</v>
      </c>
      <c r="G1155" t="s">
        <v>46</v>
      </c>
      <c r="H1155">
        <v>63.1</v>
      </c>
      <c r="I1155">
        <v>70.040000000000006</v>
      </c>
      <c r="J1155">
        <v>0.38729999999999998</v>
      </c>
      <c r="K1155">
        <v>0.32969999999999999</v>
      </c>
      <c r="L1155">
        <v>0.28299999999999997</v>
      </c>
      <c r="M1155">
        <v>1.26</v>
      </c>
      <c r="N1155">
        <v>1.1399999999999999</v>
      </c>
      <c r="O1155">
        <v>43</v>
      </c>
      <c r="P1155">
        <v>31.6</v>
      </c>
      <c r="Q1155">
        <v>3</v>
      </c>
      <c r="R1155">
        <v>1</v>
      </c>
      <c r="S1155">
        <v>1.4</v>
      </c>
      <c r="T1155">
        <v>0.63</v>
      </c>
      <c r="U1155">
        <v>1.39</v>
      </c>
      <c r="V1155">
        <v>0.84</v>
      </c>
      <c r="W1155">
        <v>3.03</v>
      </c>
      <c r="X1155">
        <v>1.05</v>
      </c>
    </row>
    <row r="1156" spans="1:24" x14ac:dyDescent="0.35">
      <c r="A1156" t="str">
        <f t="shared" si="0"/>
        <v>EvertonWatford</v>
      </c>
      <c r="B1156">
        <v>2019</v>
      </c>
      <c r="C1156" s="1">
        <v>43694</v>
      </c>
      <c r="D1156">
        <v>2411</v>
      </c>
      <c r="E1156" t="s">
        <v>23</v>
      </c>
      <c r="F1156" t="s">
        <v>28</v>
      </c>
      <c r="G1156" t="s">
        <v>35</v>
      </c>
      <c r="H1156">
        <v>79.14</v>
      </c>
      <c r="I1156">
        <v>66.14</v>
      </c>
      <c r="J1156">
        <v>0.58899999999999997</v>
      </c>
      <c r="K1156">
        <v>0.1792</v>
      </c>
      <c r="L1156">
        <v>0.23180000000000001</v>
      </c>
      <c r="M1156">
        <v>1.83</v>
      </c>
      <c r="N1156">
        <v>0.9</v>
      </c>
      <c r="O1156">
        <v>29.5</v>
      </c>
      <c r="P1156">
        <v>29.7</v>
      </c>
      <c r="Q1156">
        <v>1</v>
      </c>
      <c r="R1156">
        <v>0</v>
      </c>
      <c r="S1156">
        <v>0.78</v>
      </c>
      <c r="T1156">
        <v>1.04</v>
      </c>
      <c r="U1156">
        <v>1.03</v>
      </c>
      <c r="V1156">
        <v>1.66</v>
      </c>
      <c r="W1156">
        <v>1.05</v>
      </c>
      <c r="X1156">
        <v>0</v>
      </c>
    </row>
    <row r="1157" spans="1:24" x14ac:dyDescent="0.35">
      <c r="A1157" t="str">
        <f t="shared" si="0"/>
        <v>Aston VillaAFC Bournemouth</v>
      </c>
      <c r="B1157">
        <v>2019</v>
      </c>
      <c r="C1157" s="1">
        <v>43694</v>
      </c>
      <c r="D1157">
        <v>2411</v>
      </c>
      <c r="E1157" t="s">
        <v>23</v>
      </c>
      <c r="F1157" t="s">
        <v>52</v>
      </c>
      <c r="G1157" t="s">
        <v>38</v>
      </c>
      <c r="H1157">
        <v>64.099999999999994</v>
      </c>
      <c r="I1157">
        <v>69.08</v>
      </c>
      <c r="J1157">
        <v>0.39700000000000002</v>
      </c>
      <c r="K1157">
        <v>0.34699999999999998</v>
      </c>
      <c r="L1157">
        <v>0.25600000000000001</v>
      </c>
      <c r="M1157">
        <v>1.48</v>
      </c>
      <c r="N1157">
        <v>1.37</v>
      </c>
      <c r="O1157">
        <v>42.8</v>
      </c>
      <c r="P1157">
        <v>26.7</v>
      </c>
      <c r="Q1157">
        <v>1</v>
      </c>
      <c r="R1157">
        <v>2</v>
      </c>
      <c r="S1157">
        <v>2.11</v>
      </c>
      <c r="T1157">
        <v>1.64</v>
      </c>
      <c r="U1157">
        <v>2.5</v>
      </c>
      <c r="V1157">
        <v>1.1100000000000001</v>
      </c>
      <c r="W1157">
        <v>1.05</v>
      </c>
      <c r="X1157">
        <v>2.1</v>
      </c>
    </row>
    <row r="1158" spans="1:24" x14ac:dyDescent="0.35">
      <c r="A1158" t="str">
        <f t="shared" si="0"/>
        <v>Brighton and Hove AlbionWest Ham United</v>
      </c>
      <c r="B1158">
        <v>2019</v>
      </c>
      <c r="C1158" s="1">
        <v>43694</v>
      </c>
      <c r="D1158">
        <v>2411</v>
      </c>
      <c r="E1158" t="s">
        <v>23</v>
      </c>
      <c r="F1158" t="s">
        <v>45</v>
      </c>
      <c r="G1158" t="s">
        <v>43</v>
      </c>
      <c r="H1158">
        <v>64.36</v>
      </c>
      <c r="I1158">
        <v>69.09</v>
      </c>
      <c r="J1158">
        <v>0.39629999999999999</v>
      </c>
      <c r="K1158">
        <v>0.33729999999999999</v>
      </c>
      <c r="L1158">
        <v>0.26650000000000001</v>
      </c>
      <c r="M1158">
        <v>1.39</v>
      </c>
      <c r="N1158">
        <v>1.27</v>
      </c>
      <c r="O1158">
        <v>38</v>
      </c>
      <c r="P1158">
        <v>26.9</v>
      </c>
      <c r="Q1158">
        <v>1</v>
      </c>
      <c r="R1158">
        <v>1</v>
      </c>
      <c r="S1158">
        <v>2.2599999999999998</v>
      </c>
      <c r="T1158">
        <v>0.51</v>
      </c>
      <c r="U1158">
        <v>1.66</v>
      </c>
      <c r="V1158">
        <v>0.89</v>
      </c>
      <c r="W1158">
        <v>1.05</v>
      </c>
      <c r="X1158">
        <v>1.05</v>
      </c>
    </row>
    <row r="1159" spans="1:24" x14ac:dyDescent="0.35">
      <c r="A1159" t="str">
        <f t="shared" si="0"/>
        <v>Manchester CityTottenham Hotspur</v>
      </c>
      <c r="B1159">
        <v>2019</v>
      </c>
      <c r="C1159" s="1">
        <v>43694</v>
      </c>
      <c r="D1159">
        <v>2411</v>
      </c>
      <c r="E1159" t="s">
        <v>23</v>
      </c>
      <c r="F1159" t="s">
        <v>36</v>
      </c>
      <c r="G1159" t="s">
        <v>29</v>
      </c>
      <c r="H1159">
        <v>94.37</v>
      </c>
      <c r="I1159">
        <v>85.29</v>
      </c>
      <c r="J1159">
        <v>0.69130000000000003</v>
      </c>
      <c r="K1159">
        <v>0.1201</v>
      </c>
      <c r="L1159">
        <v>0.18859999999999999</v>
      </c>
      <c r="M1159">
        <v>2.21</v>
      </c>
      <c r="N1159">
        <v>0.8</v>
      </c>
      <c r="O1159">
        <v>81.900000000000006</v>
      </c>
      <c r="P1159">
        <v>59.9</v>
      </c>
      <c r="Q1159">
        <v>2</v>
      </c>
      <c r="R1159">
        <v>2</v>
      </c>
      <c r="S1159">
        <v>3.52</v>
      </c>
      <c r="T1159">
        <v>0.17</v>
      </c>
      <c r="U1159">
        <v>2.74</v>
      </c>
      <c r="V1159">
        <v>0.36</v>
      </c>
      <c r="W1159">
        <v>2.1</v>
      </c>
      <c r="X1159">
        <v>2.1</v>
      </c>
    </row>
    <row r="1160" spans="1:24" x14ac:dyDescent="0.35">
      <c r="A1160" t="str">
        <f t="shared" si="0"/>
        <v>Sheffield UnitedCrystal Palace</v>
      </c>
      <c r="B1160">
        <v>2019</v>
      </c>
      <c r="C1160" s="1">
        <v>43695</v>
      </c>
      <c r="D1160">
        <v>2411</v>
      </c>
      <c r="E1160" t="s">
        <v>23</v>
      </c>
      <c r="F1160" t="s">
        <v>51</v>
      </c>
      <c r="G1160" t="s">
        <v>30</v>
      </c>
      <c r="H1160">
        <v>62.64</v>
      </c>
      <c r="I1160">
        <v>71</v>
      </c>
      <c r="J1160">
        <v>0.36749999999999999</v>
      </c>
      <c r="K1160">
        <v>0.35830000000000001</v>
      </c>
      <c r="L1160">
        <v>0.2742</v>
      </c>
      <c r="M1160">
        <v>1.28</v>
      </c>
      <c r="N1160">
        <v>1.26</v>
      </c>
      <c r="O1160">
        <v>43.9</v>
      </c>
      <c r="P1160">
        <v>24.4</v>
      </c>
      <c r="Q1160">
        <v>1</v>
      </c>
      <c r="R1160">
        <v>0</v>
      </c>
      <c r="S1160">
        <v>2.0099999999999998</v>
      </c>
      <c r="T1160">
        <v>0.27</v>
      </c>
      <c r="U1160">
        <v>0.94</v>
      </c>
      <c r="V1160">
        <v>1.2</v>
      </c>
      <c r="W1160">
        <v>1.05</v>
      </c>
      <c r="X1160">
        <v>0</v>
      </c>
    </row>
    <row r="1161" spans="1:24" x14ac:dyDescent="0.35">
      <c r="A1161" t="str">
        <f t="shared" si="0"/>
        <v>ChelseaLeicester City</v>
      </c>
      <c r="B1161">
        <v>2019</v>
      </c>
      <c r="C1161" s="1">
        <v>43695</v>
      </c>
      <c r="D1161">
        <v>2411</v>
      </c>
      <c r="E1161" t="s">
        <v>23</v>
      </c>
      <c r="F1161" t="s">
        <v>42</v>
      </c>
      <c r="G1161" t="s">
        <v>25</v>
      </c>
      <c r="H1161">
        <v>84.6</v>
      </c>
      <c r="I1161">
        <v>75.41</v>
      </c>
      <c r="J1161">
        <v>0.61680000000000001</v>
      </c>
      <c r="K1161">
        <v>0.1593</v>
      </c>
      <c r="L1161">
        <v>0.2238</v>
      </c>
      <c r="M1161">
        <v>1.89</v>
      </c>
      <c r="N1161">
        <v>0.84</v>
      </c>
      <c r="O1161">
        <v>64.5</v>
      </c>
      <c r="P1161">
        <v>28.6</v>
      </c>
      <c r="Q1161">
        <v>1</v>
      </c>
      <c r="R1161">
        <v>1</v>
      </c>
      <c r="S1161">
        <v>1.2</v>
      </c>
      <c r="T1161">
        <v>1.1000000000000001</v>
      </c>
      <c r="U1161">
        <v>1.59</v>
      </c>
      <c r="V1161">
        <v>1.1299999999999999</v>
      </c>
      <c r="W1161">
        <v>1.05</v>
      </c>
      <c r="X1161">
        <v>1.05</v>
      </c>
    </row>
    <row r="1162" spans="1:24" x14ac:dyDescent="0.35">
      <c r="A1162" t="str">
        <f t="shared" si="0"/>
        <v>WolverhamptonManchester United</v>
      </c>
      <c r="B1162">
        <v>2019</v>
      </c>
      <c r="C1162" s="1">
        <v>43696</v>
      </c>
      <c r="D1162">
        <v>2411</v>
      </c>
      <c r="E1162" t="s">
        <v>23</v>
      </c>
      <c r="F1162" t="s">
        <v>49</v>
      </c>
      <c r="G1162" t="s">
        <v>39</v>
      </c>
      <c r="H1162">
        <v>74.349999999999994</v>
      </c>
      <c r="I1162">
        <v>81.349999999999994</v>
      </c>
      <c r="J1162">
        <v>0.31769999999999998</v>
      </c>
      <c r="K1162">
        <v>0.42249999999999999</v>
      </c>
      <c r="L1162">
        <v>0.25979999999999998</v>
      </c>
      <c r="M1162">
        <v>1.26</v>
      </c>
      <c r="N1162">
        <v>1.49</v>
      </c>
      <c r="O1162">
        <v>19</v>
      </c>
      <c r="P1162">
        <v>56.5</v>
      </c>
      <c r="Q1162">
        <v>1</v>
      </c>
      <c r="R1162">
        <v>1</v>
      </c>
      <c r="S1162">
        <v>0.28999999999999998</v>
      </c>
      <c r="T1162">
        <v>1.2</v>
      </c>
      <c r="U1162">
        <v>0.8</v>
      </c>
      <c r="V1162">
        <v>1.2</v>
      </c>
      <c r="W1162">
        <v>1.05</v>
      </c>
      <c r="X1162">
        <v>1.05</v>
      </c>
    </row>
    <row r="1163" spans="1:24" x14ac:dyDescent="0.35">
      <c r="A1163" t="str">
        <f t="shared" si="0"/>
        <v>Aston VillaEverton</v>
      </c>
      <c r="B1163">
        <v>2019</v>
      </c>
      <c r="C1163" s="1">
        <v>43700</v>
      </c>
      <c r="D1163">
        <v>2411</v>
      </c>
      <c r="E1163" t="s">
        <v>23</v>
      </c>
      <c r="F1163" t="s">
        <v>52</v>
      </c>
      <c r="G1163" t="s">
        <v>28</v>
      </c>
      <c r="H1163">
        <v>64.23</v>
      </c>
      <c r="I1163">
        <v>78.569999999999993</v>
      </c>
      <c r="J1163">
        <v>0.3039</v>
      </c>
      <c r="K1163">
        <v>0.4214</v>
      </c>
      <c r="L1163">
        <v>0.2747</v>
      </c>
      <c r="M1163">
        <v>1.1200000000000001</v>
      </c>
      <c r="N1163">
        <v>1.37</v>
      </c>
      <c r="O1163">
        <v>39.9</v>
      </c>
      <c r="P1163">
        <v>34.200000000000003</v>
      </c>
      <c r="Q1163">
        <v>2</v>
      </c>
      <c r="R1163">
        <v>0</v>
      </c>
      <c r="S1163">
        <v>0.57999999999999996</v>
      </c>
      <c r="T1163">
        <v>1.44</v>
      </c>
      <c r="U1163">
        <v>1.1100000000000001</v>
      </c>
      <c r="V1163">
        <v>1.7</v>
      </c>
      <c r="W1163">
        <v>1.58</v>
      </c>
      <c r="X1163">
        <v>0</v>
      </c>
    </row>
    <row r="1164" spans="1:24" x14ac:dyDescent="0.35">
      <c r="A1164" t="str">
        <f t="shared" si="0"/>
        <v>Norwich CityChelsea</v>
      </c>
      <c r="B1164">
        <v>2019</v>
      </c>
      <c r="C1164" s="1">
        <v>43701</v>
      </c>
      <c r="D1164">
        <v>2411</v>
      </c>
      <c r="E1164" t="s">
        <v>23</v>
      </c>
      <c r="F1164" t="s">
        <v>50</v>
      </c>
      <c r="G1164" t="s">
        <v>42</v>
      </c>
      <c r="H1164">
        <v>64.260000000000005</v>
      </c>
      <c r="I1164">
        <v>84.09</v>
      </c>
      <c r="J1164">
        <v>0.20960000000000001</v>
      </c>
      <c r="K1164">
        <v>0.55469999999999997</v>
      </c>
      <c r="L1164">
        <v>0.23569999999999999</v>
      </c>
      <c r="M1164">
        <v>1.02</v>
      </c>
      <c r="N1164">
        <v>1.81</v>
      </c>
      <c r="O1164">
        <v>34.5</v>
      </c>
      <c r="P1164">
        <v>57.4</v>
      </c>
      <c r="Q1164">
        <v>2</v>
      </c>
      <c r="R1164">
        <v>3</v>
      </c>
      <c r="S1164">
        <v>0.93</v>
      </c>
      <c r="T1164">
        <v>1.91</v>
      </c>
      <c r="U1164">
        <v>0.69</v>
      </c>
      <c r="V1164">
        <v>2.78</v>
      </c>
      <c r="W1164">
        <v>2.1</v>
      </c>
      <c r="X1164">
        <v>3.15</v>
      </c>
    </row>
    <row r="1165" spans="1:24" x14ac:dyDescent="0.35">
      <c r="A1165" t="str">
        <f t="shared" si="0"/>
        <v>Sheffield UnitedLeicester City</v>
      </c>
      <c r="B1165">
        <v>2019</v>
      </c>
      <c r="C1165" s="1">
        <v>43701</v>
      </c>
      <c r="D1165">
        <v>2411</v>
      </c>
      <c r="E1165" t="s">
        <v>23</v>
      </c>
      <c r="F1165" t="s">
        <v>51</v>
      </c>
      <c r="G1165" t="s">
        <v>25</v>
      </c>
      <c r="H1165">
        <v>63.78</v>
      </c>
      <c r="I1165">
        <v>76.13</v>
      </c>
      <c r="J1165">
        <v>0.32619999999999999</v>
      </c>
      <c r="K1165">
        <v>0.3901</v>
      </c>
      <c r="L1165">
        <v>0.28370000000000001</v>
      </c>
      <c r="M1165">
        <v>1.1299999999999999</v>
      </c>
      <c r="N1165">
        <v>1.26</v>
      </c>
      <c r="O1165">
        <v>40</v>
      </c>
      <c r="P1165">
        <v>22.2</v>
      </c>
      <c r="Q1165">
        <v>1</v>
      </c>
      <c r="R1165">
        <v>2</v>
      </c>
      <c r="S1165">
        <v>0.8</v>
      </c>
      <c r="T1165">
        <v>0.83</v>
      </c>
      <c r="U1165">
        <v>1.32</v>
      </c>
      <c r="V1165">
        <v>1.6</v>
      </c>
      <c r="W1165">
        <v>1.05</v>
      </c>
      <c r="X1165">
        <v>2.1</v>
      </c>
    </row>
    <row r="1166" spans="1:24" x14ac:dyDescent="0.35">
      <c r="A1166" t="str">
        <f t="shared" si="0"/>
        <v>Brighton and Hove AlbionSouthampton</v>
      </c>
      <c r="B1166">
        <v>2019</v>
      </c>
      <c r="C1166" s="1">
        <v>43701</v>
      </c>
      <c r="D1166">
        <v>2411</v>
      </c>
      <c r="E1166" t="s">
        <v>23</v>
      </c>
      <c r="F1166" t="s">
        <v>45</v>
      </c>
      <c r="G1166" t="s">
        <v>34</v>
      </c>
      <c r="H1166">
        <v>65.23</v>
      </c>
      <c r="I1166">
        <v>68.94</v>
      </c>
      <c r="J1166">
        <v>0.40500000000000003</v>
      </c>
      <c r="K1166">
        <v>0.3236</v>
      </c>
      <c r="L1166">
        <v>0.27139999999999997</v>
      </c>
      <c r="M1166">
        <v>1.37</v>
      </c>
      <c r="N1166">
        <v>1.2</v>
      </c>
      <c r="O1166">
        <v>37.700000000000003</v>
      </c>
      <c r="P1166">
        <v>31.6</v>
      </c>
      <c r="Q1166">
        <v>0</v>
      </c>
      <c r="R1166">
        <v>2</v>
      </c>
      <c r="S1166">
        <v>1.22</v>
      </c>
      <c r="T1166">
        <v>1.85</v>
      </c>
      <c r="U1166">
        <v>1.39</v>
      </c>
      <c r="V1166">
        <v>1.23</v>
      </c>
      <c r="W1166">
        <v>0</v>
      </c>
      <c r="X1166">
        <v>1.26</v>
      </c>
    </row>
    <row r="1167" spans="1:24" x14ac:dyDescent="0.35">
      <c r="A1167" t="str">
        <f t="shared" si="0"/>
        <v>WatfordWest Ham United</v>
      </c>
      <c r="B1167">
        <v>2019</v>
      </c>
      <c r="C1167" s="1">
        <v>43701</v>
      </c>
      <c r="D1167">
        <v>2411</v>
      </c>
      <c r="E1167" t="s">
        <v>23</v>
      </c>
      <c r="F1167" t="s">
        <v>35</v>
      </c>
      <c r="G1167" t="s">
        <v>43</v>
      </c>
      <c r="H1167">
        <v>67.17</v>
      </c>
      <c r="I1167">
        <v>68.3</v>
      </c>
      <c r="J1167">
        <v>0.45069999999999999</v>
      </c>
      <c r="K1167">
        <v>0.30030000000000001</v>
      </c>
      <c r="L1167">
        <v>0.24890000000000001</v>
      </c>
      <c r="M1167">
        <v>1.63</v>
      </c>
      <c r="N1167">
        <v>1.29</v>
      </c>
      <c r="O1167">
        <v>38</v>
      </c>
      <c r="P1167">
        <v>27.6</v>
      </c>
      <c r="Q1167">
        <v>1</v>
      </c>
      <c r="R1167">
        <v>3</v>
      </c>
      <c r="S1167">
        <v>2.2200000000000002</v>
      </c>
      <c r="T1167">
        <v>3.25</v>
      </c>
      <c r="U1167">
        <v>3.55</v>
      </c>
      <c r="V1167">
        <v>1.85</v>
      </c>
      <c r="W1167">
        <v>1.05</v>
      </c>
      <c r="X1167">
        <v>3.09</v>
      </c>
    </row>
    <row r="1168" spans="1:24" x14ac:dyDescent="0.35">
      <c r="A1168" t="str">
        <f t="shared" si="0"/>
        <v>Manchester UnitedCrystal Palace</v>
      </c>
      <c r="B1168">
        <v>2019</v>
      </c>
      <c r="C1168" s="1">
        <v>43701</v>
      </c>
      <c r="D1168">
        <v>2411</v>
      </c>
      <c r="E1168" t="s">
        <v>23</v>
      </c>
      <c r="F1168" t="s">
        <v>39</v>
      </c>
      <c r="G1168" t="s">
        <v>30</v>
      </c>
      <c r="H1168">
        <v>81.86</v>
      </c>
      <c r="I1168">
        <v>70.22</v>
      </c>
      <c r="J1168">
        <v>0.63519999999999999</v>
      </c>
      <c r="K1168">
        <v>0.15379999999999999</v>
      </c>
      <c r="L1168">
        <v>0.21099999999999999</v>
      </c>
      <c r="M1168">
        <v>2.0299999999999998</v>
      </c>
      <c r="N1168">
        <v>0.88</v>
      </c>
      <c r="O1168">
        <v>56.1</v>
      </c>
      <c r="P1168">
        <v>22.6</v>
      </c>
      <c r="Q1168">
        <v>1</v>
      </c>
      <c r="R1168">
        <v>2</v>
      </c>
      <c r="S1168">
        <v>2.54</v>
      </c>
      <c r="T1168">
        <v>0.73</v>
      </c>
      <c r="U1168">
        <v>2.5</v>
      </c>
      <c r="V1168">
        <v>0.24</v>
      </c>
      <c r="W1168">
        <v>1.05</v>
      </c>
      <c r="X1168">
        <v>2.1</v>
      </c>
    </row>
    <row r="1169" spans="1:24" x14ac:dyDescent="0.35">
      <c r="A1169" t="str">
        <f t="shared" si="0"/>
        <v>LiverpoolArsenal</v>
      </c>
      <c r="B1169">
        <v>2019</v>
      </c>
      <c r="C1169" s="1">
        <v>43701</v>
      </c>
      <c r="D1169">
        <v>2411</v>
      </c>
      <c r="E1169" t="s">
        <v>23</v>
      </c>
      <c r="F1169" t="s">
        <v>41</v>
      </c>
      <c r="G1169" t="s">
        <v>40</v>
      </c>
      <c r="H1169">
        <v>91.91</v>
      </c>
      <c r="I1169">
        <v>79.81</v>
      </c>
      <c r="J1169">
        <v>0.66479999999999995</v>
      </c>
      <c r="K1169">
        <v>0.14779999999999999</v>
      </c>
      <c r="L1169">
        <v>0.18740000000000001</v>
      </c>
      <c r="M1169">
        <v>2.34</v>
      </c>
      <c r="N1169">
        <v>1.02</v>
      </c>
      <c r="O1169">
        <v>62.6</v>
      </c>
      <c r="P1169">
        <v>59.4</v>
      </c>
      <c r="Q1169">
        <v>3</v>
      </c>
      <c r="R1169">
        <v>1</v>
      </c>
      <c r="S1169">
        <v>3.01</v>
      </c>
      <c r="T1169">
        <v>0.83</v>
      </c>
      <c r="U1169">
        <v>2.2999999999999998</v>
      </c>
      <c r="V1169">
        <v>0.84</v>
      </c>
      <c r="W1169">
        <v>3.15</v>
      </c>
      <c r="X1169">
        <v>1.05</v>
      </c>
    </row>
    <row r="1170" spans="1:24" x14ac:dyDescent="0.35">
      <c r="A1170" t="str">
        <f t="shared" si="0"/>
        <v>AFC BournemouthManchester City</v>
      </c>
      <c r="B1170">
        <v>2019</v>
      </c>
      <c r="C1170" s="1">
        <v>43702</v>
      </c>
      <c r="D1170">
        <v>2411</v>
      </c>
      <c r="E1170" t="s">
        <v>23</v>
      </c>
      <c r="F1170" t="s">
        <v>38</v>
      </c>
      <c r="G1170" t="s">
        <v>36</v>
      </c>
      <c r="H1170">
        <v>68.67</v>
      </c>
      <c r="I1170">
        <v>94.54</v>
      </c>
      <c r="J1170">
        <v>8.9899999999999994E-2</v>
      </c>
      <c r="K1170">
        <v>0.7651</v>
      </c>
      <c r="L1170">
        <v>0.14499999999999999</v>
      </c>
      <c r="M1170">
        <v>0.85</v>
      </c>
      <c r="N1170">
        <v>2.74</v>
      </c>
      <c r="O1170">
        <v>19.5</v>
      </c>
      <c r="P1170">
        <v>68.599999999999994</v>
      </c>
      <c r="Q1170">
        <v>1</v>
      </c>
      <c r="R1170">
        <v>3</v>
      </c>
      <c r="S1170">
        <v>1.99</v>
      </c>
      <c r="T1170">
        <v>3.36</v>
      </c>
      <c r="U1170">
        <v>0.82</v>
      </c>
      <c r="V1170">
        <v>3.55</v>
      </c>
      <c r="W1170">
        <v>1.05</v>
      </c>
      <c r="X1170">
        <v>3.15</v>
      </c>
    </row>
    <row r="1171" spans="1:24" x14ac:dyDescent="0.35">
      <c r="A1171" t="str">
        <f t="shared" si="0"/>
        <v>Tottenham HotspurNewcastle</v>
      </c>
      <c r="B1171">
        <v>2019</v>
      </c>
      <c r="C1171" s="1">
        <v>43702</v>
      </c>
      <c r="D1171">
        <v>2411</v>
      </c>
      <c r="E1171" t="s">
        <v>23</v>
      </c>
      <c r="F1171" t="s">
        <v>29</v>
      </c>
      <c r="G1171" t="s">
        <v>46</v>
      </c>
      <c r="H1171">
        <v>84.92</v>
      </c>
      <c r="I1171">
        <v>68.709999999999994</v>
      </c>
      <c r="J1171">
        <v>0.69530000000000003</v>
      </c>
      <c r="K1171">
        <v>0.10920000000000001</v>
      </c>
      <c r="L1171">
        <v>0.19550000000000001</v>
      </c>
      <c r="M1171">
        <v>2.08</v>
      </c>
      <c r="N1171">
        <v>0.68</v>
      </c>
      <c r="O1171">
        <v>66.3</v>
      </c>
      <c r="P1171">
        <v>31.7</v>
      </c>
      <c r="Q1171">
        <v>0</v>
      </c>
      <c r="R1171">
        <v>1</v>
      </c>
      <c r="S1171">
        <v>1.73</v>
      </c>
      <c r="T1171">
        <v>0.53</v>
      </c>
      <c r="U1171">
        <v>1.8</v>
      </c>
      <c r="V1171">
        <v>0.6</v>
      </c>
      <c r="W1171">
        <v>0</v>
      </c>
      <c r="X1171">
        <v>1.05</v>
      </c>
    </row>
    <row r="1172" spans="1:24" x14ac:dyDescent="0.35">
      <c r="A1172" t="str">
        <f t="shared" si="0"/>
        <v>WolverhamptonBurnley</v>
      </c>
      <c r="B1172">
        <v>2019</v>
      </c>
      <c r="C1172" s="1">
        <v>43702</v>
      </c>
      <c r="D1172">
        <v>2411</v>
      </c>
      <c r="E1172" t="s">
        <v>23</v>
      </c>
      <c r="F1172" t="s">
        <v>49</v>
      </c>
      <c r="G1172" t="s">
        <v>32</v>
      </c>
      <c r="H1172">
        <v>74.08</v>
      </c>
      <c r="I1172">
        <v>68.989999999999995</v>
      </c>
      <c r="J1172">
        <v>0.49080000000000001</v>
      </c>
      <c r="K1172">
        <v>0.24210000000000001</v>
      </c>
      <c r="L1172">
        <v>0.26700000000000002</v>
      </c>
      <c r="M1172">
        <v>1.5</v>
      </c>
      <c r="N1172">
        <v>0.97</v>
      </c>
      <c r="O1172">
        <v>19.7</v>
      </c>
      <c r="P1172">
        <v>24</v>
      </c>
      <c r="Q1172">
        <v>1</v>
      </c>
      <c r="R1172">
        <v>1</v>
      </c>
      <c r="S1172">
        <v>1.51</v>
      </c>
      <c r="T1172">
        <v>1.49</v>
      </c>
      <c r="U1172">
        <v>0.99</v>
      </c>
      <c r="V1172">
        <v>1.32</v>
      </c>
      <c r="W1172">
        <v>1.05</v>
      </c>
      <c r="X1172">
        <v>1.05</v>
      </c>
    </row>
    <row r="1173" spans="1:24" x14ac:dyDescent="0.35">
      <c r="A1173" t="str">
        <f t="shared" si="0"/>
        <v>SouthamptonManchester United</v>
      </c>
      <c r="B1173">
        <v>2019</v>
      </c>
      <c r="C1173" s="1">
        <v>43708</v>
      </c>
      <c r="D1173">
        <v>2411</v>
      </c>
      <c r="E1173" t="s">
        <v>23</v>
      </c>
      <c r="F1173" t="s">
        <v>34</v>
      </c>
      <c r="G1173" t="s">
        <v>39</v>
      </c>
      <c r="H1173">
        <v>69.849999999999994</v>
      </c>
      <c r="I1173">
        <v>81.819999999999993</v>
      </c>
      <c r="J1173">
        <v>0.28470000000000001</v>
      </c>
      <c r="K1173">
        <v>0.46960000000000002</v>
      </c>
      <c r="L1173">
        <v>0.2457</v>
      </c>
      <c r="M1173">
        <v>1.26</v>
      </c>
      <c r="N1173">
        <v>1.69</v>
      </c>
      <c r="O1173">
        <v>24.7</v>
      </c>
      <c r="P1173">
        <v>51.6</v>
      </c>
      <c r="Q1173">
        <v>1</v>
      </c>
      <c r="R1173">
        <v>1</v>
      </c>
      <c r="S1173">
        <v>0.78</v>
      </c>
      <c r="T1173">
        <v>1.82</v>
      </c>
      <c r="U1173">
        <v>1.04</v>
      </c>
      <c r="V1173">
        <v>1.83</v>
      </c>
      <c r="W1173">
        <v>1.05</v>
      </c>
      <c r="X1173">
        <v>1.05</v>
      </c>
    </row>
    <row r="1174" spans="1:24" x14ac:dyDescent="0.35">
      <c r="A1174" t="str">
        <f t="shared" si="0"/>
        <v>Leicester CityAFC Bournemouth</v>
      </c>
      <c r="B1174">
        <v>2019</v>
      </c>
      <c r="C1174" s="1">
        <v>43708</v>
      </c>
      <c r="D1174">
        <v>2411</v>
      </c>
      <c r="E1174" t="s">
        <v>23</v>
      </c>
      <c r="F1174" t="s">
        <v>25</v>
      </c>
      <c r="G1174" t="s">
        <v>38</v>
      </c>
      <c r="H1174">
        <v>76.34</v>
      </c>
      <c r="I1174">
        <v>68.59</v>
      </c>
      <c r="J1174">
        <v>0.53339999999999999</v>
      </c>
      <c r="K1174">
        <v>0.22919999999999999</v>
      </c>
      <c r="L1174">
        <v>0.2374</v>
      </c>
      <c r="M1174">
        <v>1.8</v>
      </c>
      <c r="N1174">
        <v>1.1000000000000001</v>
      </c>
      <c r="O1174">
        <v>32.799999999999997</v>
      </c>
      <c r="P1174">
        <v>23</v>
      </c>
      <c r="Q1174">
        <v>3</v>
      </c>
      <c r="R1174">
        <v>1</v>
      </c>
      <c r="S1174">
        <v>1.75</v>
      </c>
      <c r="T1174">
        <v>0.56000000000000005</v>
      </c>
      <c r="U1174">
        <v>1.51</v>
      </c>
      <c r="V1174">
        <v>1.33</v>
      </c>
      <c r="W1174">
        <v>3.1</v>
      </c>
      <c r="X1174">
        <v>1.05</v>
      </c>
    </row>
    <row r="1175" spans="1:24" x14ac:dyDescent="0.35">
      <c r="A1175" t="str">
        <f t="shared" si="0"/>
        <v>Crystal PalaceAston Villa</v>
      </c>
      <c r="B1175">
        <v>2019</v>
      </c>
      <c r="C1175" s="1">
        <v>43708</v>
      </c>
      <c r="D1175">
        <v>2411</v>
      </c>
      <c r="E1175" t="s">
        <v>23</v>
      </c>
      <c r="F1175" t="s">
        <v>30</v>
      </c>
      <c r="G1175" t="s">
        <v>52</v>
      </c>
      <c r="H1175">
        <v>70.22</v>
      </c>
      <c r="I1175">
        <v>64.61</v>
      </c>
      <c r="J1175">
        <v>0.50309999999999999</v>
      </c>
      <c r="K1175">
        <v>0.2404</v>
      </c>
      <c r="L1175">
        <v>0.25650000000000001</v>
      </c>
      <c r="M1175">
        <v>1.6</v>
      </c>
      <c r="N1175">
        <v>1.02</v>
      </c>
      <c r="O1175">
        <v>26</v>
      </c>
      <c r="P1175">
        <v>38.5</v>
      </c>
      <c r="Q1175">
        <v>1</v>
      </c>
      <c r="R1175">
        <v>0</v>
      </c>
      <c r="S1175">
        <v>1.59</v>
      </c>
      <c r="T1175">
        <v>0.37</v>
      </c>
      <c r="U1175">
        <v>2.5099999999999998</v>
      </c>
      <c r="V1175">
        <v>0.89</v>
      </c>
      <c r="W1175">
        <v>0.84</v>
      </c>
      <c r="X1175">
        <v>0</v>
      </c>
    </row>
    <row r="1176" spans="1:24" x14ac:dyDescent="0.35">
      <c r="A1176" t="str">
        <f t="shared" si="0"/>
        <v>ChelseaSheffield United</v>
      </c>
      <c r="B1176">
        <v>2019</v>
      </c>
      <c r="C1176" s="1">
        <v>43708</v>
      </c>
      <c r="D1176">
        <v>2411</v>
      </c>
      <c r="E1176" t="s">
        <v>23</v>
      </c>
      <c r="F1176" t="s">
        <v>42</v>
      </c>
      <c r="G1176" t="s">
        <v>51</v>
      </c>
      <c r="H1176">
        <v>84.31</v>
      </c>
      <c r="I1176">
        <v>63.46</v>
      </c>
      <c r="J1176">
        <v>0.74250000000000005</v>
      </c>
      <c r="K1176">
        <v>8.2400000000000001E-2</v>
      </c>
      <c r="L1176">
        <v>0.17510000000000001</v>
      </c>
      <c r="M1176">
        <v>2.2000000000000002</v>
      </c>
      <c r="N1176">
        <v>0.57999999999999996</v>
      </c>
      <c r="O1176">
        <v>59</v>
      </c>
      <c r="P1176">
        <v>38.200000000000003</v>
      </c>
      <c r="Q1176">
        <v>2</v>
      </c>
      <c r="R1176">
        <v>2</v>
      </c>
      <c r="S1176">
        <v>2.35</v>
      </c>
      <c r="T1176">
        <v>1.1000000000000001</v>
      </c>
      <c r="U1176">
        <v>1.91</v>
      </c>
      <c r="V1176">
        <v>0.7</v>
      </c>
      <c r="W1176">
        <v>2.1</v>
      </c>
      <c r="X1176">
        <v>2.1</v>
      </c>
    </row>
    <row r="1177" spans="1:24" x14ac:dyDescent="0.35">
      <c r="A1177" t="str">
        <f t="shared" si="0"/>
        <v>NewcastleWatford</v>
      </c>
      <c r="B1177">
        <v>2019</v>
      </c>
      <c r="C1177" s="1">
        <v>43708</v>
      </c>
      <c r="D1177">
        <v>2411</v>
      </c>
      <c r="E1177" t="s">
        <v>23</v>
      </c>
      <c r="F1177" t="s">
        <v>46</v>
      </c>
      <c r="G1177" t="s">
        <v>35</v>
      </c>
      <c r="H1177">
        <v>69.56</v>
      </c>
      <c r="I1177">
        <v>65.98</v>
      </c>
      <c r="J1177">
        <v>0.4637</v>
      </c>
      <c r="K1177">
        <v>0.27810000000000001</v>
      </c>
      <c r="L1177">
        <v>0.25819999999999999</v>
      </c>
      <c r="M1177">
        <v>1.56</v>
      </c>
      <c r="N1177">
        <v>1.1499999999999999</v>
      </c>
      <c r="O1177">
        <v>32.700000000000003</v>
      </c>
      <c r="P1177">
        <v>39.6</v>
      </c>
      <c r="Q1177">
        <v>1</v>
      </c>
      <c r="R1177">
        <v>1</v>
      </c>
      <c r="S1177">
        <v>1.33</v>
      </c>
      <c r="T1177">
        <v>1.1399999999999999</v>
      </c>
      <c r="U1177">
        <v>0.98</v>
      </c>
      <c r="V1177">
        <v>1.33</v>
      </c>
      <c r="W1177">
        <v>1.05</v>
      </c>
      <c r="X1177">
        <v>1.05</v>
      </c>
    </row>
    <row r="1178" spans="1:24" x14ac:dyDescent="0.35">
      <c r="A1178" t="str">
        <f t="shared" si="0"/>
        <v>West Ham UnitedNorwich City</v>
      </c>
      <c r="B1178">
        <v>2019</v>
      </c>
      <c r="C1178" s="1">
        <v>43708</v>
      </c>
      <c r="D1178">
        <v>2411</v>
      </c>
      <c r="E1178" t="s">
        <v>23</v>
      </c>
      <c r="F1178" t="s">
        <v>43</v>
      </c>
      <c r="G1178" t="s">
        <v>50</v>
      </c>
      <c r="H1178">
        <v>68.63</v>
      </c>
      <c r="I1178">
        <v>63.58</v>
      </c>
      <c r="J1178">
        <v>0.51559999999999995</v>
      </c>
      <c r="K1178">
        <v>0.2414</v>
      </c>
      <c r="L1178">
        <v>0.24299999999999999</v>
      </c>
      <c r="M1178">
        <v>1.74</v>
      </c>
      <c r="N1178">
        <v>1.1100000000000001</v>
      </c>
      <c r="O1178">
        <v>31.3</v>
      </c>
      <c r="P1178">
        <v>37.799999999999997</v>
      </c>
      <c r="Q1178">
        <v>2</v>
      </c>
      <c r="R1178">
        <v>0</v>
      </c>
      <c r="S1178">
        <v>2.11</v>
      </c>
      <c r="T1178">
        <v>1.3</v>
      </c>
      <c r="U1178">
        <v>1.89</v>
      </c>
      <c r="V1178">
        <v>0.8</v>
      </c>
      <c r="W1178">
        <v>2.1</v>
      </c>
      <c r="X1178">
        <v>0</v>
      </c>
    </row>
    <row r="1179" spans="1:24" x14ac:dyDescent="0.35">
      <c r="A1179" t="str">
        <f t="shared" si="0"/>
        <v>Manchester CityBrighton and Hove Albion</v>
      </c>
      <c r="B1179">
        <v>2019</v>
      </c>
      <c r="C1179" s="1">
        <v>43708</v>
      </c>
      <c r="D1179">
        <v>2411</v>
      </c>
      <c r="E1179" t="s">
        <v>23</v>
      </c>
      <c r="F1179" t="s">
        <v>36</v>
      </c>
      <c r="G1179" t="s">
        <v>45</v>
      </c>
      <c r="H1179">
        <v>94.68</v>
      </c>
      <c r="I1179">
        <v>64.45</v>
      </c>
      <c r="J1179">
        <v>0.91459999999999997</v>
      </c>
      <c r="K1179">
        <v>1.3299999999999999E-2</v>
      </c>
      <c r="L1179">
        <v>7.2099999999999997E-2</v>
      </c>
      <c r="M1179">
        <v>3.03</v>
      </c>
      <c r="N1179">
        <v>0.22</v>
      </c>
      <c r="O1179">
        <v>62.5</v>
      </c>
      <c r="P1179">
        <v>39.799999999999997</v>
      </c>
      <c r="Q1179">
        <v>4</v>
      </c>
      <c r="R1179">
        <v>0</v>
      </c>
      <c r="S1179">
        <v>2.4</v>
      </c>
      <c r="T1179">
        <v>1.07</v>
      </c>
      <c r="U1179">
        <v>2.35</v>
      </c>
      <c r="V1179">
        <v>0.91</v>
      </c>
      <c r="W1179">
        <v>3.98</v>
      </c>
      <c r="X1179">
        <v>0</v>
      </c>
    </row>
    <row r="1180" spans="1:24" x14ac:dyDescent="0.35">
      <c r="A1180" t="str">
        <f t="shared" si="0"/>
        <v>BurnleyLiverpool</v>
      </c>
      <c r="B1180">
        <v>2019</v>
      </c>
      <c r="C1180" s="1">
        <v>43708</v>
      </c>
      <c r="D1180">
        <v>2411</v>
      </c>
      <c r="E1180" t="s">
        <v>23</v>
      </c>
      <c r="F1180" t="s">
        <v>32</v>
      </c>
      <c r="G1180" t="s">
        <v>41</v>
      </c>
      <c r="H1180">
        <v>69.73</v>
      </c>
      <c r="I1180">
        <v>92.14</v>
      </c>
      <c r="J1180">
        <v>0.14449999999999999</v>
      </c>
      <c r="K1180">
        <v>0.66400000000000003</v>
      </c>
      <c r="L1180">
        <v>0.1915</v>
      </c>
      <c r="M1180">
        <v>0.96</v>
      </c>
      <c r="N1180">
        <v>2.2599999999999998</v>
      </c>
      <c r="O1180">
        <v>23.6</v>
      </c>
      <c r="P1180">
        <v>58.5</v>
      </c>
      <c r="Q1180">
        <v>0</v>
      </c>
      <c r="R1180">
        <v>3</v>
      </c>
      <c r="S1180">
        <v>0.42</v>
      </c>
      <c r="T1180">
        <v>1.39</v>
      </c>
      <c r="U1180">
        <v>0.73</v>
      </c>
      <c r="V1180">
        <v>1.85</v>
      </c>
      <c r="W1180">
        <v>0</v>
      </c>
      <c r="X1180">
        <v>2.9</v>
      </c>
    </row>
    <row r="1181" spans="1:24" x14ac:dyDescent="0.35">
      <c r="A1181" t="str">
        <f t="shared" si="0"/>
        <v>EvertonWolverhampton</v>
      </c>
      <c r="B1181">
        <v>2019</v>
      </c>
      <c r="C1181" s="1">
        <v>43709</v>
      </c>
      <c r="D1181">
        <v>2411</v>
      </c>
      <c r="E1181" t="s">
        <v>23</v>
      </c>
      <c r="F1181" t="s">
        <v>28</v>
      </c>
      <c r="G1181" t="s">
        <v>49</v>
      </c>
      <c r="H1181">
        <v>78.37</v>
      </c>
      <c r="I1181">
        <v>73.38</v>
      </c>
      <c r="J1181">
        <v>0.51480000000000004</v>
      </c>
      <c r="K1181">
        <v>0.21149999999999999</v>
      </c>
      <c r="L1181">
        <v>0.2737</v>
      </c>
      <c r="M1181">
        <v>1.46</v>
      </c>
      <c r="N1181">
        <v>0.83</v>
      </c>
      <c r="O1181">
        <v>32</v>
      </c>
      <c r="P1181">
        <v>21.4</v>
      </c>
      <c r="Q1181">
        <v>3</v>
      </c>
      <c r="R1181">
        <v>2</v>
      </c>
      <c r="S1181">
        <v>1.53</v>
      </c>
      <c r="T1181">
        <v>2.21</v>
      </c>
      <c r="U1181">
        <v>1.91</v>
      </c>
      <c r="V1181">
        <v>1.36</v>
      </c>
      <c r="W1181">
        <v>3.15</v>
      </c>
      <c r="X1181">
        <v>2.1</v>
      </c>
    </row>
    <row r="1182" spans="1:24" x14ac:dyDescent="0.35">
      <c r="A1182" t="str">
        <f t="shared" si="0"/>
        <v>ArsenalTottenham Hotspur</v>
      </c>
      <c r="B1182">
        <v>2019</v>
      </c>
      <c r="C1182" s="1">
        <v>43709</v>
      </c>
      <c r="D1182">
        <v>2411</v>
      </c>
      <c r="E1182" t="s">
        <v>23</v>
      </c>
      <c r="F1182" t="s">
        <v>40</v>
      </c>
      <c r="G1182" t="s">
        <v>29</v>
      </c>
      <c r="H1182">
        <v>79.36</v>
      </c>
      <c r="I1182">
        <v>84.49</v>
      </c>
      <c r="J1182">
        <v>0.39179999999999998</v>
      </c>
      <c r="K1182">
        <v>0.36359999999999998</v>
      </c>
      <c r="L1182">
        <v>0.24460000000000001</v>
      </c>
      <c r="M1182">
        <v>1.58</v>
      </c>
      <c r="N1182">
        <v>1.52</v>
      </c>
      <c r="O1182">
        <v>62.6</v>
      </c>
      <c r="P1182">
        <v>60.8</v>
      </c>
      <c r="Q1182">
        <v>2</v>
      </c>
      <c r="R1182">
        <v>2</v>
      </c>
      <c r="S1182">
        <v>2.4300000000000002</v>
      </c>
      <c r="T1182">
        <v>2.1</v>
      </c>
      <c r="U1182">
        <v>3.3</v>
      </c>
      <c r="V1182">
        <v>1.08</v>
      </c>
      <c r="W1182">
        <v>2.1</v>
      </c>
      <c r="X1182">
        <v>2.1</v>
      </c>
    </row>
    <row r="1183" spans="1:24" x14ac:dyDescent="0.35">
      <c r="A1183" t="str">
        <f t="shared" si="0"/>
        <v>LiverpoolNewcastle</v>
      </c>
      <c r="B1183">
        <v>2019</v>
      </c>
      <c r="C1183" s="1">
        <v>43722</v>
      </c>
      <c r="D1183">
        <v>2411</v>
      </c>
      <c r="E1183" t="s">
        <v>23</v>
      </c>
      <c r="F1183" t="s">
        <v>41</v>
      </c>
      <c r="G1183" t="s">
        <v>46</v>
      </c>
      <c r="H1183">
        <v>92.6</v>
      </c>
      <c r="I1183">
        <v>69.14</v>
      </c>
      <c r="J1183">
        <v>0.85040000000000004</v>
      </c>
      <c r="K1183">
        <v>3.39E-2</v>
      </c>
      <c r="L1183">
        <v>0.1157</v>
      </c>
      <c r="M1183">
        <v>2.61</v>
      </c>
      <c r="N1183">
        <v>0.36</v>
      </c>
      <c r="O1183">
        <v>63.5</v>
      </c>
      <c r="P1183">
        <v>25.3</v>
      </c>
      <c r="Q1183">
        <v>3</v>
      </c>
      <c r="R1183">
        <v>1</v>
      </c>
      <c r="S1183">
        <v>3.18</v>
      </c>
      <c r="T1183">
        <v>0.34</v>
      </c>
      <c r="U1183">
        <v>3.83</v>
      </c>
      <c r="V1183">
        <v>0.7</v>
      </c>
      <c r="W1183">
        <v>3.12</v>
      </c>
      <c r="X1183">
        <v>1.05</v>
      </c>
    </row>
    <row r="1184" spans="1:24" x14ac:dyDescent="0.35">
      <c r="A1184" t="str">
        <f t="shared" si="0"/>
        <v>Tottenham HotspurCrystal Palace</v>
      </c>
      <c r="B1184">
        <v>2019</v>
      </c>
      <c r="C1184" s="1">
        <v>43722</v>
      </c>
      <c r="D1184">
        <v>2411</v>
      </c>
      <c r="E1184" t="s">
        <v>23</v>
      </c>
      <c r="F1184" t="s">
        <v>29</v>
      </c>
      <c r="G1184" t="s">
        <v>30</v>
      </c>
      <c r="H1184">
        <v>83.73</v>
      </c>
      <c r="I1184">
        <v>71.06</v>
      </c>
      <c r="J1184">
        <v>0.65500000000000003</v>
      </c>
      <c r="K1184">
        <v>0.13900000000000001</v>
      </c>
      <c r="L1184">
        <v>0.20599999999999999</v>
      </c>
      <c r="M1184">
        <v>2.0499999999999998</v>
      </c>
      <c r="N1184">
        <v>0.82</v>
      </c>
      <c r="O1184">
        <v>61.3</v>
      </c>
      <c r="P1184">
        <v>23.2</v>
      </c>
      <c r="Q1184">
        <v>4</v>
      </c>
      <c r="R1184">
        <v>0</v>
      </c>
      <c r="S1184">
        <v>1.36</v>
      </c>
      <c r="T1184">
        <v>0.72</v>
      </c>
      <c r="U1184">
        <v>1.29</v>
      </c>
      <c r="V1184">
        <v>1.23</v>
      </c>
      <c r="W1184">
        <v>4.2</v>
      </c>
      <c r="X1184">
        <v>0</v>
      </c>
    </row>
    <row r="1185" spans="1:24" x14ac:dyDescent="0.35">
      <c r="A1185" t="str">
        <f t="shared" si="0"/>
        <v>Manchester UnitedLeicester City</v>
      </c>
      <c r="B1185">
        <v>2019</v>
      </c>
      <c r="C1185" s="1">
        <v>43722</v>
      </c>
      <c r="D1185">
        <v>2411</v>
      </c>
      <c r="E1185" t="s">
        <v>23</v>
      </c>
      <c r="F1185" t="s">
        <v>39</v>
      </c>
      <c r="G1185" t="s">
        <v>25</v>
      </c>
      <c r="H1185">
        <v>82.17</v>
      </c>
      <c r="I1185">
        <v>76.73</v>
      </c>
      <c r="J1185">
        <v>0.55079999999999996</v>
      </c>
      <c r="K1185">
        <v>0.2084</v>
      </c>
      <c r="L1185">
        <v>0.24079999999999999</v>
      </c>
      <c r="M1185">
        <v>1.76</v>
      </c>
      <c r="N1185">
        <v>0.99</v>
      </c>
      <c r="O1185">
        <v>60.9</v>
      </c>
      <c r="P1185">
        <v>43.1</v>
      </c>
      <c r="Q1185">
        <v>1</v>
      </c>
      <c r="R1185">
        <v>0</v>
      </c>
      <c r="S1185">
        <v>1.1200000000000001</v>
      </c>
      <c r="T1185">
        <v>0.69</v>
      </c>
      <c r="U1185">
        <v>0.56000000000000005</v>
      </c>
      <c r="V1185">
        <v>0.67</v>
      </c>
      <c r="W1185">
        <v>1.05</v>
      </c>
      <c r="X1185">
        <v>0</v>
      </c>
    </row>
    <row r="1186" spans="1:24" x14ac:dyDescent="0.35">
      <c r="A1186" t="str">
        <f t="shared" si="0"/>
        <v>WolverhamptonChelsea</v>
      </c>
      <c r="B1186">
        <v>2019</v>
      </c>
      <c r="C1186" s="1">
        <v>43722</v>
      </c>
      <c r="D1186">
        <v>2411</v>
      </c>
      <c r="E1186" t="s">
        <v>23</v>
      </c>
      <c r="F1186" t="s">
        <v>49</v>
      </c>
      <c r="G1186" t="s">
        <v>42</v>
      </c>
      <c r="H1186">
        <v>73.430000000000007</v>
      </c>
      <c r="I1186">
        <v>83.5</v>
      </c>
      <c r="J1186">
        <v>0.28570000000000001</v>
      </c>
      <c r="K1186">
        <v>0.46089999999999998</v>
      </c>
      <c r="L1186">
        <v>0.25340000000000001</v>
      </c>
      <c r="M1186">
        <v>1.21</v>
      </c>
      <c r="N1186">
        <v>1.6</v>
      </c>
      <c r="O1186">
        <v>21.2</v>
      </c>
      <c r="P1186">
        <v>57.4</v>
      </c>
      <c r="Q1186">
        <v>2</v>
      </c>
      <c r="R1186">
        <v>5</v>
      </c>
      <c r="S1186">
        <v>1.55</v>
      </c>
      <c r="T1186">
        <v>2.52</v>
      </c>
      <c r="U1186">
        <v>1</v>
      </c>
      <c r="V1186">
        <v>1.69</v>
      </c>
      <c r="W1186">
        <v>2.1</v>
      </c>
      <c r="X1186">
        <v>4.72</v>
      </c>
    </row>
    <row r="1187" spans="1:24" x14ac:dyDescent="0.35">
      <c r="A1187" t="str">
        <f t="shared" si="0"/>
        <v>Sheffield UnitedSouthampton</v>
      </c>
      <c r="B1187">
        <v>2019</v>
      </c>
      <c r="C1187" s="1">
        <v>43722</v>
      </c>
      <c r="D1187">
        <v>2411</v>
      </c>
      <c r="E1187" t="s">
        <v>23</v>
      </c>
      <c r="F1187" t="s">
        <v>51</v>
      </c>
      <c r="G1187" t="s">
        <v>34</v>
      </c>
      <c r="H1187">
        <v>64.23</v>
      </c>
      <c r="I1187">
        <v>69.569999999999993</v>
      </c>
      <c r="J1187">
        <v>0.39700000000000002</v>
      </c>
      <c r="K1187">
        <v>0.32840000000000003</v>
      </c>
      <c r="L1187">
        <v>0.27460000000000001</v>
      </c>
      <c r="M1187">
        <v>1.33</v>
      </c>
      <c r="N1187">
        <v>1.19</v>
      </c>
      <c r="O1187">
        <v>44</v>
      </c>
      <c r="P1187">
        <v>28.7</v>
      </c>
      <c r="Q1187">
        <v>0</v>
      </c>
      <c r="R1187">
        <v>1</v>
      </c>
      <c r="S1187">
        <v>2</v>
      </c>
      <c r="T1187">
        <v>1.64</v>
      </c>
      <c r="U1187">
        <v>1.51</v>
      </c>
      <c r="V1187">
        <v>1.21</v>
      </c>
      <c r="W1187">
        <v>0</v>
      </c>
      <c r="X1187">
        <v>1.05</v>
      </c>
    </row>
    <row r="1188" spans="1:24" x14ac:dyDescent="0.35">
      <c r="A1188" t="str">
        <f t="shared" si="0"/>
        <v>Brighton and Hove AlbionBurnley</v>
      </c>
      <c r="B1188">
        <v>2019</v>
      </c>
      <c r="C1188" s="1">
        <v>43722</v>
      </c>
      <c r="D1188">
        <v>2411</v>
      </c>
      <c r="E1188" t="s">
        <v>23</v>
      </c>
      <c r="F1188" t="s">
        <v>45</v>
      </c>
      <c r="G1188" t="s">
        <v>32</v>
      </c>
      <c r="H1188">
        <v>64.86</v>
      </c>
      <c r="I1188">
        <v>69.099999999999994</v>
      </c>
      <c r="J1188">
        <v>0.41299999999999998</v>
      </c>
      <c r="K1188">
        <v>0.31140000000000001</v>
      </c>
      <c r="L1188">
        <v>0.27560000000000001</v>
      </c>
      <c r="M1188">
        <v>1.35</v>
      </c>
      <c r="N1188">
        <v>1.1399999999999999</v>
      </c>
      <c r="O1188">
        <v>44.2</v>
      </c>
      <c r="P1188">
        <v>27.6</v>
      </c>
      <c r="Q1188">
        <v>1</v>
      </c>
      <c r="R1188">
        <v>1</v>
      </c>
      <c r="S1188">
        <v>1.54</v>
      </c>
      <c r="T1188">
        <v>0.48</v>
      </c>
      <c r="U1188">
        <v>1.39</v>
      </c>
      <c r="V1188">
        <v>0.45</v>
      </c>
      <c r="W1188">
        <v>1.05</v>
      </c>
      <c r="X1188">
        <v>1.05</v>
      </c>
    </row>
    <row r="1189" spans="1:24" x14ac:dyDescent="0.35">
      <c r="A1189" t="str">
        <f t="shared" si="0"/>
        <v>Norwich CityManchester City</v>
      </c>
      <c r="B1189">
        <v>2019</v>
      </c>
      <c r="C1189" s="1">
        <v>43722</v>
      </c>
      <c r="D1189">
        <v>2411</v>
      </c>
      <c r="E1189" t="s">
        <v>23</v>
      </c>
      <c r="F1189" t="s">
        <v>50</v>
      </c>
      <c r="G1189" t="s">
        <v>36</v>
      </c>
      <c r="H1189">
        <v>62.87</v>
      </c>
      <c r="I1189">
        <v>94.69</v>
      </c>
      <c r="J1189">
        <v>7.1199999999999999E-2</v>
      </c>
      <c r="K1189">
        <v>0.79279999999999995</v>
      </c>
      <c r="L1189">
        <v>0.13600000000000001</v>
      </c>
      <c r="M1189">
        <v>0.71</v>
      </c>
      <c r="N1189">
        <v>2.72</v>
      </c>
      <c r="O1189">
        <v>40.4</v>
      </c>
      <c r="P1189">
        <v>68.599999999999994</v>
      </c>
      <c r="Q1189">
        <v>3</v>
      </c>
      <c r="R1189">
        <v>2</v>
      </c>
      <c r="S1189">
        <v>1.53</v>
      </c>
      <c r="T1189">
        <v>2.61</v>
      </c>
      <c r="U1189">
        <v>0.83</v>
      </c>
      <c r="V1189">
        <v>3.32</v>
      </c>
      <c r="W1189">
        <v>3.15</v>
      </c>
      <c r="X1189">
        <v>2.1</v>
      </c>
    </row>
    <row r="1190" spans="1:24" x14ac:dyDescent="0.35">
      <c r="A1190" t="str">
        <f t="shared" si="0"/>
        <v>AFC BournemouthEverton</v>
      </c>
      <c r="B1190">
        <v>2019</v>
      </c>
      <c r="C1190" s="1">
        <v>43723</v>
      </c>
      <c r="D1190">
        <v>2411</v>
      </c>
      <c r="E1190" t="s">
        <v>23</v>
      </c>
      <c r="F1190" t="s">
        <v>38</v>
      </c>
      <c r="G1190" t="s">
        <v>28</v>
      </c>
      <c r="H1190">
        <v>68.069999999999993</v>
      </c>
      <c r="I1190">
        <v>77.62</v>
      </c>
      <c r="J1190">
        <v>0.36080000000000001</v>
      </c>
      <c r="K1190">
        <v>0.3866</v>
      </c>
      <c r="L1190">
        <v>0.25259999999999999</v>
      </c>
      <c r="M1190">
        <v>1.44</v>
      </c>
      <c r="N1190">
        <v>1.5</v>
      </c>
      <c r="O1190">
        <v>28.6</v>
      </c>
      <c r="P1190">
        <v>31.2</v>
      </c>
      <c r="Q1190">
        <v>3</v>
      </c>
      <c r="R1190">
        <v>1</v>
      </c>
      <c r="S1190">
        <v>1.34</v>
      </c>
      <c r="T1190">
        <v>1.59</v>
      </c>
      <c r="U1190">
        <v>0.75</v>
      </c>
      <c r="V1190">
        <v>1.36</v>
      </c>
      <c r="W1190">
        <v>3.1</v>
      </c>
      <c r="X1190">
        <v>1.05</v>
      </c>
    </row>
    <row r="1191" spans="1:24" x14ac:dyDescent="0.35">
      <c r="A1191" t="str">
        <f t="shared" si="0"/>
        <v>WatfordArsenal</v>
      </c>
      <c r="B1191">
        <v>2019</v>
      </c>
      <c r="C1191" s="1">
        <v>43723</v>
      </c>
      <c r="D1191">
        <v>2411</v>
      </c>
      <c r="E1191" t="s">
        <v>23</v>
      </c>
      <c r="F1191" t="s">
        <v>35</v>
      </c>
      <c r="G1191" t="s">
        <v>40</v>
      </c>
      <c r="H1191">
        <v>66.62</v>
      </c>
      <c r="I1191">
        <v>79.930000000000007</v>
      </c>
      <c r="J1191">
        <v>0.29210000000000003</v>
      </c>
      <c r="K1191">
        <v>0.4793</v>
      </c>
      <c r="L1191">
        <v>0.2286</v>
      </c>
      <c r="M1191">
        <v>1.45</v>
      </c>
      <c r="N1191">
        <v>1.9</v>
      </c>
      <c r="O1191">
        <v>38.9</v>
      </c>
      <c r="P1191">
        <v>46.4</v>
      </c>
      <c r="Q1191">
        <v>2</v>
      </c>
      <c r="R1191">
        <v>2</v>
      </c>
      <c r="S1191">
        <v>3.03</v>
      </c>
      <c r="T1191">
        <v>0.86</v>
      </c>
      <c r="U1191">
        <v>2.76</v>
      </c>
      <c r="V1191">
        <v>0.69</v>
      </c>
      <c r="W1191">
        <v>2.1</v>
      </c>
      <c r="X1191">
        <v>2.1</v>
      </c>
    </row>
    <row r="1192" spans="1:24" x14ac:dyDescent="0.35">
      <c r="A1192" t="str">
        <f t="shared" si="0"/>
        <v>Aston VillaWest Ham United</v>
      </c>
      <c r="B1192">
        <v>2019</v>
      </c>
      <c r="C1192" s="1">
        <v>43724</v>
      </c>
      <c r="D1192">
        <v>2411</v>
      </c>
      <c r="E1192" t="s">
        <v>23</v>
      </c>
      <c r="F1192" t="s">
        <v>52</v>
      </c>
      <c r="G1192" t="s">
        <v>43</v>
      </c>
      <c r="H1192">
        <v>64.02</v>
      </c>
      <c r="I1192">
        <v>69.400000000000006</v>
      </c>
      <c r="J1192">
        <v>0.39589999999999997</v>
      </c>
      <c r="K1192">
        <v>0.34489999999999998</v>
      </c>
      <c r="L1192">
        <v>0.25919999999999999</v>
      </c>
      <c r="M1192">
        <v>1.45</v>
      </c>
      <c r="N1192">
        <v>1.34</v>
      </c>
      <c r="O1192">
        <v>42.5</v>
      </c>
      <c r="P1192">
        <v>23.8</v>
      </c>
      <c r="Q1192">
        <v>0</v>
      </c>
      <c r="R1192">
        <v>0</v>
      </c>
      <c r="S1192">
        <v>1.47</v>
      </c>
      <c r="T1192">
        <v>0.56999999999999995</v>
      </c>
      <c r="U1192">
        <v>0.86</v>
      </c>
      <c r="V1192">
        <v>1.36</v>
      </c>
      <c r="W1192">
        <v>0</v>
      </c>
      <c r="X1192">
        <v>0</v>
      </c>
    </row>
    <row r="1193" spans="1:24" x14ac:dyDescent="0.35">
      <c r="A1193" t="str">
        <f t="shared" si="0"/>
        <v>SouthamptonAFC Bournemouth</v>
      </c>
      <c r="B1193">
        <v>2019</v>
      </c>
      <c r="C1193" s="1">
        <v>43728</v>
      </c>
      <c r="D1193">
        <v>2411</v>
      </c>
      <c r="E1193" t="s">
        <v>23</v>
      </c>
      <c r="F1193" t="s">
        <v>34</v>
      </c>
      <c r="G1193" t="s">
        <v>38</v>
      </c>
      <c r="H1193">
        <v>69.83</v>
      </c>
      <c r="I1193">
        <v>68.53</v>
      </c>
      <c r="J1193">
        <v>0.4506</v>
      </c>
      <c r="K1193">
        <v>0.3054</v>
      </c>
      <c r="L1193">
        <v>0.24410000000000001</v>
      </c>
      <c r="M1193">
        <v>1.69</v>
      </c>
      <c r="N1193">
        <v>1.35</v>
      </c>
      <c r="O1193">
        <v>22.4</v>
      </c>
      <c r="P1193">
        <v>26.1</v>
      </c>
      <c r="Q1193">
        <v>1</v>
      </c>
      <c r="R1193">
        <v>3</v>
      </c>
      <c r="S1193">
        <v>2.59</v>
      </c>
      <c r="T1193">
        <v>1.28</v>
      </c>
      <c r="U1193">
        <v>1.66</v>
      </c>
      <c r="V1193">
        <v>0.54</v>
      </c>
      <c r="W1193">
        <v>1.05</v>
      </c>
      <c r="X1193">
        <v>2.63</v>
      </c>
    </row>
    <row r="1194" spans="1:24" x14ac:dyDescent="0.35">
      <c r="A1194" t="str">
        <f t="shared" si="0"/>
        <v>Leicester CityTottenham Hotspur</v>
      </c>
      <c r="B1194">
        <v>2019</v>
      </c>
      <c r="C1194" s="1">
        <v>43729</v>
      </c>
      <c r="D1194">
        <v>2411</v>
      </c>
      <c r="E1194" t="s">
        <v>23</v>
      </c>
      <c r="F1194" t="s">
        <v>25</v>
      </c>
      <c r="G1194" t="s">
        <v>29</v>
      </c>
      <c r="H1194">
        <v>77.09</v>
      </c>
      <c r="I1194">
        <v>84.19</v>
      </c>
      <c r="J1194">
        <v>0.32229999999999998</v>
      </c>
      <c r="K1194">
        <v>0.41399999999999998</v>
      </c>
      <c r="L1194">
        <v>0.26369999999999999</v>
      </c>
      <c r="M1194">
        <v>1.25</v>
      </c>
      <c r="N1194">
        <v>1.45</v>
      </c>
      <c r="O1194">
        <v>40.299999999999997</v>
      </c>
      <c r="P1194">
        <v>65.900000000000006</v>
      </c>
      <c r="Q1194">
        <v>2</v>
      </c>
      <c r="R1194">
        <v>1</v>
      </c>
      <c r="S1194">
        <v>1.27</v>
      </c>
      <c r="T1194">
        <v>1.52</v>
      </c>
      <c r="U1194">
        <v>1.63</v>
      </c>
      <c r="V1194">
        <v>1.21</v>
      </c>
      <c r="W1194">
        <v>2.1</v>
      </c>
      <c r="X1194">
        <v>1.05</v>
      </c>
    </row>
    <row r="1195" spans="1:24" x14ac:dyDescent="0.35">
      <c r="A1195" t="str">
        <f t="shared" si="0"/>
        <v>EvertonSheffield United</v>
      </c>
      <c r="B1195">
        <v>2019</v>
      </c>
      <c r="C1195" s="1">
        <v>43729</v>
      </c>
      <c r="D1195">
        <v>2411</v>
      </c>
      <c r="E1195" t="s">
        <v>23</v>
      </c>
      <c r="F1195" t="s">
        <v>28</v>
      </c>
      <c r="G1195" t="s">
        <v>51</v>
      </c>
      <c r="H1195">
        <v>77.180000000000007</v>
      </c>
      <c r="I1195">
        <v>63.99</v>
      </c>
      <c r="J1195">
        <v>0.58260000000000001</v>
      </c>
      <c r="K1195">
        <v>0.1711</v>
      </c>
      <c r="L1195">
        <v>0.24640000000000001</v>
      </c>
      <c r="M1195">
        <v>1.68</v>
      </c>
      <c r="N1195">
        <v>0.78</v>
      </c>
      <c r="O1195">
        <v>25.3</v>
      </c>
      <c r="P1195">
        <v>42.4</v>
      </c>
      <c r="Q1195">
        <v>0</v>
      </c>
      <c r="R1195">
        <v>2</v>
      </c>
      <c r="S1195">
        <v>1.0900000000000001</v>
      </c>
      <c r="T1195">
        <v>0.33</v>
      </c>
      <c r="U1195">
        <v>1.73</v>
      </c>
      <c r="V1195">
        <v>0.28000000000000003</v>
      </c>
      <c r="W1195">
        <v>0</v>
      </c>
      <c r="X1195">
        <v>1.88</v>
      </c>
    </row>
    <row r="1196" spans="1:24" x14ac:dyDescent="0.35">
      <c r="A1196" t="str">
        <f t="shared" si="0"/>
        <v>Manchester CityWatford</v>
      </c>
      <c r="B1196">
        <v>2019</v>
      </c>
      <c r="C1196" s="1">
        <v>43729</v>
      </c>
      <c r="D1196">
        <v>2411</v>
      </c>
      <c r="E1196" t="s">
        <v>23</v>
      </c>
      <c r="F1196" t="s">
        <v>36</v>
      </c>
      <c r="G1196" t="s">
        <v>35</v>
      </c>
      <c r="H1196">
        <v>94.87</v>
      </c>
      <c r="I1196">
        <v>68.34</v>
      </c>
      <c r="J1196">
        <v>0.89200000000000002</v>
      </c>
      <c r="K1196">
        <v>2.7300000000000001E-2</v>
      </c>
      <c r="L1196">
        <v>8.0699999999999994E-2</v>
      </c>
      <c r="M1196">
        <v>3.24</v>
      </c>
      <c r="N1196">
        <v>0.46</v>
      </c>
      <c r="O1196">
        <v>70.3</v>
      </c>
      <c r="P1196">
        <v>29.7</v>
      </c>
      <c r="Q1196">
        <v>8</v>
      </c>
      <c r="R1196">
        <v>0</v>
      </c>
      <c r="S1196">
        <v>7.07</v>
      </c>
      <c r="T1196">
        <v>0.28000000000000003</v>
      </c>
      <c r="U1196">
        <v>3.82</v>
      </c>
      <c r="V1196">
        <v>0.66</v>
      </c>
      <c r="W1196">
        <v>8.0299999999999994</v>
      </c>
      <c r="X1196">
        <v>0</v>
      </c>
    </row>
    <row r="1197" spans="1:24" x14ac:dyDescent="0.35">
      <c r="A1197" t="str">
        <f t="shared" si="0"/>
        <v>BurnleyNorwich City</v>
      </c>
      <c r="B1197">
        <v>2019</v>
      </c>
      <c r="C1197" s="1">
        <v>43729</v>
      </c>
      <c r="D1197">
        <v>2411</v>
      </c>
      <c r="E1197" t="s">
        <v>23</v>
      </c>
      <c r="F1197" t="s">
        <v>32</v>
      </c>
      <c r="G1197" t="s">
        <v>50</v>
      </c>
      <c r="H1197">
        <v>68.650000000000006</v>
      </c>
      <c r="I1197">
        <v>64.42</v>
      </c>
      <c r="J1197">
        <v>0.48749999999999999</v>
      </c>
      <c r="K1197">
        <v>0.25409999999999999</v>
      </c>
      <c r="L1197">
        <v>0.25850000000000001</v>
      </c>
      <c r="M1197">
        <v>1.57</v>
      </c>
      <c r="N1197">
        <v>1.06</v>
      </c>
      <c r="O1197">
        <v>33.5</v>
      </c>
      <c r="P1197">
        <v>37</v>
      </c>
      <c r="Q1197">
        <v>2</v>
      </c>
      <c r="R1197">
        <v>0</v>
      </c>
      <c r="S1197">
        <v>2.42</v>
      </c>
      <c r="T1197">
        <v>0.75</v>
      </c>
      <c r="U1197">
        <v>1.94</v>
      </c>
      <c r="V1197">
        <v>1.45</v>
      </c>
      <c r="W1197">
        <v>2.1</v>
      </c>
      <c r="X1197">
        <v>0</v>
      </c>
    </row>
    <row r="1198" spans="1:24" x14ac:dyDescent="0.35">
      <c r="A1198" t="str">
        <f t="shared" si="0"/>
        <v>NewcastleBrighton and Hove Albion</v>
      </c>
      <c r="B1198">
        <v>2019</v>
      </c>
      <c r="C1198" s="1">
        <v>43729</v>
      </c>
      <c r="D1198">
        <v>2411</v>
      </c>
      <c r="E1198" t="s">
        <v>23</v>
      </c>
      <c r="F1198" t="s">
        <v>46</v>
      </c>
      <c r="G1198" t="s">
        <v>45</v>
      </c>
      <c r="H1198">
        <v>68.53</v>
      </c>
      <c r="I1198">
        <v>65.56</v>
      </c>
      <c r="J1198">
        <v>0.47299999999999998</v>
      </c>
      <c r="K1198">
        <v>0.24979999999999999</v>
      </c>
      <c r="L1198">
        <v>0.2772</v>
      </c>
      <c r="M1198">
        <v>1.41</v>
      </c>
      <c r="N1198">
        <v>0.94</v>
      </c>
      <c r="O1198">
        <v>39.4</v>
      </c>
      <c r="P1198">
        <v>43.9</v>
      </c>
      <c r="Q1198">
        <v>0</v>
      </c>
      <c r="R1198">
        <v>0</v>
      </c>
      <c r="S1198">
        <v>0.82</v>
      </c>
      <c r="T1198">
        <v>1.4</v>
      </c>
      <c r="U1198">
        <v>0.91</v>
      </c>
      <c r="V1198">
        <v>1.19</v>
      </c>
      <c r="W1198">
        <v>0</v>
      </c>
      <c r="X1198">
        <v>0</v>
      </c>
    </row>
    <row r="1199" spans="1:24" x14ac:dyDescent="0.35">
      <c r="A1199" t="str">
        <f t="shared" si="0"/>
        <v>Crystal PalaceWolverhampton</v>
      </c>
      <c r="B1199">
        <v>2019</v>
      </c>
      <c r="C1199" s="1">
        <v>43730</v>
      </c>
      <c r="D1199">
        <v>2411</v>
      </c>
      <c r="E1199" t="s">
        <v>23</v>
      </c>
      <c r="F1199" t="s">
        <v>30</v>
      </c>
      <c r="G1199" t="s">
        <v>49</v>
      </c>
      <c r="H1199">
        <v>70.510000000000005</v>
      </c>
      <c r="I1199">
        <v>71.400000000000006</v>
      </c>
      <c r="J1199">
        <v>0.43940000000000001</v>
      </c>
      <c r="K1199">
        <v>0.29089999999999999</v>
      </c>
      <c r="L1199">
        <v>0.2697</v>
      </c>
      <c r="M1199">
        <v>1.43</v>
      </c>
      <c r="N1199">
        <v>1.1200000000000001</v>
      </c>
      <c r="O1199">
        <v>25.9</v>
      </c>
      <c r="P1199">
        <v>28.9</v>
      </c>
      <c r="Q1199">
        <v>1</v>
      </c>
      <c r="R1199">
        <v>1</v>
      </c>
      <c r="S1199">
        <v>0.96</v>
      </c>
      <c r="T1199">
        <v>1.67</v>
      </c>
      <c r="U1199">
        <v>1.7</v>
      </c>
      <c r="V1199">
        <v>1.27</v>
      </c>
      <c r="W1199">
        <v>1.05</v>
      </c>
      <c r="X1199">
        <v>1.05</v>
      </c>
    </row>
    <row r="1200" spans="1:24" x14ac:dyDescent="0.35">
      <c r="A1200" t="str">
        <f t="shared" si="0"/>
        <v>West Ham UnitedManchester United</v>
      </c>
      <c r="B1200">
        <v>2019</v>
      </c>
      <c r="C1200" s="1">
        <v>43730</v>
      </c>
      <c r="D1200">
        <v>2411</v>
      </c>
      <c r="E1200" t="s">
        <v>23</v>
      </c>
      <c r="F1200" t="s">
        <v>43</v>
      </c>
      <c r="G1200" t="s">
        <v>39</v>
      </c>
      <c r="H1200">
        <v>69.7</v>
      </c>
      <c r="I1200">
        <v>82.34</v>
      </c>
      <c r="J1200">
        <v>0.27879999999999999</v>
      </c>
      <c r="K1200">
        <v>0.4758</v>
      </c>
      <c r="L1200">
        <v>0.24540000000000001</v>
      </c>
      <c r="M1200">
        <v>1.24</v>
      </c>
      <c r="N1200">
        <v>1.7</v>
      </c>
      <c r="O1200">
        <v>19.5</v>
      </c>
      <c r="P1200">
        <v>54.7</v>
      </c>
      <c r="Q1200">
        <v>2</v>
      </c>
      <c r="R1200">
        <v>0</v>
      </c>
      <c r="S1200">
        <v>0.52</v>
      </c>
      <c r="T1200">
        <v>1.26</v>
      </c>
      <c r="U1200">
        <v>0.6</v>
      </c>
      <c r="V1200">
        <v>1.1200000000000001</v>
      </c>
      <c r="W1200">
        <v>1.76</v>
      </c>
      <c r="X1200">
        <v>0</v>
      </c>
    </row>
    <row r="1201" spans="1:24" x14ac:dyDescent="0.35">
      <c r="A1201" t="str">
        <f t="shared" si="0"/>
        <v>ChelseaLiverpool</v>
      </c>
      <c r="B1201">
        <v>2019</v>
      </c>
      <c r="C1201" s="1">
        <v>43730</v>
      </c>
      <c r="D1201">
        <v>2411</v>
      </c>
      <c r="E1201" t="s">
        <v>23</v>
      </c>
      <c r="F1201" t="s">
        <v>42</v>
      </c>
      <c r="G1201" t="s">
        <v>41</v>
      </c>
      <c r="H1201">
        <v>84.09</v>
      </c>
      <c r="I1201">
        <v>92.4</v>
      </c>
      <c r="J1201">
        <v>0.30130000000000001</v>
      </c>
      <c r="K1201">
        <v>0.46479999999999999</v>
      </c>
      <c r="L1201">
        <v>0.2339</v>
      </c>
      <c r="M1201">
        <v>1.43</v>
      </c>
      <c r="N1201">
        <v>1.82</v>
      </c>
      <c r="O1201">
        <v>67.599999999999994</v>
      </c>
      <c r="P1201">
        <v>76.7</v>
      </c>
      <c r="Q1201">
        <v>1</v>
      </c>
      <c r="R1201">
        <v>2</v>
      </c>
      <c r="S1201">
        <v>1.76</v>
      </c>
      <c r="T1201">
        <v>1.28</v>
      </c>
      <c r="U1201">
        <v>1.1399999999999999</v>
      </c>
      <c r="V1201">
        <v>1.57</v>
      </c>
      <c r="W1201">
        <v>1.05</v>
      </c>
      <c r="X1201">
        <v>2.1</v>
      </c>
    </row>
    <row r="1202" spans="1:24" x14ac:dyDescent="0.35">
      <c r="A1202" t="str">
        <f t="shared" si="0"/>
        <v>ArsenalAston Villa</v>
      </c>
      <c r="B1202">
        <v>2019</v>
      </c>
      <c r="C1202" s="1">
        <v>43730</v>
      </c>
      <c r="D1202">
        <v>2411</v>
      </c>
      <c r="E1202" t="s">
        <v>23</v>
      </c>
      <c r="F1202" t="s">
        <v>40</v>
      </c>
      <c r="G1202" t="s">
        <v>52</v>
      </c>
      <c r="H1202">
        <v>79.23</v>
      </c>
      <c r="I1202">
        <v>64.34</v>
      </c>
      <c r="J1202">
        <v>0.65880000000000005</v>
      </c>
      <c r="K1202">
        <v>0.14199999999999999</v>
      </c>
      <c r="L1202">
        <v>0.19919999999999999</v>
      </c>
      <c r="M1202">
        <v>2.15</v>
      </c>
      <c r="N1202">
        <v>0.88</v>
      </c>
      <c r="O1202">
        <v>47.4</v>
      </c>
      <c r="P1202">
        <v>41.2</v>
      </c>
      <c r="Q1202">
        <v>3</v>
      </c>
      <c r="R1202">
        <v>2</v>
      </c>
      <c r="S1202">
        <v>2.34</v>
      </c>
      <c r="T1202">
        <v>1.8</v>
      </c>
      <c r="U1202">
        <v>2.34</v>
      </c>
      <c r="V1202">
        <v>1.34</v>
      </c>
      <c r="W1202">
        <v>3.15</v>
      </c>
      <c r="X1202">
        <v>1.89</v>
      </c>
    </row>
    <row r="1203" spans="1:24" x14ac:dyDescent="0.35">
      <c r="A1203" t="str">
        <f t="shared" si="0"/>
        <v>Sheffield UnitedLiverpool</v>
      </c>
      <c r="B1203">
        <v>2019</v>
      </c>
      <c r="C1203" s="1">
        <v>43736</v>
      </c>
      <c r="D1203">
        <v>2411</v>
      </c>
      <c r="E1203" t="s">
        <v>23</v>
      </c>
      <c r="F1203" t="s">
        <v>51</v>
      </c>
      <c r="G1203" t="s">
        <v>41</v>
      </c>
      <c r="H1203">
        <v>65.05</v>
      </c>
      <c r="I1203">
        <v>92.43</v>
      </c>
      <c r="J1203">
        <v>0.10929999999999999</v>
      </c>
      <c r="K1203">
        <v>0.71130000000000004</v>
      </c>
      <c r="L1203">
        <v>0.1794</v>
      </c>
      <c r="M1203">
        <v>0.77</v>
      </c>
      <c r="N1203">
        <v>2.29</v>
      </c>
      <c r="O1203">
        <v>33.700000000000003</v>
      </c>
      <c r="P1203">
        <v>69.3</v>
      </c>
      <c r="Q1203">
        <v>0</v>
      </c>
      <c r="R1203">
        <v>1</v>
      </c>
      <c r="S1203">
        <v>1.25</v>
      </c>
      <c r="T1203">
        <v>2.2799999999999998</v>
      </c>
      <c r="U1203">
        <v>1.31</v>
      </c>
      <c r="V1203">
        <v>1.86</v>
      </c>
      <c r="W1203">
        <v>0</v>
      </c>
      <c r="X1203">
        <v>1.05</v>
      </c>
    </row>
    <row r="1204" spans="1:24" x14ac:dyDescent="0.35">
      <c r="A1204" t="str">
        <f t="shared" si="0"/>
        <v>ChelseaBrighton and Hove Albion</v>
      </c>
      <c r="B1204">
        <v>2019</v>
      </c>
      <c r="C1204" s="1">
        <v>43736</v>
      </c>
      <c r="D1204">
        <v>2411</v>
      </c>
      <c r="E1204" t="s">
        <v>23</v>
      </c>
      <c r="F1204" t="s">
        <v>42</v>
      </c>
      <c r="G1204" t="s">
        <v>45</v>
      </c>
      <c r="H1204">
        <v>84.1</v>
      </c>
      <c r="I1204">
        <v>66.7</v>
      </c>
      <c r="J1204">
        <v>0.70499999999999996</v>
      </c>
      <c r="K1204">
        <v>0.106</v>
      </c>
      <c r="L1204">
        <v>0.18890000000000001</v>
      </c>
      <c r="M1204">
        <v>2.14</v>
      </c>
      <c r="N1204">
        <v>0.69</v>
      </c>
      <c r="O1204">
        <v>60.3</v>
      </c>
      <c r="P1204">
        <v>34.799999999999997</v>
      </c>
      <c r="Q1204">
        <v>2</v>
      </c>
      <c r="R1204">
        <v>0</v>
      </c>
      <c r="S1204">
        <v>4.43</v>
      </c>
      <c r="T1204">
        <v>0.78</v>
      </c>
      <c r="U1204">
        <v>1.76</v>
      </c>
      <c r="V1204">
        <v>0.67</v>
      </c>
      <c r="W1204">
        <v>1.96</v>
      </c>
      <c r="X1204">
        <v>0</v>
      </c>
    </row>
    <row r="1205" spans="1:24" x14ac:dyDescent="0.35">
      <c r="A1205" t="str">
        <f t="shared" si="0"/>
        <v>Tottenham HotspurSouthampton</v>
      </c>
      <c r="B1205">
        <v>2019</v>
      </c>
      <c r="C1205" s="1">
        <v>43736</v>
      </c>
      <c r="D1205">
        <v>2411</v>
      </c>
      <c r="E1205" t="s">
        <v>23</v>
      </c>
      <c r="F1205" t="s">
        <v>29</v>
      </c>
      <c r="G1205" t="s">
        <v>34</v>
      </c>
      <c r="H1205">
        <v>83.71</v>
      </c>
      <c r="I1205">
        <v>69.72</v>
      </c>
      <c r="J1205">
        <v>0.66539999999999999</v>
      </c>
      <c r="K1205">
        <v>0.1351</v>
      </c>
      <c r="L1205">
        <v>0.19950000000000001</v>
      </c>
      <c r="M1205">
        <v>2.12</v>
      </c>
      <c r="N1205">
        <v>0.83</v>
      </c>
      <c r="O1205">
        <v>57.4</v>
      </c>
      <c r="P1205">
        <v>24.7</v>
      </c>
      <c r="Q1205">
        <v>2</v>
      </c>
      <c r="R1205">
        <v>1</v>
      </c>
      <c r="S1205">
        <v>1.44</v>
      </c>
      <c r="T1205">
        <v>1.27</v>
      </c>
      <c r="U1205">
        <v>1</v>
      </c>
      <c r="V1205">
        <v>1.83</v>
      </c>
      <c r="W1205">
        <v>2.1</v>
      </c>
      <c r="X1205">
        <v>0.84</v>
      </c>
    </row>
    <row r="1206" spans="1:24" x14ac:dyDescent="0.35">
      <c r="A1206" t="str">
        <f t="shared" si="0"/>
        <v>AFC BournemouthWest Ham United</v>
      </c>
      <c r="B1206">
        <v>2019</v>
      </c>
      <c r="C1206" s="1">
        <v>43736</v>
      </c>
      <c r="D1206">
        <v>2411</v>
      </c>
      <c r="E1206" t="s">
        <v>23</v>
      </c>
      <c r="F1206" t="s">
        <v>38</v>
      </c>
      <c r="G1206" t="s">
        <v>43</v>
      </c>
      <c r="H1206">
        <v>68.56</v>
      </c>
      <c r="I1206">
        <v>70.23</v>
      </c>
      <c r="J1206">
        <v>0.44790000000000002</v>
      </c>
      <c r="K1206">
        <v>0.31219999999999998</v>
      </c>
      <c r="L1206">
        <v>0.2399</v>
      </c>
      <c r="M1206">
        <v>1.73</v>
      </c>
      <c r="N1206">
        <v>1.41</v>
      </c>
      <c r="O1206">
        <v>18.899999999999999</v>
      </c>
      <c r="P1206">
        <v>21.2</v>
      </c>
      <c r="Q1206">
        <v>2</v>
      </c>
      <c r="R1206">
        <v>2</v>
      </c>
      <c r="S1206">
        <v>2.5099999999999998</v>
      </c>
      <c r="T1206">
        <v>1.66</v>
      </c>
      <c r="U1206">
        <v>2.06</v>
      </c>
      <c r="V1206">
        <v>1.75</v>
      </c>
      <c r="W1206">
        <v>2.1</v>
      </c>
      <c r="X1206">
        <v>2.1</v>
      </c>
    </row>
    <row r="1207" spans="1:24" x14ac:dyDescent="0.35">
      <c r="A1207" t="str">
        <f t="shared" si="0"/>
        <v>Crystal PalaceNorwich City</v>
      </c>
      <c r="B1207">
        <v>2019</v>
      </c>
      <c r="C1207" s="1">
        <v>43736</v>
      </c>
      <c r="D1207">
        <v>2411</v>
      </c>
      <c r="E1207" t="s">
        <v>23</v>
      </c>
      <c r="F1207" t="s">
        <v>30</v>
      </c>
      <c r="G1207" t="s">
        <v>50</v>
      </c>
      <c r="H1207">
        <v>70.03</v>
      </c>
      <c r="I1207">
        <v>63.34</v>
      </c>
      <c r="J1207">
        <v>0.51160000000000005</v>
      </c>
      <c r="K1207">
        <v>0.2374</v>
      </c>
      <c r="L1207">
        <v>0.251</v>
      </c>
      <c r="M1207">
        <v>1.65</v>
      </c>
      <c r="N1207">
        <v>1.05</v>
      </c>
      <c r="O1207">
        <v>27.6</v>
      </c>
      <c r="P1207">
        <v>37.200000000000003</v>
      </c>
      <c r="Q1207">
        <v>2</v>
      </c>
      <c r="R1207">
        <v>0</v>
      </c>
      <c r="S1207">
        <v>1.61</v>
      </c>
      <c r="T1207">
        <v>0.76</v>
      </c>
      <c r="U1207">
        <v>1.49</v>
      </c>
      <c r="V1207">
        <v>1.4</v>
      </c>
      <c r="W1207">
        <v>1.58</v>
      </c>
      <c r="X1207">
        <v>0</v>
      </c>
    </row>
    <row r="1208" spans="1:24" x14ac:dyDescent="0.35">
      <c r="A1208" t="str">
        <f t="shared" ref="A1208:A1271" si="1">F1208&amp;G1208</f>
        <v>Aston VillaBurnley</v>
      </c>
      <c r="B1208">
        <v>2019</v>
      </c>
      <c r="C1208" s="1">
        <v>43736</v>
      </c>
      <c r="D1208">
        <v>2411</v>
      </c>
      <c r="E1208" t="s">
        <v>23</v>
      </c>
      <c r="F1208" t="s">
        <v>52</v>
      </c>
      <c r="G1208" t="s">
        <v>32</v>
      </c>
      <c r="H1208">
        <v>64.63</v>
      </c>
      <c r="I1208">
        <v>69.569999999999993</v>
      </c>
      <c r="J1208">
        <v>0.41020000000000001</v>
      </c>
      <c r="K1208">
        <v>0.31569999999999998</v>
      </c>
      <c r="L1208">
        <v>0.27410000000000001</v>
      </c>
      <c r="M1208">
        <v>1.36</v>
      </c>
      <c r="N1208">
        <v>1.1599999999999999</v>
      </c>
      <c r="O1208">
        <v>45</v>
      </c>
      <c r="P1208">
        <v>26.9</v>
      </c>
      <c r="Q1208">
        <v>2</v>
      </c>
      <c r="R1208">
        <v>2</v>
      </c>
      <c r="S1208">
        <v>1.1200000000000001</v>
      </c>
      <c r="T1208">
        <v>1.78</v>
      </c>
      <c r="U1208">
        <v>1.04</v>
      </c>
      <c r="V1208">
        <v>1.06</v>
      </c>
      <c r="W1208">
        <v>2.1</v>
      </c>
      <c r="X1208">
        <v>2.1</v>
      </c>
    </row>
    <row r="1209" spans="1:24" x14ac:dyDescent="0.35">
      <c r="A1209" t="str">
        <f t="shared" si="1"/>
        <v>WolverhamptonWatford</v>
      </c>
      <c r="B1209">
        <v>2019</v>
      </c>
      <c r="C1209" s="1">
        <v>43736</v>
      </c>
      <c r="D1209">
        <v>2411</v>
      </c>
      <c r="E1209" t="s">
        <v>23</v>
      </c>
      <c r="F1209" t="s">
        <v>49</v>
      </c>
      <c r="G1209" t="s">
        <v>35</v>
      </c>
      <c r="H1209">
        <v>71.849999999999994</v>
      </c>
      <c r="I1209">
        <v>65.569999999999993</v>
      </c>
      <c r="J1209">
        <v>0.4945</v>
      </c>
      <c r="K1209">
        <v>0.26029999999999998</v>
      </c>
      <c r="L1209">
        <v>0.2452</v>
      </c>
      <c r="M1209">
        <v>1.71</v>
      </c>
      <c r="N1209">
        <v>1.18</v>
      </c>
      <c r="O1209">
        <v>33.299999999999997</v>
      </c>
      <c r="P1209">
        <v>44.5</v>
      </c>
      <c r="Q1209">
        <v>2</v>
      </c>
      <c r="R1209">
        <v>0</v>
      </c>
      <c r="S1209">
        <v>1.01</v>
      </c>
      <c r="T1209">
        <v>1.1599999999999999</v>
      </c>
      <c r="U1209">
        <v>0.66</v>
      </c>
      <c r="V1209">
        <v>1.44</v>
      </c>
      <c r="W1209">
        <v>2.1</v>
      </c>
      <c r="X1209">
        <v>0</v>
      </c>
    </row>
    <row r="1210" spans="1:24" x14ac:dyDescent="0.35">
      <c r="A1210" t="str">
        <f t="shared" si="1"/>
        <v>EvertonManchester City</v>
      </c>
      <c r="B1210">
        <v>2019</v>
      </c>
      <c r="C1210" s="1">
        <v>43736</v>
      </c>
      <c r="D1210">
        <v>2411</v>
      </c>
      <c r="E1210" t="s">
        <v>23</v>
      </c>
      <c r="F1210" t="s">
        <v>28</v>
      </c>
      <c r="G1210" t="s">
        <v>36</v>
      </c>
      <c r="H1210">
        <v>76.510000000000005</v>
      </c>
      <c r="I1210">
        <v>95.46</v>
      </c>
      <c r="J1210">
        <v>0.12759999999999999</v>
      </c>
      <c r="K1210">
        <v>0.69040000000000001</v>
      </c>
      <c r="L1210">
        <v>0.18210000000000001</v>
      </c>
      <c r="M1210">
        <v>0.9</v>
      </c>
      <c r="N1210">
        <v>2.34</v>
      </c>
      <c r="O1210">
        <v>28.3</v>
      </c>
      <c r="P1210">
        <v>64.400000000000006</v>
      </c>
      <c r="Q1210">
        <v>1</v>
      </c>
      <c r="R1210">
        <v>3</v>
      </c>
      <c r="S1210">
        <v>2.29</v>
      </c>
      <c r="T1210">
        <v>2.98</v>
      </c>
      <c r="U1210">
        <v>1.4</v>
      </c>
      <c r="V1210">
        <v>2.83</v>
      </c>
      <c r="W1210">
        <v>1.05</v>
      </c>
      <c r="X1210">
        <v>2.78</v>
      </c>
    </row>
    <row r="1211" spans="1:24" x14ac:dyDescent="0.35">
      <c r="A1211" t="str">
        <f t="shared" si="1"/>
        <v>Leicester CityNewcastle</v>
      </c>
      <c r="B1211">
        <v>2019</v>
      </c>
      <c r="C1211" s="1">
        <v>43737</v>
      </c>
      <c r="D1211">
        <v>2411</v>
      </c>
      <c r="E1211" t="s">
        <v>23</v>
      </c>
      <c r="F1211" t="s">
        <v>25</v>
      </c>
      <c r="G1211" t="s">
        <v>46</v>
      </c>
      <c r="H1211">
        <v>77.55</v>
      </c>
      <c r="I1211">
        <v>67.87</v>
      </c>
      <c r="J1211">
        <v>0.56189999999999996</v>
      </c>
      <c r="K1211">
        <v>0.1794</v>
      </c>
      <c r="L1211">
        <v>0.2586</v>
      </c>
      <c r="M1211">
        <v>1.58</v>
      </c>
      <c r="N1211">
        <v>0.77</v>
      </c>
      <c r="O1211">
        <v>37.799999999999997</v>
      </c>
      <c r="P1211">
        <v>34.4</v>
      </c>
      <c r="Q1211">
        <v>5</v>
      </c>
      <c r="R1211">
        <v>0</v>
      </c>
      <c r="S1211">
        <v>1.9</v>
      </c>
      <c r="T1211">
        <v>0.05</v>
      </c>
      <c r="U1211">
        <v>1.94</v>
      </c>
      <c r="V1211">
        <v>0.33</v>
      </c>
      <c r="W1211">
        <v>4</v>
      </c>
      <c r="X1211">
        <v>0</v>
      </c>
    </row>
    <row r="1212" spans="1:24" x14ac:dyDescent="0.35">
      <c r="A1212" t="str">
        <f t="shared" si="1"/>
        <v>Manchester UnitedArsenal</v>
      </c>
      <c r="B1212">
        <v>2019</v>
      </c>
      <c r="C1212" s="1">
        <v>43738</v>
      </c>
      <c r="D1212">
        <v>2411</v>
      </c>
      <c r="E1212" t="s">
        <v>23</v>
      </c>
      <c r="F1212" t="s">
        <v>39</v>
      </c>
      <c r="G1212" t="s">
        <v>40</v>
      </c>
      <c r="H1212">
        <v>82.24</v>
      </c>
      <c r="I1212">
        <v>78.55</v>
      </c>
      <c r="J1212">
        <v>0.48570000000000002</v>
      </c>
      <c r="K1212">
        <v>0.28089999999999998</v>
      </c>
      <c r="L1212">
        <v>0.23330000000000001</v>
      </c>
      <c r="M1212">
        <v>1.84</v>
      </c>
      <c r="N1212">
        <v>1.36</v>
      </c>
      <c r="O1212">
        <v>54.2</v>
      </c>
      <c r="P1212">
        <v>60.5</v>
      </c>
      <c r="Q1212">
        <v>1</v>
      </c>
      <c r="R1212">
        <v>1</v>
      </c>
      <c r="S1212">
        <v>1.07</v>
      </c>
      <c r="T1212">
        <v>1.84</v>
      </c>
      <c r="U1212">
        <v>1.18</v>
      </c>
      <c r="V1212">
        <v>1.22</v>
      </c>
      <c r="W1212">
        <v>1.05</v>
      </c>
      <c r="X1212">
        <v>1.05</v>
      </c>
    </row>
    <row r="1213" spans="1:24" x14ac:dyDescent="0.35">
      <c r="A1213" t="str">
        <f t="shared" si="1"/>
        <v>Brighton and Hove AlbionTottenham Hotspur</v>
      </c>
      <c r="B1213">
        <v>2019</v>
      </c>
      <c r="C1213" s="1">
        <v>43743</v>
      </c>
      <c r="D1213">
        <v>2411</v>
      </c>
      <c r="E1213" t="s">
        <v>23</v>
      </c>
      <c r="F1213" t="s">
        <v>45</v>
      </c>
      <c r="G1213" t="s">
        <v>29</v>
      </c>
      <c r="H1213">
        <v>65.790000000000006</v>
      </c>
      <c r="I1213">
        <v>82.63</v>
      </c>
      <c r="J1213">
        <v>0.22939999999999999</v>
      </c>
      <c r="K1213">
        <v>0.52790000000000004</v>
      </c>
      <c r="L1213">
        <v>0.24260000000000001</v>
      </c>
      <c r="M1213">
        <v>1.07</v>
      </c>
      <c r="N1213">
        <v>1.74</v>
      </c>
      <c r="O1213">
        <v>37.9</v>
      </c>
      <c r="P1213">
        <v>61.3</v>
      </c>
      <c r="Q1213">
        <v>3</v>
      </c>
      <c r="R1213">
        <v>0</v>
      </c>
      <c r="S1213">
        <v>2.2000000000000002</v>
      </c>
      <c r="T1213">
        <v>0.47</v>
      </c>
      <c r="U1213">
        <v>2.0299999999999998</v>
      </c>
      <c r="V1213">
        <v>0.77</v>
      </c>
      <c r="W1213">
        <v>3.15</v>
      </c>
      <c r="X1213">
        <v>0</v>
      </c>
    </row>
    <row r="1214" spans="1:24" x14ac:dyDescent="0.35">
      <c r="A1214" t="str">
        <f t="shared" si="1"/>
        <v>LiverpoolLeicester City</v>
      </c>
      <c r="B1214">
        <v>2019</v>
      </c>
      <c r="C1214" s="1">
        <v>43743</v>
      </c>
      <c r="D1214">
        <v>2411</v>
      </c>
      <c r="E1214" t="s">
        <v>23</v>
      </c>
      <c r="F1214" t="s">
        <v>41</v>
      </c>
      <c r="G1214" t="s">
        <v>25</v>
      </c>
      <c r="H1214">
        <v>92.34</v>
      </c>
      <c r="I1214">
        <v>79.2</v>
      </c>
      <c r="J1214">
        <v>0.70150000000000001</v>
      </c>
      <c r="K1214">
        <v>0.1104</v>
      </c>
      <c r="L1214">
        <v>0.18809999999999999</v>
      </c>
      <c r="M1214">
        <v>2.17</v>
      </c>
      <c r="N1214">
        <v>0.73</v>
      </c>
      <c r="O1214">
        <v>76.3</v>
      </c>
      <c r="P1214">
        <v>54.2</v>
      </c>
      <c r="Q1214">
        <v>2</v>
      </c>
      <c r="R1214">
        <v>1</v>
      </c>
      <c r="S1214">
        <v>4.3899999999999997</v>
      </c>
      <c r="T1214">
        <v>0.12</v>
      </c>
      <c r="U1214">
        <v>2.36</v>
      </c>
      <c r="V1214">
        <v>0.46</v>
      </c>
      <c r="W1214">
        <v>2.1</v>
      </c>
      <c r="X1214">
        <v>1.05</v>
      </c>
    </row>
    <row r="1215" spans="1:24" x14ac:dyDescent="0.35">
      <c r="A1215" t="str">
        <f t="shared" si="1"/>
        <v>Norwich CityAston Villa</v>
      </c>
      <c r="B1215">
        <v>2019</v>
      </c>
      <c r="C1215" s="1">
        <v>43743</v>
      </c>
      <c r="D1215">
        <v>2411</v>
      </c>
      <c r="E1215" t="s">
        <v>23</v>
      </c>
      <c r="F1215" t="s">
        <v>50</v>
      </c>
      <c r="G1215" t="s">
        <v>52</v>
      </c>
      <c r="H1215">
        <v>63.19</v>
      </c>
      <c r="I1215">
        <v>64.12</v>
      </c>
      <c r="J1215">
        <v>0.44790000000000002</v>
      </c>
      <c r="K1215">
        <v>0.28710000000000002</v>
      </c>
      <c r="L1215">
        <v>0.26500000000000001</v>
      </c>
      <c r="M1215">
        <v>1.48</v>
      </c>
      <c r="N1215">
        <v>1.1299999999999999</v>
      </c>
      <c r="O1215">
        <v>50.8</v>
      </c>
      <c r="P1215">
        <v>47.8</v>
      </c>
      <c r="Q1215">
        <v>1</v>
      </c>
      <c r="R1215">
        <v>5</v>
      </c>
      <c r="S1215">
        <v>2.41</v>
      </c>
      <c r="T1215">
        <v>3.97</v>
      </c>
      <c r="U1215">
        <v>1.88</v>
      </c>
      <c r="V1215">
        <v>1.44</v>
      </c>
      <c r="W1215">
        <v>1.05</v>
      </c>
      <c r="X1215">
        <v>4.93</v>
      </c>
    </row>
    <row r="1216" spans="1:24" x14ac:dyDescent="0.35">
      <c r="A1216" t="str">
        <f t="shared" si="1"/>
        <v>BurnleyEverton</v>
      </c>
      <c r="B1216">
        <v>2019</v>
      </c>
      <c r="C1216" s="1">
        <v>43743</v>
      </c>
      <c r="D1216">
        <v>2411</v>
      </c>
      <c r="E1216" t="s">
        <v>23</v>
      </c>
      <c r="F1216" t="s">
        <v>32</v>
      </c>
      <c r="G1216" t="s">
        <v>28</v>
      </c>
      <c r="H1216">
        <v>69.81</v>
      </c>
      <c r="I1216">
        <v>76.75</v>
      </c>
      <c r="J1216">
        <v>0.37680000000000002</v>
      </c>
      <c r="K1216">
        <v>0.35199999999999998</v>
      </c>
      <c r="L1216">
        <v>0.2712</v>
      </c>
      <c r="M1216">
        <v>1.32</v>
      </c>
      <c r="N1216">
        <v>1.27</v>
      </c>
      <c r="O1216">
        <v>25.3</v>
      </c>
      <c r="P1216">
        <v>19.3</v>
      </c>
      <c r="Q1216">
        <v>1</v>
      </c>
      <c r="R1216">
        <v>0</v>
      </c>
      <c r="S1216">
        <v>0.55000000000000004</v>
      </c>
      <c r="T1216">
        <v>1.39</v>
      </c>
      <c r="U1216">
        <v>1.17</v>
      </c>
      <c r="V1216">
        <v>0.64</v>
      </c>
      <c r="W1216">
        <v>0.84</v>
      </c>
      <c r="X1216">
        <v>0</v>
      </c>
    </row>
    <row r="1217" spans="1:24" x14ac:dyDescent="0.35">
      <c r="A1217" t="str">
        <f t="shared" si="1"/>
        <v>WatfordSheffield United</v>
      </c>
      <c r="B1217">
        <v>2019</v>
      </c>
      <c r="C1217" s="1">
        <v>43743</v>
      </c>
      <c r="D1217">
        <v>2411</v>
      </c>
      <c r="E1217" t="s">
        <v>23</v>
      </c>
      <c r="F1217" t="s">
        <v>35</v>
      </c>
      <c r="G1217" t="s">
        <v>51</v>
      </c>
      <c r="H1217">
        <v>65.89</v>
      </c>
      <c r="I1217">
        <v>65.489999999999995</v>
      </c>
      <c r="J1217">
        <v>0.48980000000000001</v>
      </c>
      <c r="K1217">
        <v>0.25629999999999997</v>
      </c>
      <c r="L1217">
        <v>0.25380000000000003</v>
      </c>
      <c r="M1217">
        <v>1.62</v>
      </c>
      <c r="N1217">
        <v>1.1000000000000001</v>
      </c>
      <c r="O1217">
        <v>48</v>
      </c>
      <c r="P1217">
        <v>37.5</v>
      </c>
      <c r="Q1217">
        <v>0</v>
      </c>
      <c r="R1217">
        <v>0</v>
      </c>
      <c r="S1217">
        <v>1.59</v>
      </c>
      <c r="T1217">
        <v>0.44</v>
      </c>
      <c r="U1217">
        <v>0.68</v>
      </c>
      <c r="V1217">
        <v>0.71</v>
      </c>
      <c r="W1217">
        <v>0</v>
      </c>
      <c r="X1217">
        <v>0</v>
      </c>
    </row>
    <row r="1218" spans="1:24" x14ac:dyDescent="0.35">
      <c r="A1218" t="str">
        <f t="shared" si="1"/>
        <v>West Ham UnitedCrystal Palace</v>
      </c>
      <c r="B1218">
        <v>2019</v>
      </c>
      <c r="C1218" s="1">
        <v>43743</v>
      </c>
      <c r="D1218">
        <v>2411</v>
      </c>
      <c r="E1218" t="s">
        <v>23</v>
      </c>
      <c r="F1218" t="s">
        <v>43</v>
      </c>
      <c r="G1218" t="s">
        <v>30</v>
      </c>
      <c r="H1218">
        <v>70</v>
      </c>
      <c r="I1218">
        <v>70.37</v>
      </c>
      <c r="J1218">
        <v>0.4541</v>
      </c>
      <c r="K1218">
        <v>0.28899999999999998</v>
      </c>
      <c r="L1218">
        <v>0.25679999999999997</v>
      </c>
      <c r="M1218">
        <v>1.56</v>
      </c>
      <c r="N1218">
        <v>1.19</v>
      </c>
      <c r="O1218">
        <v>19.100000000000001</v>
      </c>
      <c r="P1218">
        <v>20.9</v>
      </c>
      <c r="Q1218">
        <v>1</v>
      </c>
      <c r="R1218">
        <v>2</v>
      </c>
      <c r="S1218">
        <v>1.38</v>
      </c>
      <c r="T1218">
        <v>2.14</v>
      </c>
      <c r="U1218">
        <v>1.02</v>
      </c>
      <c r="V1218">
        <v>1.31</v>
      </c>
      <c r="W1218">
        <v>1.05</v>
      </c>
      <c r="X1218">
        <v>2.1</v>
      </c>
    </row>
    <row r="1219" spans="1:24" x14ac:dyDescent="0.35">
      <c r="A1219" t="str">
        <f t="shared" si="1"/>
        <v>Manchester CityWolverhampton</v>
      </c>
      <c r="B1219">
        <v>2019</v>
      </c>
      <c r="C1219" s="1">
        <v>43744</v>
      </c>
      <c r="D1219">
        <v>2411</v>
      </c>
      <c r="E1219" t="s">
        <v>23</v>
      </c>
      <c r="F1219" t="s">
        <v>36</v>
      </c>
      <c r="G1219" t="s">
        <v>49</v>
      </c>
      <c r="H1219">
        <v>95.75</v>
      </c>
      <c r="I1219">
        <v>71.81</v>
      </c>
      <c r="J1219">
        <v>0.89380000000000004</v>
      </c>
      <c r="K1219">
        <v>2.2599999999999999E-2</v>
      </c>
      <c r="L1219">
        <v>8.3599999999999994E-2</v>
      </c>
      <c r="M1219">
        <v>3.03</v>
      </c>
      <c r="N1219">
        <v>0.35</v>
      </c>
      <c r="O1219">
        <v>58.7</v>
      </c>
      <c r="P1219">
        <v>17</v>
      </c>
      <c r="Q1219">
        <v>0</v>
      </c>
      <c r="R1219">
        <v>2</v>
      </c>
      <c r="S1219">
        <v>1.93</v>
      </c>
      <c r="T1219">
        <v>1.29</v>
      </c>
      <c r="U1219">
        <v>2.54</v>
      </c>
      <c r="V1219">
        <v>0.28000000000000003</v>
      </c>
      <c r="W1219">
        <v>0</v>
      </c>
      <c r="X1219">
        <v>1.58</v>
      </c>
    </row>
    <row r="1220" spans="1:24" x14ac:dyDescent="0.35">
      <c r="A1220" t="str">
        <f t="shared" si="1"/>
        <v>SouthamptonChelsea</v>
      </c>
      <c r="B1220">
        <v>2019</v>
      </c>
      <c r="C1220" s="1">
        <v>43744</v>
      </c>
      <c r="D1220">
        <v>2411</v>
      </c>
      <c r="E1220" t="s">
        <v>23</v>
      </c>
      <c r="F1220" t="s">
        <v>34</v>
      </c>
      <c r="G1220" t="s">
        <v>42</v>
      </c>
      <c r="H1220">
        <v>70.680000000000007</v>
      </c>
      <c r="I1220">
        <v>84.99</v>
      </c>
      <c r="J1220">
        <v>0.24110000000000001</v>
      </c>
      <c r="K1220">
        <v>0.52629999999999999</v>
      </c>
      <c r="L1220">
        <v>0.2326</v>
      </c>
      <c r="M1220">
        <v>1.19</v>
      </c>
      <c r="N1220">
        <v>1.86</v>
      </c>
      <c r="O1220">
        <v>25.1</v>
      </c>
      <c r="P1220">
        <v>65.599999999999994</v>
      </c>
      <c r="Q1220">
        <v>1</v>
      </c>
      <c r="R1220">
        <v>4</v>
      </c>
      <c r="S1220">
        <v>1.29</v>
      </c>
      <c r="T1220">
        <v>1.8</v>
      </c>
      <c r="U1220">
        <v>0.65</v>
      </c>
      <c r="V1220">
        <v>1.01</v>
      </c>
      <c r="W1220">
        <v>1.05</v>
      </c>
      <c r="X1220">
        <v>3.72</v>
      </c>
    </row>
    <row r="1221" spans="1:24" x14ac:dyDescent="0.35">
      <c r="A1221" t="str">
        <f t="shared" si="1"/>
        <v>ArsenalAFC Bournemouth</v>
      </c>
      <c r="B1221">
        <v>2019</v>
      </c>
      <c r="C1221" s="1">
        <v>43744</v>
      </c>
      <c r="D1221">
        <v>2411</v>
      </c>
      <c r="E1221" t="s">
        <v>23</v>
      </c>
      <c r="F1221" t="s">
        <v>40</v>
      </c>
      <c r="G1221" t="s">
        <v>38</v>
      </c>
      <c r="H1221">
        <v>80.349999999999994</v>
      </c>
      <c r="I1221">
        <v>68.459999999999994</v>
      </c>
      <c r="J1221">
        <v>0.64149999999999996</v>
      </c>
      <c r="K1221">
        <v>0.1734</v>
      </c>
      <c r="L1221">
        <v>0.18509999999999999</v>
      </c>
      <c r="M1221">
        <v>2.48</v>
      </c>
      <c r="N1221">
        <v>1.23</v>
      </c>
      <c r="O1221">
        <v>57.9</v>
      </c>
      <c r="P1221">
        <v>21.3</v>
      </c>
      <c r="Q1221">
        <v>1</v>
      </c>
      <c r="R1221">
        <v>0</v>
      </c>
      <c r="S1221">
        <v>1.1499999999999999</v>
      </c>
      <c r="T1221">
        <v>0.67</v>
      </c>
      <c r="U1221">
        <v>1.49</v>
      </c>
      <c r="V1221">
        <v>1.59</v>
      </c>
      <c r="W1221">
        <v>1.05</v>
      </c>
      <c r="X1221">
        <v>0</v>
      </c>
    </row>
    <row r="1222" spans="1:24" x14ac:dyDescent="0.35">
      <c r="A1222" t="str">
        <f>F1232&amp;G1232</f>
        <v>Sheffield UnitedArsenal</v>
      </c>
      <c r="B1222">
        <v>2019</v>
      </c>
      <c r="C1222" s="1">
        <v>43744</v>
      </c>
      <c r="D1222">
        <v>2411</v>
      </c>
      <c r="E1222" t="s">
        <v>23</v>
      </c>
      <c r="F1222" t="s">
        <v>46</v>
      </c>
      <c r="G1222" t="s">
        <v>39</v>
      </c>
      <c r="H1222">
        <v>65.84</v>
      </c>
      <c r="I1222">
        <v>81.27</v>
      </c>
      <c r="J1222">
        <v>0.27350000000000002</v>
      </c>
      <c r="K1222">
        <v>0.4531</v>
      </c>
      <c r="L1222">
        <v>0.27339999999999998</v>
      </c>
      <c r="M1222">
        <v>1.04</v>
      </c>
      <c r="N1222">
        <v>1.42</v>
      </c>
      <c r="O1222">
        <v>44.7</v>
      </c>
      <c r="P1222">
        <v>44</v>
      </c>
      <c r="Q1222">
        <v>1</v>
      </c>
      <c r="R1222">
        <v>0</v>
      </c>
      <c r="S1222">
        <v>0.73</v>
      </c>
      <c r="T1222">
        <v>1.02</v>
      </c>
      <c r="U1222">
        <v>0.9</v>
      </c>
      <c r="V1222">
        <v>1.02</v>
      </c>
      <c r="W1222">
        <v>1.05</v>
      </c>
      <c r="X1222">
        <v>0</v>
      </c>
    </row>
    <row r="1223" spans="1:24" x14ac:dyDescent="0.35">
      <c r="A1223" t="str">
        <f t="shared" si="1"/>
        <v>EvertonWest Ham United</v>
      </c>
      <c r="B1223">
        <v>2019</v>
      </c>
      <c r="C1223" s="1">
        <v>43757</v>
      </c>
      <c r="D1223">
        <v>2411</v>
      </c>
      <c r="E1223" t="s">
        <v>23</v>
      </c>
      <c r="F1223" t="s">
        <v>28</v>
      </c>
      <c r="G1223" t="s">
        <v>43</v>
      </c>
      <c r="H1223">
        <v>76.89</v>
      </c>
      <c r="I1223">
        <v>68.8</v>
      </c>
      <c r="J1223">
        <v>0.53620000000000001</v>
      </c>
      <c r="K1223">
        <v>0.21820000000000001</v>
      </c>
      <c r="L1223">
        <v>0.24560000000000001</v>
      </c>
      <c r="M1223">
        <v>1.71</v>
      </c>
      <c r="N1223">
        <v>1</v>
      </c>
      <c r="O1223">
        <v>22.8</v>
      </c>
      <c r="P1223">
        <v>20.5</v>
      </c>
      <c r="Q1223">
        <v>2</v>
      </c>
      <c r="R1223">
        <v>0</v>
      </c>
      <c r="S1223">
        <v>2.2200000000000002</v>
      </c>
      <c r="T1223">
        <v>0.53</v>
      </c>
      <c r="U1223">
        <v>2.2799999999999998</v>
      </c>
      <c r="V1223">
        <v>0.79</v>
      </c>
      <c r="W1223">
        <v>1.58</v>
      </c>
      <c r="X1223">
        <v>0</v>
      </c>
    </row>
    <row r="1224" spans="1:24" x14ac:dyDescent="0.35">
      <c r="A1224" t="str">
        <f t="shared" si="1"/>
        <v>AFC BournemouthNorwich City</v>
      </c>
      <c r="B1224">
        <v>2019</v>
      </c>
      <c r="C1224" s="1">
        <v>43757</v>
      </c>
      <c r="D1224">
        <v>2411</v>
      </c>
      <c r="E1224" t="s">
        <v>23</v>
      </c>
      <c r="F1224" t="s">
        <v>38</v>
      </c>
      <c r="G1224" t="s">
        <v>50</v>
      </c>
      <c r="H1224">
        <v>69.05</v>
      </c>
      <c r="I1224">
        <v>60.26</v>
      </c>
      <c r="J1224">
        <v>0.54490000000000005</v>
      </c>
      <c r="K1224">
        <v>0.23180000000000001</v>
      </c>
      <c r="L1224">
        <v>0.2233</v>
      </c>
      <c r="M1224">
        <v>1.98</v>
      </c>
      <c r="N1224">
        <v>1.23</v>
      </c>
      <c r="O1224">
        <v>25.5</v>
      </c>
      <c r="P1224">
        <v>45.9</v>
      </c>
      <c r="Q1224">
        <v>0</v>
      </c>
      <c r="R1224">
        <v>0</v>
      </c>
      <c r="S1224">
        <v>0.67</v>
      </c>
      <c r="T1224">
        <v>0.48</v>
      </c>
      <c r="U1224">
        <v>1.1200000000000001</v>
      </c>
      <c r="V1224">
        <v>1.08</v>
      </c>
      <c r="W1224">
        <v>0</v>
      </c>
      <c r="X1224">
        <v>0</v>
      </c>
    </row>
    <row r="1225" spans="1:24" x14ac:dyDescent="0.35">
      <c r="A1225" t="str">
        <f t="shared" si="1"/>
        <v>Aston VillaBrighton and Hove Albion</v>
      </c>
      <c r="B1225">
        <v>2019</v>
      </c>
      <c r="C1225" s="1">
        <v>43757</v>
      </c>
      <c r="D1225">
        <v>2411</v>
      </c>
      <c r="E1225" t="s">
        <v>23</v>
      </c>
      <c r="F1225" t="s">
        <v>52</v>
      </c>
      <c r="G1225" t="s">
        <v>45</v>
      </c>
      <c r="H1225">
        <v>65.69</v>
      </c>
      <c r="I1225">
        <v>68.56</v>
      </c>
      <c r="J1225">
        <v>0.43809999999999999</v>
      </c>
      <c r="K1225">
        <v>0.29210000000000003</v>
      </c>
      <c r="L1225">
        <v>0.26989999999999997</v>
      </c>
      <c r="M1225">
        <v>1.43</v>
      </c>
      <c r="N1225">
        <v>1.1200000000000001</v>
      </c>
      <c r="O1225">
        <v>43.5</v>
      </c>
      <c r="P1225">
        <v>34.4</v>
      </c>
      <c r="Q1225">
        <v>2</v>
      </c>
      <c r="R1225">
        <v>1</v>
      </c>
      <c r="S1225">
        <v>3.14</v>
      </c>
      <c r="T1225">
        <v>1.28</v>
      </c>
      <c r="U1225">
        <v>2.06</v>
      </c>
      <c r="V1225">
        <v>1.87</v>
      </c>
      <c r="W1225">
        <v>1.68</v>
      </c>
      <c r="X1225">
        <v>1.05</v>
      </c>
    </row>
    <row r="1226" spans="1:24" x14ac:dyDescent="0.35">
      <c r="A1226" t="str">
        <f t="shared" si="1"/>
        <v>Tottenham HotspurWatford</v>
      </c>
      <c r="B1226">
        <v>2019</v>
      </c>
      <c r="C1226" s="1">
        <v>43757</v>
      </c>
      <c r="D1226">
        <v>2411</v>
      </c>
      <c r="E1226" t="s">
        <v>23</v>
      </c>
      <c r="F1226" t="s">
        <v>29</v>
      </c>
      <c r="G1226" t="s">
        <v>35</v>
      </c>
      <c r="H1226">
        <v>80.19</v>
      </c>
      <c r="I1226">
        <v>66.180000000000007</v>
      </c>
      <c r="J1226">
        <v>0.63519999999999999</v>
      </c>
      <c r="K1226">
        <v>0.16450000000000001</v>
      </c>
      <c r="L1226">
        <v>0.20030000000000001</v>
      </c>
      <c r="M1226">
        <v>2.2000000000000002</v>
      </c>
      <c r="N1226">
        <v>1.03</v>
      </c>
      <c r="O1226">
        <v>48.6</v>
      </c>
      <c r="P1226">
        <v>41</v>
      </c>
      <c r="Q1226">
        <v>1</v>
      </c>
      <c r="R1226">
        <v>1</v>
      </c>
      <c r="S1226">
        <v>1.03</v>
      </c>
      <c r="T1226">
        <v>0.94</v>
      </c>
      <c r="U1226">
        <v>1.98</v>
      </c>
      <c r="V1226">
        <v>0.69</v>
      </c>
      <c r="W1226">
        <v>1.05</v>
      </c>
      <c r="X1226">
        <v>1.05</v>
      </c>
    </row>
    <row r="1227" spans="1:24" x14ac:dyDescent="0.35">
      <c r="A1227" t="str">
        <f t="shared" si="1"/>
        <v>ChelseaNewcastle</v>
      </c>
      <c r="B1227">
        <v>2019</v>
      </c>
      <c r="C1227" s="1">
        <v>43757</v>
      </c>
      <c r="D1227">
        <v>2411</v>
      </c>
      <c r="E1227" t="s">
        <v>23</v>
      </c>
      <c r="F1227" t="s">
        <v>42</v>
      </c>
      <c r="G1227" t="s">
        <v>46</v>
      </c>
      <c r="H1227">
        <v>85.47</v>
      </c>
      <c r="I1227">
        <v>66.569999999999993</v>
      </c>
      <c r="J1227">
        <v>0.72789999999999999</v>
      </c>
      <c r="K1227">
        <v>9.2799999999999994E-2</v>
      </c>
      <c r="L1227">
        <v>0.17929999999999999</v>
      </c>
      <c r="M1227">
        <v>2.2000000000000002</v>
      </c>
      <c r="N1227">
        <v>0.64</v>
      </c>
      <c r="O1227">
        <v>64.3</v>
      </c>
      <c r="P1227">
        <v>39.9</v>
      </c>
      <c r="Q1227">
        <v>1</v>
      </c>
      <c r="R1227">
        <v>0</v>
      </c>
      <c r="S1227">
        <v>2.84</v>
      </c>
      <c r="T1227">
        <v>0.25</v>
      </c>
      <c r="U1227">
        <v>1.9</v>
      </c>
      <c r="V1227">
        <v>0.51</v>
      </c>
      <c r="W1227">
        <v>1.05</v>
      </c>
      <c r="X1227">
        <v>0</v>
      </c>
    </row>
    <row r="1228" spans="1:24" x14ac:dyDescent="0.35">
      <c r="A1228" t="str">
        <f t="shared" si="1"/>
        <v>Leicester CityBurnley</v>
      </c>
      <c r="B1228">
        <v>2019</v>
      </c>
      <c r="C1228" s="1">
        <v>43757</v>
      </c>
      <c r="D1228">
        <v>2411</v>
      </c>
      <c r="E1228" t="s">
        <v>23</v>
      </c>
      <c r="F1228" t="s">
        <v>25</v>
      </c>
      <c r="G1228" t="s">
        <v>32</v>
      </c>
      <c r="H1228">
        <v>78.33</v>
      </c>
      <c r="I1228">
        <v>70.11</v>
      </c>
      <c r="J1228">
        <v>0.57230000000000003</v>
      </c>
      <c r="K1228">
        <v>0.17910000000000001</v>
      </c>
      <c r="L1228">
        <v>0.2485</v>
      </c>
      <c r="M1228">
        <v>1.67</v>
      </c>
      <c r="N1228">
        <v>0.81</v>
      </c>
      <c r="O1228">
        <v>48</v>
      </c>
      <c r="P1228">
        <v>16.7</v>
      </c>
      <c r="Q1228">
        <v>2</v>
      </c>
      <c r="R1228">
        <v>1</v>
      </c>
      <c r="S1228">
        <v>1.1200000000000001</v>
      </c>
      <c r="T1228">
        <v>2.08</v>
      </c>
      <c r="U1228">
        <v>1.65</v>
      </c>
      <c r="V1228">
        <v>0.95</v>
      </c>
      <c r="W1228">
        <v>2.1</v>
      </c>
      <c r="X1228">
        <v>1.05</v>
      </c>
    </row>
    <row r="1229" spans="1:24" x14ac:dyDescent="0.35">
      <c r="A1229" t="str">
        <f t="shared" si="1"/>
        <v>WolverhamptonSouthampton</v>
      </c>
      <c r="B1229">
        <v>2019</v>
      </c>
      <c r="C1229" s="1">
        <v>43757</v>
      </c>
      <c r="D1229">
        <v>2411</v>
      </c>
      <c r="E1229" t="s">
        <v>23</v>
      </c>
      <c r="F1229" t="s">
        <v>49</v>
      </c>
      <c r="G1229" t="s">
        <v>34</v>
      </c>
      <c r="H1229">
        <v>73.430000000000007</v>
      </c>
      <c r="I1229">
        <v>70.040000000000006</v>
      </c>
      <c r="J1229">
        <v>0.46789999999999998</v>
      </c>
      <c r="K1229">
        <v>0.26300000000000001</v>
      </c>
      <c r="L1229">
        <v>0.26910000000000001</v>
      </c>
      <c r="M1229">
        <v>1.47</v>
      </c>
      <c r="N1229">
        <v>1.03</v>
      </c>
      <c r="O1229">
        <v>19.399999999999999</v>
      </c>
      <c r="P1229">
        <v>28.5</v>
      </c>
      <c r="Q1229">
        <v>1</v>
      </c>
      <c r="R1229">
        <v>1</v>
      </c>
      <c r="S1229">
        <v>0.91</v>
      </c>
      <c r="T1229">
        <v>1.44</v>
      </c>
      <c r="U1229">
        <v>0.56999999999999995</v>
      </c>
      <c r="V1229">
        <v>1.3</v>
      </c>
      <c r="W1229">
        <v>1.05</v>
      </c>
      <c r="X1229">
        <v>1.05</v>
      </c>
    </row>
    <row r="1230" spans="1:24" x14ac:dyDescent="0.35">
      <c r="A1230" t="str">
        <f t="shared" si="1"/>
        <v>Crystal PalaceManchester City</v>
      </c>
      <c r="B1230">
        <v>2019</v>
      </c>
      <c r="C1230" s="1">
        <v>43757</v>
      </c>
      <c r="D1230">
        <v>2411</v>
      </c>
      <c r="E1230" t="s">
        <v>23</v>
      </c>
      <c r="F1230" t="s">
        <v>30</v>
      </c>
      <c r="G1230" t="s">
        <v>36</v>
      </c>
      <c r="H1230">
        <v>71.430000000000007</v>
      </c>
      <c r="I1230">
        <v>95.22</v>
      </c>
      <c r="J1230">
        <v>0.10489999999999999</v>
      </c>
      <c r="K1230">
        <v>0.73760000000000003</v>
      </c>
      <c r="L1230">
        <v>0.15759999999999999</v>
      </c>
      <c r="M1230">
        <v>0.9</v>
      </c>
      <c r="N1230">
        <v>2.62</v>
      </c>
      <c r="O1230">
        <v>25.6</v>
      </c>
      <c r="P1230">
        <v>63.3</v>
      </c>
      <c r="Q1230">
        <v>0</v>
      </c>
      <c r="R1230">
        <v>2</v>
      </c>
      <c r="S1230">
        <v>0.88</v>
      </c>
      <c r="T1230">
        <v>3.85</v>
      </c>
      <c r="U1230">
        <v>1.05</v>
      </c>
      <c r="V1230">
        <v>3.96</v>
      </c>
      <c r="W1230">
        <v>0</v>
      </c>
      <c r="X1230">
        <v>2.1</v>
      </c>
    </row>
    <row r="1231" spans="1:24" x14ac:dyDescent="0.35">
      <c r="A1231" t="str">
        <f t="shared" si="1"/>
        <v>Manchester UnitedLiverpool</v>
      </c>
      <c r="B1231">
        <v>2019</v>
      </c>
      <c r="C1231" s="1">
        <v>43758</v>
      </c>
      <c r="D1231">
        <v>2411</v>
      </c>
      <c r="E1231" t="s">
        <v>23</v>
      </c>
      <c r="F1231" t="s">
        <v>39</v>
      </c>
      <c r="G1231" t="s">
        <v>41</v>
      </c>
      <c r="H1231">
        <v>80.989999999999995</v>
      </c>
      <c r="I1231">
        <v>92.78</v>
      </c>
      <c r="J1231">
        <v>0.22270000000000001</v>
      </c>
      <c r="K1231">
        <v>0.5423</v>
      </c>
      <c r="L1231">
        <v>0.23499999999999999</v>
      </c>
      <c r="M1231">
        <v>1.0900000000000001</v>
      </c>
      <c r="N1231">
        <v>1.83</v>
      </c>
      <c r="O1231">
        <v>42.7</v>
      </c>
      <c r="P1231">
        <v>80.599999999999994</v>
      </c>
      <c r="Q1231">
        <v>1</v>
      </c>
      <c r="R1231">
        <v>1</v>
      </c>
      <c r="S1231">
        <v>0.84</v>
      </c>
      <c r="T1231">
        <v>1.21</v>
      </c>
      <c r="U1231">
        <v>0.4</v>
      </c>
      <c r="V1231">
        <v>1.43</v>
      </c>
      <c r="W1231">
        <v>1.05</v>
      </c>
      <c r="X1231">
        <v>1.05</v>
      </c>
    </row>
    <row r="1232" spans="1:24" x14ac:dyDescent="0.35">
      <c r="A1232" t="str">
        <f>F1232&amp;G1232</f>
        <v>Sheffield UnitedArsenal</v>
      </c>
      <c r="B1232">
        <v>2019</v>
      </c>
      <c r="C1232" s="1">
        <v>43759</v>
      </c>
      <c r="D1232">
        <v>2411</v>
      </c>
      <c r="E1232" t="s">
        <v>23</v>
      </c>
      <c r="F1232" t="s">
        <v>51</v>
      </c>
      <c r="G1232" t="s">
        <v>40</v>
      </c>
      <c r="H1232">
        <v>65.95</v>
      </c>
      <c r="I1232">
        <v>80.25</v>
      </c>
      <c r="J1232">
        <v>0.2465</v>
      </c>
      <c r="K1232">
        <v>0.51100000000000001</v>
      </c>
      <c r="L1232">
        <v>0.24260000000000001</v>
      </c>
      <c r="M1232">
        <v>1.1399999999999999</v>
      </c>
      <c r="N1232">
        <v>1.74</v>
      </c>
      <c r="O1232">
        <v>37.6</v>
      </c>
      <c r="P1232">
        <v>63.3</v>
      </c>
      <c r="Q1232">
        <v>1</v>
      </c>
      <c r="R1232">
        <v>0</v>
      </c>
      <c r="S1232">
        <v>0.81</v>
      </c>
      <c r="T1232">
        <v>1.1100000000000001</v>
      </c>
      <c r="U1232">
        <v>1.18</v>
      </c>
      <c r="V1232">
        <v>2.4500000000000002</v>
      </c>
      <c r="W1232">
        <v>1.05</v>
      </c>
      <c r="X1232">
        <v>0</v>
      </c>
    </row>
    <row r="1233" spans="1:24" x14ac:dyDescent="0.35">
      <c r="A1233" t="str">
        <f t="shared" si="1"/>
        <v>SouthamptonLeicester City</v>
      </c>
      <c r="B1233">
        <v>2019</v>
      </c>
      <c r="C1233" s="1">
        <v>43763</v>
      </c>
      <c r="D1233">
        <v>2411</v>
      </c>
      <c r="E1233" t="s">
        <v>23</v>
      </c>
      <c r="F1233" t="s">
        <v>34</v>
      </c>
      <c r="G1233" t="s">
        <v>25</v>
      </c>
      <c r="H1233">
        <v>71.099999999999994</v>
      </c>
      <c r="I1233">
        <v>77.709999999999994</v>
      </c>
      <c r="J1233">
        <v>0.36</v>
      </c>
      <c r="K1233">
        <v>0.3679</v>
      </c>
      <c r="L1233">
        <v>0.27210000000000001</v>
      </c>
      <c r="M1233">
        <v>1.28</v>
      </c>
      <c r="N1233">
        <v>1.3</v>
      </c>
      <c r="O1233">
        <v>29.6</v>
      </c>
      <c r="P1233">
        <v>48.4</v>
      </c>
      <c r="Q1233">
        <v>0</v>
      </c>
      <c r="R1233">
        <v>9</v>
      </c>
      <c r="S1233">
        <v>0.37</v>
      </c>
      <c r="T1233">
        <v>4.38</v>
      </c>
      <c r="U1233">
        <v>0.46</v>
      </c>
      <c r="V1233">
        <v>2.78</v>
      </c>
      <c r="W1233">
        <v>0</v>
      </c>
      <c r="X1233">
        <v>7.05</v>
      </c>
    </row>
    <row r="1234" spans="1:24" x14ac:dyDescent="0.35">
      <c r="A1234" t="str">
        <f t="shared" si="1"/>
        <v>Manchester CityAston Villa</v>
      </c>
      <c r="B1234">
        <v>2019</v>
      </c>
      <c r="C1234" s="1">
        <v>43764</v>
      </c>
      <c r="D1234">
        <v>2411</v>
      </c>
      <c r="E1234" t="s">
        <v>23</v>
      </c>
      <c r="F1234" t="s">
        <v>36</v>
      </c>
      <c r="G1234" t="s">
        <v>52</v>
      </c>
      <c r="H1234">
        <v>95.41</v>
      </c>
      <c r="I1234">
        <v>66.150000000000006</v>
      </c>
      <c r="J1234">
        <v>0.91639999999999999</v>
      </c>
      <c r="K1234">
        <v>1.9400000000000001E-2</v>
      </c>
      <c r="L1234">
        <v>6.4199999999999993E-2</v>
      </c>
      <c r="M1234">
        <v>3.49</v>
      </c>
      <c r="N1234">
        <v>0.42</v>
      </c>
      <c r="O1234">
        <v>69</v>
      </c>
      <c r="P1234">
        <v>27.7</v>
      </c>
      <c r="Q1234">
        <v>3</v>
      </c>
      <c r="R1234">
        <v>0</v>
      </c>
      <c r="S1234">
        <v>3.18</v>
      </c>
      <c r="T1234">
        <v>1.29</v>
      </c>
      <c r="U1234">
        <v>4</v>
      </c>
      <c r="V1234">
        <v>0.54</v>
      </c>
      <c r="W1234">
        <v>3.15</v>
      </c>
      <c r="X1234">
        <v>0</v>
      </c>
    </row>
    <row r="1235" spans="1:24" x14ac:dyDescent="0.35">
      <c r="A1235" t="str">
        <f t="shared" si="1"/>
        <v>Brighton and Hove AlbionEverton</v>
      </c>
      <c r="B1235">
        <v>2019</v>
      </c>
      <c r="C1235" s="1">
        <v>43764</v>
      </c>
      <c r="D1235">
        <v>2411</v>
      </c>
      <c r="E1235" t="s">
        <v>23</v>
      </c>
      <c r="F1235" t="s">
        <v>45</v>
      </c>
      <c r="G1235" t="s">
        <v>28</v>
      </c>
      <c r="H1235">
        <v>67.569999999999993</v>
      </c>
      <c r="I1235">
        <v>77.8</v>
      </c>
      <c r="J1235">
        <v>0.3508</v>
      </c>
      <c r="K1235">
        <v>0.36940000000000001</v>
      </c>
      <c r="L1235">
        <v>0.27979999999999999</v>
      </c>
      <c r="M1235">
        <v>1.21</v>
      </c>
      <c r="N1235">
        <v>1.25</v>
      </c>
      <c r="O1235">
        <v>38.799999999999997</v>
      </c>
      <c r="P1235">
        <v>20.100000000000001</v>
      </c>
      <c r="Q1235">
        <v>3</v>
      </c>
      <c r="R1235">
        <v>2</v>
      </c>
      <c r="S1235">
        <v>1.17</v>
      </c>
      <c r="T1235">
        <v>0.95</v>
      </c>
      <c r="U1235">
        <v>0.55000000000000004</v>
      </c>
      <c r="V1235">
        <v>0.93</v>
      </c>
      <c r="W1235">
        <v>3.15</v>
      </c>
      <c r="X1235">
        <v>2.1</v>
      </c>
    </row>
    <row r="1236" spans="1:24" x14ac:dyDescent="0.35">
      <c r="A1236" t="str">
        <f t="shared" si="1"/>
        <v>WatfordAFC Bournemouth</v>
      </c>
      <c r="B1236">
        <v>2019</v>
      </c>
      <c r="C1236" s="1">
        <v>43764</v>
      </c>
      <c r="D1236">
        <v>2411</v>
      </c>
      <c r="E1236" t="s">
        <v>23</v>
      </c>
      <c r="F1236" t="s">
        <v>35</v>
      </c>
      <c r="G1236" t="s">
        <v>38</v>
      </c>
      <c r="H1236">
        <v>66.88</v>
      </c>
      <c r="I1236">
        <v>68.89</v>
      </c>
      <c r="J1236">
        <v>0.44800000000000001</v>
      </c>
      <c r="K1236">
        <v>0.3095</v>
      </c>
      <c r="L1236">
        <v>0.24249999999999999</v>
      </c>
      <c r="M1236">
        <v>1.7</v>
      </c>
      <c r="N1236">
        <v>1.38</v>
      </c>
      <c r="O1236">
        <v>46.2</v>
      </c>
      <c r="P1236">
        <v>23.7</v>
      </c>
      <c r="Q1236">
        <v>0</v>
      </c>
      <c r="R1236">
        <v>0</v>
      </c>
      <c r="S1236">
        <v>0.71</v>
      </c>
      <c r="T1236">
        <v>1.08</v>
      </c>
      <c r="U1236">
        <v>0.82</v>
      </c>
      <c r="V1236">
        <v>0.77</v>
      </c>
      <c r="W1236">
        <v>0</v>
      </c>
      <c r="X1236">
        <v>0</v>
      </c>
    </row>
    <row r="1237" spans="1:24" x14ac:dyDescent="0.35">
      <c r="A1237" t="str">
        <f t="shared" si="1"/>
        <v>West Ham UnitedSheffield United</v>
      </c>
      <c r="B1237">
        <v>2019</v>
      </c>
      <c r="C1237" s="1">
        <v>43764</v>
      </c>
      <c r="D1237">
        <v>2411</v>
      </c>
      <c r="E1237" t="s">
        <v>23</v>
      </c>
      <c r="F1237" t="s">
        <v>43</v>
      </c>
      <c r="G1237" t="s">
        <v>51</v>
      </c>
      <c r="H1237">
        <v>67.87</v>
      </c>
      <c r="I1237">
        <v>66.31</v>
      </c>
      <c r="J1237">
        <v>0.48520000000000002</v>
      </c>
      <c r="K1237">
        <v>0.24709999999999999</v>
      </c>
      <c r="L1237">
        <v>0.26769999999999999</v>
      </c>
      <c r="M1237">
        <v>1.49</v>
      </c>
      <c r="N1237">
        <v>0.98</v>
      </c>
      <c r="O1237">
        <v>29.4</v>
      </c>
      <c r="P1237">
        <v>31.7</v>
      </c>
      <c r="Q1237">
        <v>1</v>
      </c>
      <c r="R1237">
        <v>1</v>
      </c>
      <c r="S1237">
        <v>2.93</v>
      </c>
      <c r="T1237">
        <v>1.1100000000000001</v>
      </c>
      <c r="U1237">
        <v>1.42</v>
      </c>
      <c r="V1237">
        <v>1.07</v>
      </c>
      <c r="W1237">
        <v>1.05</v>
      </c>
      <c r="X1237">
        <v>1.05</v>
      </c>
    </row>
    <row r="1238" spans="1:24" x14ac:dyDescent="0.35">
      <c r="A1238" t="str">
        <f t="shared" si="1"/>
        <v>BurnleyChelsea</v>
      </c>
      <c r="B1238">
        <v>2019</v>
      </c>
      <c r="C1238" s="1">
        <v>43764</v>
      </c>
      <c r="D1238">
        <v>2411</v>
      </c>
      <c r="E1238" t="s">
        <v>23</v>
      </c>
      <c r="F1238" t="s">
        <v>32</v>
      </c>
      <c r="G1238" t="s">
        <v>42</v>
      </c>
      <c r="H1238">
        <v>70.569999999999993</v>
      </c>
      <c r="I1238">
        <v>86.37</v>
      </c>
      <c r="J1238">
        <v>0.22140000000000001</v>
      </c>
      <c r="K1238">
        <v>0.54359999999999997</v>
      </c>
      <c r="L1238">
        <v>0.23499999999999999</v>
      </c>
      <c r="M1238">
        <v>1.08</v>
      </c>
      <c r="N1238">
        <v>1.83</v>
      </c>
      <c r="O1238">
        <v>20.3</v>
      </c>
      <c r="P1238">
        <v>61.8</v>
      </c>
      <c r="Q1238">
        <v>2</v>
      </c>
      <c r="R1238">
        <v>4</v>
      </c>
      <c r="S1238">
        <v>2.19</v>
      </c>
      <c r="T1238">
        <v>0.94</v>
      </c>
      <c r="U1238">
        <v>1.24</v>
      </c>
      <c r="V1238">
        <v>1</v>
      </c>
      <c r="W1238">
        <v>2.1</v>
      </c>
      <c r="X1238">
        <v>4.2</v>
      </c>
    </row>
    <row r="1239" spans="1:24" x14ac:dyDescent="0.35">
      <c r="A1239" t="str">
        <f t="shared" si="1"/>
        <v>NewcastleWolverhampton</v>
      </c>
      <c r="B1239">
        <v>2019</v>
      </c>
      <c r="C1239" s="1">
        <v>43765</v>
      </c>
      <c r="D1239">
        <v>2411</v>
      </c>
      <c r="E1239" t="s">
        <v>23</v>
      </c>
      <c r="F1239" t="s">
        <v>46</v>
      </c>
      <c r="G1239" t="s">
        <v>49</v>
      </c>
      <c r="H1239">
        <v>66.290000000000006</v>
      </c>
      <c r="I1239">
        <v>72.260000000000005</v>
      </c>
      <c r="J1239">
        <v>0.39579999999999999</v>
      </c>
      <c r="K1239">
        <v>0.30809999999999998</v>
      </c>
      <c r="L1239">
        <v>0.29609999999999997</v>
      </c>
      <c r="M1239">
        <v>1.19</v>
      </c>
      <c r="N1239">
        <v>1.02</v>
      </c>
      <c r="O1239">
        <v>43.1</v>
      </c>
      <c r="P1239">
        <v>22.2</v>
      </c>
      <c r="Q1239">
        <v>1</v>
      </c>
      <c r="R1239">
        <v>1</v>
      </c>
      <c r="S1239">
        <v>0.77</v>
      </c>
      <c r="T1239">
        <v>1.92</v>
      </c>
      <c r="U1239">
        <v>1.31</v>
      </c>
      <c r="V1239">
        <v>1.73</v>
      </c>
      <c r="W1239">
        <v>1.05</v>
      </c>
      <c r="X1239">
        <v>1.05</v>
      </c>
    </row>
    <row r="1240" spans="1:24" x14ac:dyDescent="0.35">
      <c r="A1240" t="str">
        <f t="shared" si="1"/>
        <v>Norwich CityManchester United</v>
      </c>
      <c r="B1240">
        <v>2019</v>
      </c>
      <c r="C1240" s="1">
        <v>43765</v>
      </c>
      <c r="D1240">
        <v>2411</v>
      </c>
      <c r="E1240" t="s">
        <v>23</v>
      </c>
      <c r="F1240" t="s">
        <v>50</v>
      </c>
      <c r="G1240" t="s">
        <v>39</v>
      </c>
      <c r="H1240">
        <v>61.29</v>
      </c>
      <c r="I1240">
        <v>80.61</v>
      </c>
      <c r="J1240">
        <v>0.26860000000000001</v>
      </c>
      <c r="K1240">
        <v>0.46860000000000002</v>
      </c>
      <c r="L1240">
        <v>0.26290000000000002</v>
      </c>
      <c r="M1240">
        <v>1.0900000000000001</v>
      </c>
      <c r="N1240">
        <v>1.52</v>
      </c>
      <c r="O1240">
        <v>44.5</v>
      </c>
      <c r="P1240">
        <v>30.1</v>
      </c>
      <c r="Q1240">
        <v>1</v>
      </c>
      <c r="R1240">
        <v>3</v>
      </c>
      <c r="S1240">
        <v>1.04</v>
      </c>
      <c r="T1240">
        <v>4.32</v>
      </c>
      <c r="U1240">
        <v>0.86</v>
      </c>
      <c r="V1240">
        <v>1.21</v>
      </c>
      <c r="W1240">
        <v>1.05</v>
      </c>
      <c r="X1240">
        <v>3.1</v>
      </c>
    </row>
    <row r="1241" spans="1:24" x14ac:dyDescent="0.35">
      <c r="A1241" t="str">
        <f t="shared" si="1"/>
        <v>LiverpoolTottenham Hotspur</v>
      </c>
      <c r="B1241">
        <v>2019</v>
      </c>
      <c r="C1241" s="1">
        <v>43765</v>
      </c>
      <c r="D1241">
        <v>2411</v>
      </c>
      <c r="E1241" t="s">
        <v>23</v>
      </c>
      <c r="F1241" t="s">
        <v>41</v>
      </c>
      <c r="G1241" t="s">
        <v>29</v>
      </c>
      <c r="H1241">
        <v>92.97</v>
      </c>
      <c r="I1241">
        <v>81.430000000000007</v>
      </c>
      <c r="J1241">
        <v>0.68369999999999997</v>
      </c>
      <c r="K1241">
        <v>0.13589999999999999</v>
      </c>
      <c r="L1241">
        <v>0.18029999999999999</v>
      </c>
      <c r="M1241">
        <v>2.4</v>
      </c>
      <c r="N1241">
        <v>0.98</v>
      </c>
      <c r="O1241">
        <v>80.2</v>
      </c>
      <c r="P1241">
        <v>56.7</v>
      </c>
      <c r="Q1241">
        <v>2</v>
      </c>
      <c r="R1241">
        <v>1</v>
      </c>
      <c r="S1241">
        <v>2.81</v>
      </c>
      <c r="T1241">
        <v>1.5</v>
      </c>
      <c r="U1241">
        <v>2.92</v>
      </c>
      <c r="V1241">
        <v>1.1200000000000001</v>
      </c>
      <c r="W1241">
        <v>2.1</v>
      </c>
      <c r="X1241">
        <v>1.05</v>
      </c>
    </row>
    <row r="1242" spans="1:24" x14ac:dyDescent="0.35">
      <c r="A1242" t="str">
        <f t="shared" si="1"/>
        <v>ArsenalCrystal Palace</v>
      </c>
      <c r="B1242">
        <v>2019</v>
      </c>
      <c r="C1242" s="1">
        <v>43765</v>
      </c>
      <c r="D1242">
        <v>2411</v>
      </c>
      <c r="E1242" t="s">
        <v>23</v>
      </c>
      <c r="F1242" t="s">
        <v>40</v>
      </c>
      <c r="G1242" t="s">
        <v>30</v>
      </c>
      <c r="H1242">
        <v>79.59</v>
      </c>
      <c r="I1242">
        <v>70.489999999999995</v>
      </c>
      <c r="J1242">
        <v>0.61860000000000004</v>
      </c>
      <c r="K1242">
        <v>0.1726</v>
      </c>
      <c r="L1242">
        <v>0.20880000000000001</v>
      </c>
      <c r="M1242">
        <v>2.1</v>
      </c>
      <c r="N1242">
        <v>1.01</v>
      </c>
      <c r="O1242">
        <v>52.1</v>
      </c>
      <c r="P1242">
        <v>14.7</v>
      </c>
      <c r="Q1242">
        <v>2</v>
      </c>
      <c r="R1242">
        <v>2</v>
      </c>
      <c r="S1242">
        <v>1.45</v>
      </c>
      <c r="T1242">
        <v>1.96</v>
      </c>
      <c r="U1242">
        <v>1.57</v>
      </c>
      <c r="V1242">
        <v>0.8</v>
      </c>
      <c r="W1242">
        <v>2.1</v>
      </c>
      <c r="X1242">
        <v>2.1</v>
      </c>
    </row>
    <row r="1243" spans="1:24" x14ac:dyDescent="0.35">
      <c r="A1243" t="str">
        <f t="shared" si="1"/>
        <v>AFC BournemouthManchester United</v>
      </c>
      <c r="B1243">
        <v>2019</v>
      </c>
      <c r="C1243" s="1">
        <v>43771</v>
      </c>
      <c r="D1243">
        <v>2411</v>
      </c>
      <c r="E1243" t="s">
        <v>23</v>
      </c>
      <c r="F1243" t="s">
        <v>38</v>
      </c>
      <c r="G1243" t="s">
        <v>39</v>
      </c>
      <c r="H1243">
        <v>69.67</v>
      </c>
      <c r="I1243">
        <v>81.48</v>
      </c>
      <c r="J1243">
        <v>0.311</v>
      </c>
      <c r="K1243">
        <v>0.42570000000000002</v>
      </c>
      <c r="L1243">
        <v>0.26329999999999998</v>
      </c>
      <c r="M1243">
        <v>1.22</v>
      </c>
      <c r="N1243">
        <v>1.47</v>
      </c>
      <c r="O1243">
        <v>20.3</v>
      </c>
      <c r="P1243">
        <v>37.200000000000003</v>
      </c>
      <c r="Q1243">
        <v>1</v>
      </c>
      <c r="R1243">
        <v>0</v>
      </c>
      <c r="S1243">
        <v>2.09</v>
      </c>
      <c r="T1243">
        <v>0.81</v>
      </c>
      <c r="U1243">
        <v>1.18</v>
      </c>
      <c r="V1243">
        <v>1.55</v>
      </c>
      <c r="W1243">
        <v>1.05</v>
      </c>
      <c r="X1243">
        <v>0</v>
      </c>
    </row>
    <row r="1244" spans="1:24" x14ac:dyDescent="0.35">
      <c r="A1244" t="str">
        <f t="shared" si="1"/>
        <v>Sheffield UnitedBurnley</v>
      </c>
      <c r="B1244">
        <v>2019</v>
      </c>
      <c r="C1244" s="1">
        <v>43771</v>
      </c>
      <c r="D1244">
        <v>2411</v>
      </c>
      <c r="E1244" t="s">
        <v>23</v>
      </c>
      <c r="F1244" t="s">
        <v>51</v>
      </c>
      <c r="G1244" t="s">
        <v>32</v>
      </c>
      <c r="H1244">
        <v>65.989999999999995</v>
      </c>
      <c r="I1244">
        <v>70.989999999999995</v>
      </c>
      <c r="J1244">
        <v>0.38769999999999999</v>
      </c>
      <c r="K1244">
        <v>0.3281</v>
      </c>
      <c r="L1244">
        <v>0.28420000000000001</v>
      </c>
      <c r="M1244">
        <v>1.25</v>
      </c>
      <c r="N1244">
        <v>1.1299999999999999</v>
      </c>
      <c r="O1244">
        <v>32.799999999999997</v>
      </c>
      <c r="P1244">
        <v>22.1</v>
      </c>
      <c r="Q1244">
        <v>3</v>
      </c>
      <c r="R1244">
        <v>0</v>
      </c>
      <c r="S1244">
        <v>2.75</v>
      </c>
      <c r="T1244">
        <v>0.77</v>
      </c>
      <c r="U1244">
        <v>1.53</v>
      </c>
      <c r="V1244">
        <v>0.81</v>
      </c>
      <c r="W1244">
        <v>3.15</v>
      </c>
      <c r="X1244">
        <v>0</v>
      </c>
    </row>
    <row r="1245" spans="1:24" x14ac:dyDescent="0.35">
      <c r="A1245" t="str">
        <f t="shared" si="1"/>
        <v>ArsenalWolverhampton</v>
      </c>
      <c r="B1245">
        <v>2019</v>
      </c>
      <c r="C1245" s="1">
        <v>43771</v>
      </c>
      <c r="D1245">
        <v>2411</v>
      </c>
      <c r="E1245" t="s">
        <v>23</v>
      </c>
      <c r="F1245" t="s">
        <v>40</v>
      </c>
      <c r="G1245" t="s">
        <v>49</v>
      </c>
      <c r="H1245">
        <v>78.8</v>
      </c>
      <c r="I1245">
        <v>72.87</v>
      </c>
      <c r="J1245">
        <v>0.5827</v>
      </c>
      <c r="K1245">
        <v>0.1923</v>
      </c>
      <c r="L1245">
        <v>0.22500000000000001</v>
      </c>
      <c r="M1245">
        <v>1.92</v>
      </c>
      <c r="N1245">
        <v>1.01</v>
      </c>
      <c r="O1245">
        <v>50.4</v>
      </c>
      <c r="P1245">
        <v>17.5</v>
      </c>
      <c r="Q1245">
        <v>1</v>
      </c>
      <c r="R1245">
        <v>1</v>
      </c>
      <c r="S1245">
        <v>1.07</v>
      </c>
      <c r="T1245">
        <v>1.54</v>
      </c>
      <c r="U1245">
        <v>1.5</v>
      </c>
      <c r="V1245">
        <v>1.98</v>
      </c>
      <c r="W1245">
        <v>1.05</v>
      </c>
      <c r="X1245">
        <v>1.05</v>
      </c>
    </row>
    <row r="1246" spans="1:24" x14ac:dyDescent="0.35">
      <c r="A1246" t="str">
        <f t="shared" si="1"/>
        <v>Aston VillaLiverpool</v>
      </c>
      <c r="B1246">
        <v>2019</v>
      </c>
      <c r="C1246" s="1">
        <v>43771</v>
      </c>
      <c r="D1246">
        <v>2411</v>
      </c>
      <c r="E1246" t="s">
        <v>23</v>
      </c>
      <c r="F1246" t="s">
        <v>52</v>
      </c>
      <c r="G1246" t="s">
        <v>41</v>
      </c>
      <c r="H1246">
        <v>66.069999999999993</v>
      </c>
      <c r="I1246">
        <v>92.93</v>
      </c>
      <c r="J1246">
        <v>0.1075</v>
      </c>
      <c r="K1246">
        <v>0.73170000000000002</v>
      </c>
      <c r="L1246">
        <v>0.1608</v>
      </c>
      <c r="M1246">
        <v>0.9</v>
      </c>
      <c r="N1246">
        <v>2.58</v>
      </c>
      <c r="O1246">
        <v>32.5</v>
      </c>
      <c r="P1246">
        <v>81.900000000000006</v>
      </c>
      <c r="Q1246">
        <v>1</v>
      </c>
      <c r="R1246">
        <v>2</v>
      </c>
      <c r="S1246">
        <v>0.88</v>
      </c>
      <c r="T1246">
        <v>3.02</v>
      </c>
      <c r="U1246">
        <v>0.66</v>
      </c>
      <c r="V1246">
        <v>2.71</v>
      </c>
      <c r="W1246">
        <v>1.05</v>
      </c>
      <c r="X1246">
        <v>2.1</v>
      </c>
    </row>
    <row r="1247" spans="1:24" x14ac:dyDescent="0.35">
      <c r="A1247" t="str">
        <f t="shared" si="1"/>
        <v>Manchester CitySouthampton</v>
      </c>
      <c r="B1247">
        <v>2019</v>
      </c>
      <c r="C1247" s="1">
        <v>43771</v>
      </c>
      <c r="D1247">
        <v>2411</v>
      </c>
      <c r="E1247" t="s">
        <v>23</v>
      </c>
      <c r="F1247" t="s">
        <v>36</v>
      </c>
      <c r="G1247" t="s">
        <v>34</v>
      </c>
      <c r="H1247">
        <v>95.42</v>
      </c>
      <c r="I1247">
        <v>65.92</v>
      </c>
      <c r="J1247">
        <v>0.91800000000000004</v>
      </c>
      <c r="K1247">
        <v>1.8800000000000001E-2</v>
      </c>
      <c r="L1247">
        <v>6.3299999999999995E-2</v>
      </c>
      <c r="M1247">
        <v>3.49</v>
      </c>
      <c r="N1247">
        <v>0.41</v>
      </c>
      <c r="O1247">
        <v>79.599999999999994</v>
      </c>
      <c r="P1247">
        <v>38.5</v>
      </c>
      <c r="Q1247">
        <v>2</v>
      </c>
      <c r="R1247">
        <v>1</v>
      </c>
      <c r="S1247">
        <v>3.78</v>
      </c>
      <c r="T1247">
        <v>0.69</v>
      </c>
      <c r="U1247">
        <v>6.08</v>
      </c>
      <c r="V1247">
        <v>0.16</v>
      </c>
      <c r="W1247">
        <v>2.1</v>
      </c>
      <c r="X1247">
        <v>1.05</v>
      </c>
    </row>
    <row r="1248" spans="1:24" x14ac:dyDescent="0.35">
      <c r="A1248" t="str">
        <f t="shared" si="1"/>
        <v>West Ham UnitedNewcastle</v>
      </c>
      <c r="B1248">
        <v>2019</v>
      </c>
      <c r="C1248" s="1">
        <v>43771</v>
      </c>
      <c r="D1248">
        <v>2411</v>
      </c>
      <c r="E1248" t="s">
        <v>23</v>
      </c>
      <c r="F1248" t="s">
        <v>43</v>
      </c>
      <c r="G1248" t="s">
        <v>46</v>
      </c>
      <c r="H1248">
        <v>68</v>
      </c>
      <c r="I1248">
        <v>65.45</v>
      </c>
      <c r="J1248">
        <v>0.48749999999999999</v>
      </c>
      <c r="K1248">
        <v>0.24990000000000001</v>
      </c>
      <c r="L1248">
        <v>0.2626</v>
      </c>
      <c r="M1248">
        <v>1.54</v>
      </c>
      <c r="N1248">
        <v>1.02</v>
      </c>
      <c r="O1248">
        <v>32.200000000000003</v>
      </c>
      <c r="P1248">
        <v>42.6</v>
      </c>
      <c r="Q1248">
        <v>2</v>
      </c>
      <c r="R1248">
        <v>3</v>
      </c>
      <c r="S1248">
        <v>1.75</v>
      </c>
      <c r="T1248">
        <v>2.2000000000000002</v>
      </c>
      <c r="U1248">
        <v>2.98</v>
      </c>
      <c r="V1248">
        <v>0.76</v>
      </c>
      <c r="W1248">
        <v>2.1</v>
      </c>
      <c r="X1248">
        <v>3.15</v>
      </c>
    </row>
    <row r="1249" spans="1:24" x14ac:dyDescent="0.35">
      <c r="A1249" t="str">
        <f t="shared" si="1"/>
        <v>Brighton and Hove AlbionNorwich City</v>
      </c>
      <c r="B1249">
        <v>2019</v>
      </c>
      <c r="C1249" s="1">
        <v>43771</v>
      </c>
      <c r="D1249">
        <v>2411</v>
      </c>
      <c r="E1249" t="s">
        <v>23</v>
      </c>
      <c r="F1249" t="s">
        <v>45</v>
      </c>
      <c r="G1249" t="s">
        <v>50</v>
      </c>
      <c r="H1249">
        <v>68</v>
      </c>
      <c r="I1249">
        <v>59.65</v>
      </c>
      <c r="J1249">
        <v>0.51690000000000003</v>
      </c>
      <c r="K1249">
        <v>0.23330000000000001</v>
      </c>
      <c r="L1249">
        <v>0.24990000000000001</v>
      </c>
      <c r="M1249">
        <v>1.67</v>
      </c>
      <c r="N1249">
        <v>1.04</v>
      </c>
      <c r="O1249">
        <v>36.1</v>
      </c>
      <c r="P1249">
        <v>49.5</v>
      </c>
      <c r="Q1249">
        <v>2</v>
      </c>
      <c r="R1249">
        <v>0</v>
      </c>
      <c r="S1249">
        <v>2.99</v>
      </c>
      <c r="T1249">
        <v>0.5</v>
      </c>
      <c r="U1249">
        <v>3.14</v>
      </c>
      <c r="V1249">
        <v>1.1000000000000001</v>
      </c>
      <c r="W1249">
        <v>1.74</v>
      </c>
      <c r="X1249">
        <v>0</v>
      </c>
    </row>
    <row r="1250" spans="1:24" x14ac:dyDescent="0.35">
      <c r="A1250" t="str">
        <f t="shared" si="1"/>
        <v>WatfordChelsea</v>
      </c>
      <c r="B1250">
        <v>2019</v>
      </c>
      <c r="C1250" s="1">
        <v>43771</v>
      </c>
      <c r="D1250">
        <v>2411</v>
      </c>
      <c r="E1250" t="s">
        <v>23</v>
      </c>
      <c r="F1250" t="s">
        <v>35</v>
      </c>
      <c r="G1250" t="s">
        <v>42</v>
      </c>
      <c r="H1250">
        <v>66.87</v>
      </c>
      <c r="I1250">
        <v>85.82</v>
      </c>
      <c r="J1250">
        <v>0.21820000000000001</v>
      </c>
      <c r="K1250">
        <v>0.55840000000000001</v>
      </c>
      <c r="L1250">
        <v>0.22339999999999999</v>
      </c>
      <c r="M1250">
        <v>1.1599999999999999</v>
      </c>
      <c r="N1250">
        <v>1.97</v>
      </c>
      <c r="O1250">
        <v>44.9</v>
      </c>
      <c r="P1250">
        <v>59.1</v>
      </c>
      <c r="Q1250">
        <v>1</v>
      </c>
      <c r="R1250">
        <v>2</v>
      </c>
      <c r="S1250">
        <v>1.24</v>
      </c>
      <c r="T1250">
        <v>2.12</v>
      </c>
      <c r="U1250">
        <v>1.24</v>
      </c>
      <c r="V1250">
        <v>1.36</v>
      </c>
      <c r="W1250">
        <v>1.05</v>
      </c>
      <c r="X1250">
        <v>2.1</v>
      </c>
    </row>
    <row r="1251" spans="1:24" x14ac:dyDescent="0.35">
      <c r="A1251" t="str">
        <f t="shared" si="1"/>
        <v>Crystal PalaceLeicester City</v>
      </c>
      <c r="B1251">
        <v>2019</v>
      </c>
      <c r="C1251" s="1">
        <v>43772</v>
      </c>
      <c r="D1251">
        <v>2411</v>
      </c>
      <c r="E1251" t="s">
        <v>23</v>
      </c>
      <c r="F1251" t="s">
        <v>30</v>
      </c>
      <c r="G1251" t="s">
        <v>25</v>
      </c>
      <c r="H1251">
        <v>71.28</v>
      </c>
      <c r="I1251">
        <v>81.33</v>
      </c>
      <c r="J1251">
        <v>0.2928</v>
      </c>
      <c r="K1251">
        <v>0.44550000000000001</v>
      </c>
      <c r="L1251">
        <v>0.26169999999999999</v>
      </c>
      <c r="M1251">
        <v>1.17</v>
      </c>
      <c r="N1251">
        <v>1.51</v>
      </c>
      <c r="O1251">
        <v>21.6</v>
      </c>
      <c r="P1251">
        <v>66.5</v>
      </c>
      <c r="Q1251">
        <v>0</v>
      </c>
      <c r="R1251">
        <v>2</v>
      </c>
      <c r="S1251">
        <v>0.53</v>
      </c>
      <c r="T1251">
        <v>1.29</v>
      </c>
      <c r="U1251">
        <v>0.72</v>
      </c>
      <c r="V1251">
        <v>1.47</v>
      </c>
      <c r="W1251">
        <v>0</v>
      </c>
      <c r="X1251">
        <v>1.63</v>
      </c>
    </row>
    <row r="1252" spans="1:24" x14ac:dyDescent="0.35">
      <c r="A1252" t="str">
        <f t="shared" si="1"/>
        <v>EvertonTottenham Hotspur</v>
      </c>
      <c r="B1252">
        <v>2019</v>
      </c>
      <c r="C1252" s="1">
        <v>43772</v>
      </c>
      <c r="D1252">
        <v>2411</v>
      </c>
      <c r="E1252" t="s">
        <v>23</v>
      </c>
      <c r="F1252" t="s">
        <v>28</v>
      </c>
      <c r="G1252" t="s">
        <v>29</v>
      </c>
      <c r="H1252">
        <v>77.22</v>
      </c>
      <c r="I1252">
        <v>81.42</v>
      </c>
      <c r="J1252">
        <v>0.35170000000000001</v>
      </c>
      <c r="K1252">
        <v>0.39489999999999997</v>
      </c>
      <c r="L1252">
        <v>0.25340000000000001</v>
      </c>
      <c r="M1252">
        <v>1.41</v>
      </c>
      <c r="N1252">
        <v>1.5</v>
      </c>
      <c r="O1252">
        <v>15.8</v>
      </c>
      <c r="P1252">
        <v>52.2</v>
      </c>
      <c r="Q1252">
        <v>1</v>
      </c>
      <c r="R1252">
        <v>1</v>
      </c>
      <c r="S1252">
        <v>1.1299999999999999</v>
      </c>
      <c r="T1252">
        <v>0.22</v>
      </c>
      <c r="U1252">
        <v>1.32</v>
      </c>
      <c r="V1252">
        <v>0.59</v>
      </c>
      <c r="W1252">
        <v>0.84</v>
      </c>
      <c r="X1252">
        <v>1.05</v>
      </c>
    </row>
    <row r="1253" spans="1:24" x14ac:dyDescent="0.35">
      <c r="A1253" t="str">
        <f t="shared" si="1"/>
        <v>Norwich CityWatford</v>
      </c>
      <c r="B1253">
        <v>2019</v>
      </c>
      <c r="C1253" s="1">
        <v>43777</v>
      </c>
      <c r="D1253">
        <v>2411</v>
      </c>
      <c r="E1253" t="s">
        <v>23</v>
      </c>
      <c r="F1253" t="s">
        <v>50</v>
      </c>
      <c r="G1253" t="s">
        <v>35</v>
      </c>
      <c r="H1253">
        <v>57.95</v>
      </c>
      <c r="I1253">
        <v>66.95</v>
      </c>
      <c r="J1253">
        <v>0.36299999999999999</v>
      </c>
      <c r="K1253">
        <v>0.38140000000000002</v>
      </c>
      <c r="L1253">
        <v>0.25559999999999999</v>
      </c>
      <c r="M1253">
        <v>1.42</v>
      </c>
      <c r="N1253">
        <v>1.46</v>
      </c>
      <c r="O1253">
        <v>45.9</v>
      </c>
      <c r="P1253">
        <v>47.3</v>
      </c>
      <c r="Q1253">
        <v>0</v>
      </c>
      <c r="R1253">
        <v>2</v>
      </c>
      <c r="S1253">
        <v>0.74</v>
      </c>
      <c r="T1253">
        <v>1.3</v>
      </c>
      <c r="U1253">
        <v>1.59</v>
      </c>
      <c r="V1253">
        <v>0.75</v>
      </c>
      <c r="W1253">
        <v>0</v>
      </c>
      <c r="X1253">
        <v>2.1</v>
      </c>
    </row>
    <row r="1254" spans="1:24" x14ac:dyDescent="0.35">
      <c r="A1254" t="str">
        <f t="shared" si="1"/>
        <v>ChelseaCrystal Palace</v>
      </c>
      <c r="B1254">
        <v>2019</v>
      </c>
      <c r="C1254" s="1">
        <v>43778</v>
      </c>
      <c r="D1254">
        <v>2411</v>
      </c>
      <c r="E1254" t="s">
        <v>23</v>
      </c>
      <c r="F1254" t="s">
        <v>42</v>
      </c>
      <c r="G1254" t="s">
        <v>30</v>
      </c>
      <c r="H1254">
        <v>86.49</v>
      </c>
      <c r="I1254">
        <v>70.400000000000006</v>
      </c>
      <c r="J1254">
        <v>0.71699999999999997</v>
      </c>
      <c r="K1254">
        <v>0.1056</v>
      </c>
      <c r="L1254">
        <v>0.1774</v>
      </c>
      <c r="M1254">
        <v>2.2999999999999998</v>
      </c>
      <c r="N1254">
        <v>0.76</v>
      </c>
      <c r="O1254">
        <v>59.6</v>
      </c>
      <c r="P1254">
        <v>14.4</v>
      </c>
      <c r="Q1254">
        <v>2</v>
      </c>
      <c r="R1254">
        <v>0</v>
      </c>
      <c r="S1254">
        <v>3.58</v>
      </c>
      <c r="T1254">
        <v>0.51</v>
      </c>
      <c r="U1254">
        <v>2.2599999999999998</v>
      </c>
      <c r="V1254">
        <v>0.49</v>
      </c>
      <c r="W1254">
        <v>1.89</v>
      </c>
      <c r="X1254">
        <v>0</v>
      </c>
    </row>
    <row r="1255" spans="1:24" x14ac:dyDescent="0.35">
      <c r="A1255" t="str">
        <f t="shared" si="1"/>
        <v>SouthamptonEverton</v>
      </c>
      <c r="B1255">
        <v>2019</v>
      </c>
      <c r="C1255" s="1">
        <v>43778</v>
      </c>
      <c r="D1255">
        <v>2411</v>
      </c>
      <c r="E1255" t="s">
        <v>23</v>
      </c>
      <c r="F1255" t="s">
        <v>34</v>
      </c>
      <c r="G1255" t="s">
        <v>28</v>
      </c>
      <c r="H1255">
        <v>65.510000000000005</v>
      </c>
      <c r="I1255">
        <v>77.72</v>
      </c>
      <c r="J1255">
        <v>0.34899999999999998</v>
      </c>
      <c r="K1255">
        <v>0.38419999999999999</v>
      </c>
      <c r="L1255">
        <v>0.26679999999999998</v>
      </c>
      <c r="M1255">
        <v>1.29</v>
      </c>
      <c r="N1255">
        <v>1.37</v>
      </c>
      <c r="O1255">
        <v>41.9</v>
      </c>
      <c r="P1255">
        <v>17.100000000000001</v>
      </c>
      <c r="Q1255">
        <v>1</v>
      </c>
      <c r="R1255">
        <v>2</v>
      </c>
      <c r="S1255">
        <v>0.61</v>
      </c>
      <c r="T1255">
        <v>2.2999999999999998</v>
      </c>
      <c r="U1255">
        <v>0.42</v>
      </c>
      <c r="V1255">
        <v>2.02</v>
      </c>
      <c r="W1255">
        <v>1.05</v>
      </c>
      <c r="X1255">
        <v>2.1</v>
      </c>
    </row>
    <row r="1256" spans="1:24" x14ac:dyDescent="0.35">
      <c r="A1256" t="str">
        <f t="shared" si="1"/>
        <v>NewcastleAFC Bournemouth</v>
      </c>
      <c r="B1256">
        <v>2019</v>
      </c>
      <c r="C1256" s="1">
        <v>43778</v>
      </c>
      <c r="D1256">
        <v>2411</v>
      </c>
      <c r="E1256" t="s">
        <v>23</v>
      </c>
      <c r="F1256" t="s">
        <v>46</v>
      </c>
      <c r="G1256" t="s">
        <v>38</v>
      </c>
      <c r="H1256">
        <v>65.45</v>
      </c>
      <c r="I1256">
        <v>70.599999999999994</v>
      </c>
      <c r="J1256">
        <v>0.40029999999999999</v>
      </c>
      <c r="K1256">
        <v>0.33229999999999998</v>
      </c>
      <c r="L1256">
        <v>0.26740000000000003</v>
      </c>
      <c r="M1256">
        <v>1.39</v>
      </c>
      <c r="N1256">
        <v>1.25</v>
      </c>
      <c r="O1256">
        <v>39.200000000000003</v>
      </c>
      <c r="P1256">
        <v>16.3</v>
      </c>
      <c r="Q1256">
        <v>2</v>
      </c>
      <c r="R1256">
        <v>1</v>
      </c>
      <c r="S1256">
        <v>2.11</v>
      </c>
      <c r="T1256">
        <v>2.04</v>
      </c>
      <c r="U1256">
        <v>0.74</v>
      </c>
      <c r="V1256">
        <v>1.24</v>
      </c>
      <c r="W1256">
        <v>2.1</v>
      </c>
      <c r="X1256">
        <v>1.05</v>
      </c>
    </row>
    <row r="1257" spans="1:24" x14ac:dyDescent="0.35">
      <c r="A1257" t="str">
        <f t="shared" si="1"/>
        <v>BurnleyWest Ham United</v>
      </c>
      <c r="B1257">
        <v>2019</v>
      </c>
      <c r="C1257" s="1">
        <v>43778</v>
      </c>
      <c r="D1257">
        <v>2411</v>
      </c>
      <c r="E1257" t="s">
        <v>23</v>
      </c>
      <c r="F1257" t="s">
        <v>32</v>
      </c>
      <c r="G1257" t="s">
        <v>43</v>
      </c>
      <c r="H1257">
        <v>68.599999999999994</v>
      </c>
      <c r="I1257">
        <v>67.150000000000006</v>
      </c>
      <c r="J1257">
        <v>0.45590000000000003</v>
      </c>
      <c r="K1257">
        <v>0.29680000000000001</v>
      </c>
      <c r="L1257">
        <v>0.2472</v>
      </c>
      <c r="M1257">
        <v>1.66</v>
      </c>
      <c r="N1257">
        <v>1.29</v>
      </c>
      <c r="O1257">
        <v>30.7</v>
      </c>
      <c r="P1257">
        <v>35.9</v>
      </c>
      <c r="Q1257">
        <v>3</v>
      </c>
      <c r="R1257">
        <v>0</v>
      </c>
      <c r="S1257">
        <v>2.12</v>
      </c>
      <c r="T1257">
        <v>0.5</v>
      </c>
      <c r="U1257">
        <v>1.58</v>
      </c>
      <c r="V1257">
        <v>0.95</v>
      </c>
      <c r="W1257">
        <v>3.15</v>
      </c>
      <c r="X1257">
        <v>0</v>
      </c>
    </row>
    <row r="1258" spans="1:24" x14ac:dyDescent="0.35">
      <c r="A1258" t="str">
        <f t="shared" si="1"/>
        <v>Tottenham HotspurSheffield United</v>
      </c>
      <c r="B1258">
        <v>2019</v>
      </c>
      <c r="C1258" s="1">
        <v>43778</v>
      </c>
      <c r="D1258">
        <v>2411</v>
      </c>
      <c r="E1258" t="s">
        <v>23</v>
      </c>
      <c r="F1258" t="s">
        <v>29</v>
      </c>
      <c r="G1258" t="s">
        <v>51</v>
      </c>
      <c r="H1258">
        <v>82.91</v>
      </c>
      <c r="I1258">
        <v>68.02</v>
      </c>
      <c r="J1258">
        <v>0.67920000000000003</v>
      </c>
      <c r="K1258">
        <v>0.1215</v>
      </c>
      <c r="L1258">
        <v>0.1993</v>
      </c>
      <c r="M1258">
        <v>2.08</v>
      </c>
      <c r="N1258">
        <v>0.74</v>
      </c>
      <c r="O1258">
        <v>43.4</v>
      </c>
      <c r="P1258">
        <v>19.2</v>
      </c>
      <c r="Q1258">
        <v>1</v>
      </c>
      <c r="R1258">
        <v>1</v>
      </c>
      <c r="S1258">
        <v>1.98</v>
      </c>
      <c r="T1258">
        <v>1.07</v>
      </c>
      <c r="U1258">
        <v>1.67</v>
      </c>
      <c r="V1258">
        <v>0.87</v>
      </c>
      <c r="W1258">
        <v>1.05</v>
      </c>
      <c r="X1258">
        <v>1.05</v>
      </c>
    </row>
    <row r="1259" spans="1:24" x14ac:dyDescent="0.35">
      <c r="A1259" t="str">
        <f t="shared" si="1"/>
        <v>Leicester CityArsenal</v>
      </c>
      <c r="B1259">
        <v>2019</v>
      </c>
      <c r="C1259" s="1">
        <v>43778</v>
      </c>
      <c r="D1259">
        <v>2411</v>
      </c>
      <c r="E1259" t="s">
        <v>23</v>
      </c>
      <c r="F1259" t="s">
        <v>25</v>
      </c>
      <c r="G1259" t="s">
        <v>40</v>
      </c>
      <c r="H1259">
        <v>82.33</v>
      </c>
      <c r="I1259">
        <v>77.5</v>
      </c>
      <c r="J1259">
        <v>0.52480000000000004</v>
      </c>
      <c r="K1259">
        <v>0.24079999999999999</v>
      </c>
      <c r="L1259">
        <v>0.2344</v>
      </c>
      <c r="M1259">
        <v>1.84</v>
      </c>
      <c r="N1259">
        <v>1.18</v>
      </c>
      <c r="O1259">
        <v>74.099999999999994</v>
      </c>
      <c r="P1259">
        <v>50.6</v>
      </c>
      <c r="Q1259">
        <v>2</v>
      </c>
      <c r="R1259">
        <v>0</v>
      </c>
      <c r="S1259">
        <v>1.49</v>
      </c>
      <c r="T1259">
        <v>1.4</v>
      </c>
      <c r="U1259">
        <v>2.2599999999999998</v>
      </c>
      <c r="V1259">
        <v>1.39</v>
      </c>
      <c r="W1259">
        <v>1.97</v>
      </c>
      <c r="X1259">
        <v>0</v>
      </c>
    </row>
    <row r="1260" spans="1:24" x14ac:dyDescent="0.35">
      <c r="A1260" t="str">
        <f t="shared" si="1"/>
        <v>WolverhamptonAston Villa</v>
      </c>
      <c r="B1260">
        <v>2019</v>
      </c>
      <c r="C1260" s="1">
        <v>43779</v>
      </c>
      <c r="D1260">
        <v>2411</v>
      </c>
      <c r="E1260" t="s">
        <v>23</v>
      </c>
      <c r="F1260" t="s">
        <v>49</v>
      </c>
      <c r="G1260" t="s">
        <v>52</v>
      </c>
      <c r="H1260">
        <v>73.39</v>
      </c>
      <c r="I1260">
        <v>65.81</v>
      </c>
      <c r="J1260">
        <v>0.50060000000000004</v>
      </c>
      <c r="K1260">
        <v>0.2392</v>
      </c>
      <c r="L1260">
        <v>0.2601</v>
      </c>
      <c r="M1260">
        <v>1.56</v>
      </c>
      <c r="N1260">
        <v>1</v>
      </c>
      <c r="O1260">
        <v>19.8</v>
      </c>
      <c r="P1260">
        <v>36.9</v>
      </c>
      <c r="Q1260">
        <v>2</v>
      </c>
      <c r="R1260">
        <v>1</v>
      </c>
      <c r="S1260">
        <v>1.95</v>
      </c>
      <c r="T1260">
        <v>0.6</v>
      </c>
      <c r="U1260">
        <v>1.07</v>
      </c>
      <c r="V1260">
        <v>0.62</v>
      </c>
      <c r="W1260">
        <v>1.74</v>
      </c>
      <c r="X1260">
        <v>1.05</v>
      </c>
    </row>
    <row r="1261" spans="1:24" x14ac:dyDescent="0.35">
      <c r="A1261" t="str">
        <f t="shared" si="1"/>
        <v>Manchester UnitedBrighton and Hove Albion</v>
      </c>
      <c r="B1261">
        <v>2019</v>
      </c>
      <c r="C1261" s="1">
        <v>43779</v>
      </c>
      <c r="D1261">
        <v>2411</v>
      </c>
      <c r="E1261" t="s">
        <v>23</v>
      </c>
      <c r="F1261" t="s">
        <v>39</v>
      </c>
      <c r="G1261" t="s">
        <v>45</v>
      </c>
      <c r="H1261">
        <v>81.290000000000006</v>
      </c>
      <c r="I1261">
        <v>69.39</v>
      </c>
      <c r="J1261">
        <v>0.59650000000000003</v>
      </c>
      <c r="K1261">
        <v>0.16189999999999999</v>
      </c>
      <c r="L1261">
        <v>0.24160000000000001</v>
      </c>
      <c r="M1261">
        <v>1.71</v>
      </c>
      <c r="N1261">
        <v>0.76</v>
      </c>
      <c r="O1261">
        <v>30.2</v>
      </c>
      <c r="P1261">
        <v>20</v>
      </c>
      <c r="Q1261">
        <v>3</v>
      </c>
      <c r="R1261">
        <v>1</v>
      </c>
      <c r="S1261">
        <v>3.42</v>
      </c>
      <c r="T1261">
        <v>1.1200000000000001</v>
      </c>
      <c r="U1261">
        <v>1.77</v>
      </c>
      <c r="V1261">
        <v>0.92</v>
      </c>
      <c r="W1261">
        <v>3.15</v>
      </c>
      <c r="X1261">
        <v>1.05</v>
      </c>
    </row>
    <row r="1262" spans="1:24" x14ac:dyDescent="0.35">
      <c r="A1262" t="str">
        <f t="shared" si="1"/>
        <v>LiverpoolManchester City</v>
      </c>
      <c r="B1262">
        <v>2019</v>
      </c>
      <c r="C1262" s="1">
        <v>43779</v>
      </c>
      <c r="D1262">
        <v>2411</v>
      </c>
      <c r="E1262" t="s">
        <v>23</v>
      </c>
      <c r="F1262" t="s">
        <v>41</v>
      </c>
      <c r="G1262" t="s">
        <v>36</v>
      </c>
      <c r="H1262">
        <v>92.71</v>
      </c>
      <c r="I1262">
        <v>95.44</v>
      </c>
      <c r="J1262">
        <v>0.37569999999999998</v>
      </c>
      <c r="K1262">
        <v>0.3972</v>
      </c>
      <c r="L1262">
        <v>0.2271</v>
      </c>
      <c r="M1262">
        <v>1.75</v>
      </c>
      <c r="N1262">
        <v>1.8</v>
      </c>
      <c r="O1262">
        <v>100</v>
      </c>
      <c r="P1262">
        <v>100</v>
      </c>
      <c r="Q1262">
        <v>3</v>
      </c>
      <c r="R1262">
        <v>1</v>
      </c>
      <c r="S1262">
        <v>1.41</v>
      </c>
      <c r="T1262">
        <v>1.54</v>
      </c>
      <c r="U1262">
        <v>1.62</v>
      </c>
      <c r="V1262">
        <v>1.83</v>
      </c>
      <c r="W1262">
        <v>3.15</v>
      </c>
      <c r="X1262">
        <v>1.05</v>
      </c>
    </row>
    <row r="1263" spans="1:24" x14ac:dyDescent="0.35">
      <c r="A1263" t="str">
        <f t="shared" si="1"/>
        <v>West Ham UnitedTottenham Hotspur</v>
      </c>
      <c r="B1263">
        <v>2019</v>
      </c>
      <c r="C1263" s="1">
        <v>43792</v>
      </c>
      <c r="D1263">
        <v>2411</v>
      </c>
      <c r="E1263" t="s">
        <v>23</v>
      </c>
      <c r="F1263" t="s">
        <v>43</v>
      </c>
      <c r="G1263" t="s">
        <v>29</v>
      </c>
      <c r="H1263">
        <v>65.69</v>
      </c>
      <c r="I1263">
        <v>82.39</v>
      </c>
      <c r="J1263">
        <v>0.2616</v>
      </c>
      <c r="K1263">
        <v>0.51490000000000002</v>
      </c>
      <c r="L1263">
        <v>0.2235</v>
      </c>
      <c r="M1263">
        <v>1.37</v>
      </c>
      <c r="N1263">
        <v>1.99</v>
      </c>
      <c r="O1263">
        <v>37</v>
      </c>
      <c r="P1263">
        <v>38</v>
      </c>
      <c r="Q1263">
        <v>2</v>
      </c>
      <c r="R1263">
        <v>3</v>
      </c>
      <c r="S1263">
        <v>0.73</v>
      </c>
      <c r="T1263">
        <v>2.44</v>
      </c>
      <c r="U1263">
        <v>1.3</v>
      </c>
      <c r="V1263">
        <v>0.97</v>
      </c>
      <c r="W1263">
        <v>2.1</v>
      </c>
      <c r="X1263">
        <v>3.15</v>
      </c>
    </row>
    <row r="1264" spans="1:24" x14ac:dyDescent="0.35">
      <c r="A1264" t="str">
        <f t="shared" si="1"/>
        <v>Brighton and Hove AlbionLeicester City</v>
      </c>
      <c r="B1264">
        <v>2019</v>
      </c>
      <c r="C1264" s="1">
        <v>43792</v>
      </c>
      <c r="D1264">
        <v>2411</v>
      </c>
      <c r="E1264" t="s">
        <v>23</v>
      </c>
      <c r="F1264" t="s">
        <v>45</v>
      </c>
      <c r="G1264" t="s">
        <v>25</v>
      </c>
      <c r="H1264">
        <v>68.39</v>
      </c>
      <c r="I1264">
        <v>82.68</v>
      </c>
      <c r="J1264">
        <v>0.25740000000000002</v>
      </c>
      <c r="K1264">
        <v>0.48549999999999999</v>
      </c>
      <c r="L1264">
        <v>0.2571</v>
      </c>
      <c r="M1264">
        <v>1.08</v>
      </c>
      <c r="N1264">
        <v>1.58</v>
      </c>
      <c r="O1264">
        <v>24.4</v>
      </c>
      <c r="P1264">
        <v>61.9</v>
      </c>
      <c r="Q1264">
        <v>0</v>
      </c>
      <c r="R1264">
        <v>2</v>
      </c>
      <c r="S1264">
        <v>0.78</v>
      </c>
      <c r="T1264">
        <v>3.92</v>
      </c>
      <c r="U1264">
        <v>1.45</v>
      </c>
      <c r="V1264">
        <v>1.8</v>
      </c>
      <c r="W1264">
        <v>0</v>
      </c>
      <c r="X1264">
        <v>1.79</v>
      </c>
    </row>
    <row r="1265" spans="1:24" x14ac:dyDescent="0.35">
      <c r="A1265" t="str">
        <f t="shared" si="1"/>
        <v>EvertonNorwich City</v>
      </c>
      <c r="B1265">
        <v>2019</v>
      </c>
      <c r="C1265" s="1">
        <v>43792</v>
      </c>
      <c r="D1265">
        <v>2411</v>
      </c>
      <c r="E1265" t="s">
        <v>23</v>
      </c>
      <c r="F1265" t="s">
        <v>28</v>
      </c>
      <c r="G1265" t="s">
        <v>50</v>
      </c>
      <c r="H1265">
        <v>78.91</v>
      </c>
      <c r="I1265">
        <v>57.42</v>
      </c>
      <c r="J1265">
        <v>0.64680000000000004</v>
      </c>
      <c r="K1265">
        <v>0.1384</v>
      </c>
      <c r="L1265">
        <v>0.21479999999999999</v>
      </c>
      <c r="M1265">
        <v>1.95</v>
      </c>
      <c r="N1265">
        <v>0.77</v>
      </c>
      <c r="O1265">
        <v>12.2</v>
      </c>
      <c r="P1265">
        <v>43.2</v>
      </c>
      <c r="Q1265">
        <v>0</v>
      </c>
      <c r="R1265">
        <v>2</v>
      </c>
      <c r="S1265">
        <v>0.96</v>
      </c>
      <c r="T1265">
        <v>1.73</v>
      </c>
      <c r="U1265">
        <v>2.34</v>
      </c>
      <c r="V1265">
        <v>1.04</v>
      </c>
      <c r="W1265">
        <v>0</v>
      </c>
      <c r="X1265">
        <v>1.58</v>
      </c>
    </row>
    <row r="1266" spans="1:24" x14ac:dyDescent="0.35">
      <c r="A1266" t="str">
        <f t="shared" si="1"/>
        <v>Crystal PalaceLiverpool</v>
      </c>
      <c r="B1266">
        <v>2019</v>
      </c>
      <c r="C1266" s="1">
        <v>43792</v>
      </c>
      <c r="D1266">
        <v>2411</v>
      </c>
      <c r="E1266" t="s">
        <v>23</v>
      </c>
      <c r="F1266" t="s">
        <v>30</v>
      </c>
      <c r="G1266" t="s">
        <v>41</v>
      </c>
      <c r="H1266">
        <v>69.540000000000006</v>
      </c>
      <c r="I1266">
        <v>92.96</v>
      </c>
      <c r="J1266">
        <v>0.1164</v>
      </c>
      <c r="K1266">
        <v>0.70669999999999999</v>
      </c>
      <c r="L1266">
        <v>0.1769</v>
      </c>
      <c r="M1266">
        <v>0.85</v>
      </c>
      <c r="N1266">
        <v>2.36</v>
      </c>
      <c r="O1266">
        <v>17</v>
      </c>
      <c r="P1266">
        <v>78.400000000000006</v>
      </c>
      <c r="Q1266">
        <v>1</v>
      </c>
      <c r="R1266">
        <v>2</v>
      </c>
      <c r="S1266">
        <v>1.32</v>
      </c>
      <c r="T1266">
        <v>1.89</v>
      </c>
      <c r="U1266">
        <v>1.56</v>
      </c>
      <c r="V1266">
        <v>1.79</v>
      </c>
      <c r="W1266">
        <v>1.05</v>
      </c>
      <c r="X1266">
        <v>2.1</v>
      </c>
    </row>
    <row r="1267" spans="1:24" x14ac:dyDescent="0.35">
      <c r="A1267" t="str">
        <f t="shared" si="1"/>
        <v>AFC BournemouthWolverhampton</v>
      </c>
      <c r="B1267">
        <v>2019</v>
      </c>
      <c r="C1267" s="1">
        <v>43792</v>
      </c>
      <c r="D1267">
        <v>2411</v>
      </c>
      <c r="E1267" t="s">
        <v>23</v>
      </c>
      <c r="F1267" t="s">
        <v>38</v>
      </c>
      <c r="G1267" t="s">
        <v>49</v>
      </c>
      <c r="H1267">
        <v>70.31</v>
      </c>
      <c r="I1267">
        <v>73.67</v>
      </c>
      <c r="J1267">
        <v>0.43659999999999999</v>
      </c>
      <c r="K1267">
        <v>0.2954</v>
      </c>
      <c r="L1267">
        <v>0.26800000000000002</v>
      </c>
      <c r="M1267">
        <v>1.44</v>
      </c>
      <c r="N1267">
        <v>1.1399999999999999</v>
      </c>
      <c r="O1267">
        <v>19</v>
      </c>
      <c r="P1267">
        <v>11.3</v>
      </c>
      <c r="Q1267">
        <v>1</v>
      </c>
      <c r="R1267">
        <v>2</v>
      </c>
      <c r="S1267">
        <v>0.85</v>
      </c>
      <c r="T1267">
        <v>1.27</v>
      </c>
      <c r="U1267">
        <v>0.73</v>
      </c>
      <c r="V1267">
        <v>1.77</v>
      </c>
      <c r="W1267">
        <v>1.05</v>
      </c>
      <c r="X1267">
        <v>2.1</v>
      </c>
    </row>
    <row r="1268" spans="1:24" x14ac:dyDescent="0.35">
      <c r="A1268" t="str">
        <f t="shared" si="1"/>
        <v>ArsenalSouthampton</v>
      </c>
      <c r="B1268">
        <v>2019</v>
      </c>
      <c r="C1268" s="1">
        <v>43792</v>
      </c>
      <c r="D1268">
        <v>2411</v>
      </c>
      <c r="E1268" t="s">
        <v>23</v>
      </c>
      <c r="F1268" t="s">
        <v>40</v>
      </c>
      <c r="G1268" t="s">
        <v>34</v>
      </c>
      <c r="H1268">
        <v>77.16</v>
      </c>
      <c r="I1268">
        <v>64.05</v>
      </c>
      <c r="J1268">
        <v>0.60699999999999998</v>
      </c>
      <c r="K1268">
        <v>0.1857</v>
      </c>
      <c r="L1268">
        <v>0.20730000000000001</v>
      </c>
      <c r="M1268">
        <v>2.15</v>
      </c>
      <c r="N1268">
        <v>1.1100000000000001</v>
      </c>
      <c r="O1268">
        <v>24.5</v>
      </c>
      <c r="P1268">
        <v>41.3</v>
      </c>
      <c r="Q1268">
        <v>2</v>
      </c>
      <c r="R1268">
        <v>2</v>
      </c>
      <c r="S1268">
        <v>2.1</v>
      </c>
      <c r="T1268">
        <v>2.99</v>
      </c>
      <c r="U1268">
        <v>1.91</v>
      </c>
      <c r="V1268">
        <v>1.7</v>
      </c>
      <c r="W1268">
        <v>2.1</v>
      </c>
      <c r="X1268">
        <v>2.1</v>
      </c>
    </row>
    <row r="1269" spans="1:24" x14ac:dyDescent="0.35">
      <c r="A1269" t="str">
        <f t="shared" si="1"/>
        <v>WatfordBurnley</v>
      </c>
      <c r="B1269">
        <v>2019</v>
      </c>
      <c r="C1269" s="1">
        <v>43792</v>
      </c>
      <c r="D1269">
        <v>2411</v>
      </c>
      <c r="E1269" t="s">
        <v>23</v>
      </c>
      <c r="F1269" t="s">
        <v>35</v>
      </c>
      <c r="G1269" t="s">
        <v>32</v>
      </c>
      <c r="H1269">
        <v>67.8</v>
      </c>
      <c r="I1269">
        <v>70.069999999999993</v>
      </c>
      <c r="J1269">
        <v>0.44879999999999998</v>
      </c>
      <c r="K1269">
        <v>0.29170000000000001</v>
      </c>
      <c r="L1269">
        <v>0.25950000000000001</v>
      </c>
      <c r="M1269">
        <v>1.53</v>
      </c>
      <c r="N1269">
        <v>1.18</v>
      </c>
      <c r="O1269">
        <v>46.6</v>
      </c>
      <c r="P1269">
        <v>21</v>
      </c>
      <c r="Q1269">
        <v>0</v>
      </c>
      <c r="R1269">
        <v>3</v>
      </c>
      <c r="S1269">
        <v>0.92</v>
      </c>
      <c r="T1269">
        <v>2.88</v>
      </c>
      <c r="U1269">
        <v>1.96</v>
      </c>
      <c r="V1269">
        <v>0.53</v>
      </c>
      <c r="W1269">
        <v>0</v>
      </c>
      <c r="X1269">
        <v>2.38</v>
      </c>
    </row>
    <row r="1270" spans="1:24" x14ac:dyDescent="0.35">
      <c r="A1270" t="str">
        <f t="shared" si="1"/>
        <v>Manchester CityChelsea</v>
      </c>
      <c r="B1270">
        <v>2019</v>
      </c>
      <c r="C1270" s="1">
        <v>43792</v>
      </c>
      <c r="D1270">
        <v>2411</v>
      </c>
      <c r="E1270" t="s">
        <v>23</v>
      </c>
      <c r="F1270" t="s">
        <v>36</v>
      </c>
      <c r="G1270" t="s">
        <v>42</v>
      </c>
      <c r="H1270">
        <v>95.24</v>
      </c>
      <c r="I1270">
        <v>87.16</v>
      </c>
      <c r="J1270">
        <v>0.67559999999999998</v>
      </c>
      <c r="K1270">
        <v>0.14760000000000001</v>
      </c>
      <c r="L1270">
        <v>0.17680000000000001</v>
      </c>
      <c r="M1270">
        <v>2.52</v>
      </c>
      <c r="N1270">
        <v>1.1100000000000001</v>
      </c>
      <c r="O1270">
        <v>65</v>
      </c>
      <c r="P1270">
        <v>36.4</v>
      </c>
      <c r="Q1270">
        <v>2</v>
      </c>
      <c r="R1270">
        <v>1</v>
      </c>
      <c r="S1270">
        <v>1.26</v>
      </c>
      <c r="T1270">
        <v>0.95</v>
      </c>
      <c r="U1270">
        <v>2.2799999999999998</v>
      </c>
      <c r="V1270">
        <v>1.08</v>
      </c>
      <c r="W1270">
        <v>2.1</v>
      </c>
      <c r="X1270">
        <v>1.05</v>
      </c>
    </row>
    <row r="1271" spans="1:24" x14ac:dyDescent="0.35">
      <c r="A1271" t="str">
        <f t="shared" si="1"/>
        <v>Sheffield UnitedManchester United</v>
      </c>
      <c r="B1271">
        <v>2019</v>
      </c>
      <c r="C1271" s="1">
        <v>43793</v>
      </c>
      <c r="D1271">
        <v>2411</v>
      </c>
      <c r="E1271" t="s">
        <v>23</v>
      </c>
      <c r="F1271" t="s">
        <v>51</v>
      </c>
      <c r="G1271" t="s">
        <v>39</v>
      </c>
      <c r="H1271">
        <v>68.72</v>
      </c>
      <c r="I1271">
        <v>81.680000000000007</v>
      </c>
      <c r="J1271">
        <v>0.28039999999999998</v>
      </c>
      <c r="K1271">
        <v>0.4385</v>
      </c>
      <c r="L1271">
        <v>0.28100000000000003</v>
      </c>
      <c r="M1271">
        <v>1.02</v>
      </c>
      <c r="N1271">
        <v>1.35</v>
      </c>
      <c r="O1271">
        <v>17.100000000000001</v>
      </c>
      <c r="P1271">
        <v>30.2</v>
      </c>
      <c r="Q1271">
        <v>3</v>
      </c>
      <c r="R1271">
        <v>3</v>
      </c>
      <c r="S1271">
        <v>1.78</v>
      </c>
      <c r="T1271">
        <v>1.36</v>
      </c>
      <c r="U1271">
        <v>0.73</v>
      </c>
      <c r="V1271">
        <v>1.3</v>
      </c>
      <c r="W1271">
        <v>3.15</v>
      </c>
      <c r="X1271">
        <v>3.15</v>
      </c>
    </row>
    <row r="1272" spans="1:24" x14ac:dyDescent="0.35">
      <c r="A1272" t="str">
        <f t="shared" ref="A1272:A1335" si="2">F1272&amp;G1272</f>
        <v>Aston VillaNewcastle</v>
      </c>
      <c r="B1272">
        <v>2019</v>
      </c>
      <c r="C1272" s="1">
        <v>43794</v>
      </c>
      <c r="D1272">
        <v>2411</v>
      </c>
      <c r="E1272" t="s">
        <v>23</v>
      </c>
      <c r="F1272" t="s">
        <v>52</v>
      </c>
      <c r="G1272" t="s">
        <v>46</v>
      </c>
      <c r="H1272">
        <v>65.61</v>
      </c>
      <c r="I1272">
        <v>65.53</v>
      </c>
      <c r="J1272">
        <v>0.47220000000000001</v>
      </c>
      <c r="K1272">
        <v>0.26619999999999999</v>
      </c>
      <c r="L1272">
        <v>0.2616</v>
      </c>
      <c r="M1272">
        <v>1.53</v>
      </c>
      <c r="N1272">
        <v>1.0900000000000001</v>
      </c>
      <c r="O1272">
        <v>45.3</v>
      </c>
      <c r="P1272">
        <v>35.9</v>
      </c>
      <c r="Q1272">
        <v>2</v>
      </c>
      <c r="R1272">
        <v>0</v>
      </c>
      <c r="S1272">
        <v>2.29</v>
      </c>
      <c r="T1272">
        <v>0.89</v>
      </c>
      <c r="U1272">
        <v>2.23</v>
      </c>
      <c r="V1272">
        <v>0.64</v>
      </c>
      <c r="W1272">
        <v>2.1</v>
      </c>
      <c r="X1272">
        <v>0</v>
      </c>
    </row>
    <row r="1273" spans="1:24" x14ac:dyDescent="0.35">
      <c r="A1273" t="str">
        <f t="shared" si="2"/>
        <v>NewcastleManchester City</v>
      </c>
      <c r="B1273">
        <v>2019</v>
      </c>
      <c r="C1273" s="1">
        <v>43799</v>
      </c>
      <c r="D1273">
        <v>2411</v>
      </c>
      <c r="E1273" t="s">
        <v>23</v>
      </c>
      <c r="F1273" t="s">
        <v>46</v>
      </c>
      <c r="G1273" t="s">
        <v>36</v>
      </c>
      <c r="H1273">
        <v>64.069999999999993</v>
      </c>
      <c r="I1273">
        <v>94.74</v>
      </c>
      <c r="J1273">
        <v>7.9899999999999999E-2</v>
      </c>
      <c r="K1273">
        <v>0.78120000000000001</v>
      </c>
      <c r="L1273">
        <v>0.1389</v>
      </c>
      <c r="M1273">
        <v>0.79</v>
      </c>
      <c r="N1273">
        <v>2.76</v>
      </c>
      <c r="O1273">
        <v>34.1</v>
      </c>
      <c r="P1273">
        <v>56.6</v>
      </c>
      <c r="Q1273">
        <v>2</v>
      </c>
      <c r="R1273">
        <v>2</v>
      </c>
      <c r="S1273">
        <v>0.23</v>
      </c>
      <c r="T1273">
        <v>3.15</v>
      </c>
      <c r="U1273">
        <v>0.16</v>
      </c>
      <c r="V1273">
        <v>3.53</v>
      </c>
      <c r="W1273">
        <v>2.1</v>
      </c>
      <c r="X1273">
        <v>2.1</v>
      </c>
    </row>
    <row r="1274" spans="1:24" x14ac:dyDescent="0.35">
      <c r="A1274" t="str">
        <f t="shared" si="2"/>
        <v>LiverpoolBrighton and Hove Albion</v>
      </c>
      <c r="B1274">
        <v>2019</v>
      </c>
      <c r="C1274" s="1">
        <v>43799</v>
      </c>
      <c r="D1274">
        <v>2411</v>
      </c>
      <c r="E1274" t="s">
        <v>23</v>
      </c>
      <c r="F1274" t="s">
        <v>41</v>
      </c>
      <c r="G1274" t="s">
        <v>45</v>
      </c>
      <c r="H1274">
        <v>92.43</v>
      </c>
      <c r="I1274">
        <v>66.849999999999994</v>
      </c>
      <c r="J1274">
        <v>0.87439999999999996</v>
      </c>
      <c r="K1274">
        <v>2.9700000000000001E-2</v>
      </c>
      <c r="L1274">
        <v>9.5899999999999999E-2</v>
      </c>
      <c r="M1274">
        <v>2.91</v>
      </c>
      <c r="N1274">
        <v>0.4</v>
      </c>
      <c r="O1274">
        <v>90.9</v>
      </c>
      <c r="P1274">
        <v>30.7</v>
      </c>
      <c r="Q1274">
        <v>2</v>
      </c>
      <c r="R1274">
        <v>1</v>
      </c>
      <c r="S1274">
        <v>1.58</v>
      </c>
      <c r="T1274">
        <v>0.97</v>
      </c>
      <c r="U1274">
        <v>1.35</v>
      </c>
      <c r="V1274">
        <v>1.06</v>
      </c>
      <c r="W1274">
        <v>2.1</v>
      </c>
      <c r="X1274">
        <v>0.84</v>
      </c>
    </row>
    <row r="1275" spans="1:24" x14ac:dyDescent="0.35">
      <c r="A1275" t="str">
        <f t="shared" si="2"/>
        <v>Tottenham HotspurAFC Bournemouth</v>
      </c>
      <c r="B1275">
        <v>2019</v>
      </c>
      <c r="C1275" s="1">
        <v>43799</v>
      </c>
      <c r="D1275">
        <v>2411</v>
      </c>
      <c r="E1275" t="s">
        <v>23</v>
      </c>
      <c r="F1275" t="s">
        <v>29</v>
      </c>
      <c r="G1275" t="s">
        <v>38</v>
      </c>
      <c r="H1275">
        <v>82.95</v>
      </c>
      <c r="I1275">
        <v>69.08</v>
      </c>
      <c r="J1275">
        <v>0.66220000000000001</v>
      </c>
      <c r="K1275">
        <v>0.1489</v>
      </c>
      <c r="L1275">
        <v>0.18890000000000001</v>
      </c>
      <c r="M1275">
        <v>2.3199999999999998</v>
      </c>
      <c r="N1275">
        <v>1.01</v>
      </c>
      <c r="O1275">
        <v>43.7</v>
      </c>
      <c r="P1275">
        <v>19.399999999999999</v>
      </c>
      <c r="Q1275">
        <v>3</v>
      </c>
      <c r="R1275">
        <v>2</v>
      </c>
      <c r="S1275">
        <v>3.13</v>
      </c>
      <c r="T1275">
        <v>1.05</v>
      </c>
      <c r="U1275">
        <v>2.73</v>
      </c>
      <c r="V1275">
        <v>1.39</v>
      </c>
      <c r="W1275">
        <v>3.15</v>
      </c>
      <c r="X1275">
        <v>2.1</v>
      </c>
    </row>
    <row r="1276" spans="1:24" x14ac:dyDescent="0.35">
      <c r="A1276" t="str">
        <f t="shared" si="2"/>
        <v>BurnleyCrystal Palace</v>
      </c>
      <c r="B1276">
        <v>2019</v>
      </c>
      <c r="C1276" s="1">
        <v>43799</v>
      </c>
      <c r="D1276">
        <v>2411</v>
      </c>
      <c r="E1276" t="s">
        <v>23</v>
      </c>
      <c r="F1276" t="s">
        <v>32</v>
      </c>
      <c r="G1276" t="s">
        <v>30</v>
      </c>
      <c r="H1276">
        <v>71.33</v>
      </c>
      <c r="I1276">
        <v>70.209999999999994</v>
      </c>
      <c r="J1276">
        <v>0.4637</v>
      </c>
      <c r="K1276">
        <v>0.27429999999999999</v>
      </c>
      <c r="L1276">
        <v>0.2621</v>
      </c>
      <c r="M1276">
        <v>1.52</v>
      </c>
      <c r="N1276">
        <v>1.1100000000000001</v>
      </c>
      <c r="O1276">
        <v>14.6</v>
      </c>
      <c r="P1276">
        <v>18.7</v>
      </c>
      <c r="Q1276">
        <v>0</v>
      </c>
      <c r="R1276">
        <v>2</v>
      </c>
      <c r="S1276">
        <v>2.17</v>
      </c>
      <c r="T1276">
        <v>0.91</v>
      </c>
      <c r="U1276">
        <v>1.5</v>
      </c>
      <c r="V1276">
        <v>0.87</v>
      </c>
      <c r="W1276">
        <v>0</v>
      </c>
      <c r="X1276">
        <v>1.9</v>
      </c>
    </row>
    <row r="1277" spans="1:24" x14ac:dyDescent="0.35">
      <c r="A1277" t="str">
        <f t="shared" si="2"/>
        <v>ChelseaWest Ham United</v>
      </c>
      <c r="B1277">
        <v>2019</v>
      </c>
      <c r="C1277" s="1">
        <v>43799</v>
      </c>
      <c r="D1277">
        <v>2411</v>
      </c>
      <c r="E1277" t="s">
        <v>23</v>
      </c>
      <c r="F1277" t="s">
        <v>42</v>
      </c>
      <c r="G1277" t="s">
        <v>43</v>
      </c>
      <c r="H1277">
        <v>86.72</v>
      </c>
      <c r="I1277">
        <v>65.510000000000005</v>
      </c>
      <c r="J1277">
        <v>0.77480000000000004</v>
      </c>
      <c r="K1277">
        <v>8.2100000000000006E-2</v>
      </c>
      <c r="L1277">
        <v>0.1431</v>
      </c>
      <c r="M1277">
        <v>2.7</v>
      </c>
      <c r="N1277">
        <v>0.78</v>
      </c>
      <c r="O1277">
        <v>52.9</v>
      </c>
      <c r="P1277">
        <v>41</v>
      </c>
      <c r="Q1277">
        <v>0</v>
      </c>
      <c r="R1277">
        <v>1</v>
      </c>
      <c r="S1277">
        <v>3</v>
      </c>
      <c r="T1277">
        <v>1.1200000000000001</v>
      </c>
      <c r="U1277">
        <v>1.41</v>
      </c>
      <c r="V1277">
        <v>0.67</v>
      </c>
      <c r="W1277">
        <v>0</v>
      </c>
      <c r="X1277">
        <v>1.05</v>
      </c>
    </row>
    <row r="1278" spans="1:24" x14ac:dyDescent="0.35">
      <c r="A1278" t="str">
        <f t="shared" si="2"/>
        <v>SouthamptonWatford</v>
      </c>
      <c r="B1278">
        <v>2019</v>
      </c>
      <c r="C1278" s="1">
        <v>43799</v>
      </c>
      <c r="D1278">
        <v>2411</v>
      </c>
      <c r="E1278" t="s">
        <v>23</v>
      </c>
      <c r="F1278" t="s">
        <v>34</v>
      </c>
      <c r="G1278" t="s">
        <v>35</v>
      </c>
      <c r="H1278">
        <v>65.31</v>
      </c>
      <c r="I1278">
        <v>66.44</v>
      </c>
      <c r="J1278">
        <v>0.44990000000000002</v>
      </c>
      <c r="K1278">
        <v>0.2984</v>
      </c>
      <c r="L1278">
        <v>0.25169999999999998</v>
      </c>
      <c r="M1278">
        <v>1.61</v>
      </c>
      <c r="N1278">
        <v>1.26</v>
      </c>
      <c r="O1278">
        <v>50.9</v>
      </c>
      <c r="P1278">
        <v>49.3</v>
      </c>
      <c r="Q1278">
        <v>2</v>
      </c>
      <c r="R1278">
        <v>1</v>
      </c>
      <c r="S1278">
        <v>1.69</v>
      </c>
      <c r="T1278">
        <v>0.51</v>
      </c>
      <c r="U1278">
        <v>1.68</v>
      </c>
      <c r="V1278">
        <v>0.84</v>
      </c>
      <c r="W1278">
        <v>2.1</v>
      </c>
      <c r="X1278">
        <v>1.05</v>
      </c>
    </row>
    <row r="1279" spans="1:24" x14ac:dyDescent="0.35">
      <c r="A1279" t="str">
        <f t="shared" si="2"/>
        <v>WolverhamptonSheffield United</v>
      </c>
      <c r="B1279">
        <v>2019</v>
      </c>
      <c r="C1279" s="1">
        <v>43800</v>
      </c>
      <c r="D1279">
        <v>2411</v>
      </c>
      <c r="E1279" t="s">
        <v>23</v>
      </c>
      <c r="F1279" t="s">
        <v>49</v>
      </c>
      <c r="G1279" t="s">
        <v>51</v>
      </c>
      <c r="H1279">
        <v>74.84</v>
      </c>
      <c r="I1279">
        <v>68.92</v>
      </c>
      <c r="J1279">
        <v>0.50729999999999997</v>
      </c>
      <c r="K1279">
        <v>0.21909999999999999</v>
      </c>
      <c r="L1279">
        <v>0.2737</v>
      </c>
      <c r="M1279">
        <v>1.46</v>
      </c>
      <c r="N1279">
        <v>0.86</v>
      </c>
      <c r="O1279">
        <v>14.4</v>
      </c>
      <c r="P1279">
        <v>18</v>
      </c>
      <c r="Q1279">
        <v>1</v>
      </c>
      <c r="R1279">
        <v>1</v>
      </c>
      <c r="S1279">
        <v>1.38</v>
      </c>
      <c r="T1279">
        <v>1.35</v>
      </c>
      <c r="U1279">
        <v>0.98</v>
      </c>
      <c r="V1279">
        <v>1.43</v>
      </c>
      <c r="W1279">
        <v>1.05</v>
      </c>
      <c r="X1279">
        <v>1.05</v>
      </c>
    </row>
    <row r="1280" spans="1:24" x14ac:dyDescent="0.35">
      <c r="A1280" t="str">
        <f t="shared" si="2"/>
        <v>Norwich CityArsenal</v>
      </c>
      <c r="B1280">
        <v>2019</v>
      </c>
      <c r="C1280" s="1">
        <v>43800</v>
      </c>
      <c r="D1280">
        <v>2411</v>
      </c>
      <c r="E1280" t="s">
        <v>23</v>
      </c>
      <c r="F1280" t="s">
        <v>50</v>
      </c>
      <c r="G1280" t="s">
        <v>40</v>
      </c>
      <c r="H1280">
        <v>59.35</v>
      </c>
      <c r="I1280">
        <v>75.38</v>
      </c>
      <c r="J1280">
        <v>0.29730000000000001</v>
      </c>
      <c r="K1280">
        <v>0.47120000000000001</v>
      </c>
      <c r="L1280">
        <v>0.23139999999999999</v>
      </c>
      <c r="M1280">
        <v>1.44</v>
      </c>
      <c r="N1280">
        <v>1.86</v>
      </c>
      <c r="O1280">
        <v>47.3</v>
      </c>
      <c r="P1280">
        <v>16.100000000000001</v>
      </c>
      <c r="Q1280">
        <v>2</v>
      </c>
      <c r="R1280">
        <v>2</v>
      </c>
      <c r="S1280">
        <v>0.88</v>
      </c>
      <c r="T1280">
        <v>2.21</v>
      </c>
      <c r="U1280">
        <v>0.89</v>
      </c>
      <c r="V1280">
        <v>2.31</v>
      </c>
      <c r="W1280">
        <v>2.1</v>
      </c>
      <c r="X1280">
        <v>2.1</v>
      </c>
    </row>
    <row r="1281" spans="1:24" x14ac:dyDescent="0.35">
      <c r="A1281" t="str">
        <f t="shared" si="2"/>
        <v>Manchester UnitedAston Villa</v>
      </c>
      <c r="B1281">
        <v>2019</v>
      </c>
      <c r="C1281" s="1">
        <v>43800</v>
      </c>
      <c r="D1281">
        <v>2411</v>
      </c>
      <c r="E1281" t="s">
        <v>23</v>
      </c>
      <c r="F1281" t="s">
        <v>39</v>
      </c>
      <c r="G1281" t="s">
        <v>52</v>
      </c>
      <c r="H1281">
        <v>80.16</v>
      </c>
      <c r="I1281">
        <v>67.06</v>
      </c>
      <c r="J1281">
        <v>0.59560000000000002</v>
      </c>
      <c r="K1281">
        <v>0.1772</v>
      </c>
      <c r="L1281">
        <v>0.22720000000000001</v>
      </c>
      <c r="M1281">
        <v>1.88</v>
      </c>
      <c r="N1281">
        <v>0.91</v>
      </c>
      <c r="O1281">
        <v>24.8</v>
      </c>
      <c r="P1281">
        <v>32.1</v>
      </c>
      <c r="Q1281">
        <v>2</v>
      </c>
      <c r="R1281">
        <v>2</v>
      </c>
      <c r="S1281">
        <v>2.0099999999999998</v>
      </c>
      <c r="T1281">
        <v>1.31</v>
      </c>
      <c r="U1281">
        <v>2.21</v>
      </c>
      <c r="V1281">
        <v>0.57999999999999996</v>
      </c>
      <c r="W1281">
        <v>2.1</v>
      </c>
      <c r="X1281">
        <v>2.1</v>
      </c>
    </row>
    <row r="1282" spans="1:24" x14ac:dyDescent="0.35">
      <c r="A1282" t="str">
        <f t="shared" si="2"/>
        <v>Leicester CityEverton</v>
      </c>
      <c r="B1282">
        <v>2019</v>
      </c>
      <c r="C1282" s="1">
        <v>43800</v>
      </c>
      <c r="D1282">
        <v>2411</v>
      </c>
      <c r="E1282" t="s">
        <v>23</v>
      </c>
      <c r="F1282" t="s">
        <v>25</v>
      </c>
      <c r="G1282" t="s">
        <v>28</v>
      </c>
      <c r="H1282">
        <v>83.73</v>
      </c>
      <c r="I1282">
        <v>77.3</v>
      </c>
      <c r="J1282">
        <v>0.58140000000000003</v>
      </c>
      <c r="K1282">
        <v>0.1736</v>
      </c>
      <c r="L1282">
        <v>0.245</v>
      </c>
      <c r="M1282">
        <v>1.69</v>
      </c>
      <c r="N1282">
        <v>0.8</v>
      </c>
      <c r="O1282">
        <v>60.3</v>
      </c>
      <c r="P1282">
        <v>15.1</v>
      </c>
      <c r="Q1282">
        <v>2</v>
      </c>
      <c r="R1282">
        <v>1</v>
      </c>
      <c r="S1282">
        <v>2.69</v>
      </c>
      <c r="T1282">
        <v>1.33</v>
      </c>
      <c r="U1282">
        <v>1.66</v>
      </c>
      <c r="V1282">
        <v>1.36</v>
      </c>
      <c r="W1282">
        <v>2.1</v>
      </c>
      <c r="X1282">
        <v>1.05</v>
      </c>
    </row>
    <row r="1283" spans="1:24" x14ac:dyDescent="0.35">
      <c r="A1283" t="str">
        <f t="shared" si="2"/>
        <v>Crystal PalaceAFC Bournemouth</v>
      </c>
      <c r="B1283">
        <v>2019</v>
      </c>
      <c r="C1283" s="1">
        <v>43802</v>
      </c>
      <c r="D1283">
        <v>2411</v>
      </c>
      <c r="E1283" t="s">
        <v>23</v>
      </c>
      <c r="F1283" t="s">
        <v>30</v>
      </c>
      <c r="G1283" t="s">
        <v>38</v>
      </c>
      <c r="H1283">
        <v>70.709999999999994</v>
      </c>
      <c r="I1283">
        <v>68.83</v>
      </c>
      <c r="J1283">
        <v>0.45090000000000002</v>
      </c>
      <c r="K1283">
        <v>0.29399999999999998</v>
      </c>
      <c r="L1283">
        <v>0.25509999999999999</v>
      </c>
      <c r="M1283">
        <v>1.57</v>
      </c>
      <c r="N1283">
        <v>1.22</v>
      </c>
      <c r="O1283">
        <v>17.3</v>
      </c>
      <c r="P1283">
        <v>27.4</v>
      </c>
      <c r="Q1283">
        <v>1</v>
      </c>
      <c r="R1283">
        <v>0</v>
      </c>
      <c r="S1283">
        <v>0.44</v>
      </c>
      <c r="T1283">
        <v>0.38</v>
      </c>
      <c r="U1283">
        <v>0.87</v>
      </c>
      <c r="V1283">
        <v>1.82</v>
      </c>
      <c r="W1283">
        <v>1.05</v>
      </c>
      <c r="X1283">
        <v>0</v>
      </c>
    </row>
    <row r="1284" spans="1:24" x14ac:dyDescent="0.35">
      <c r="A1284" t="str">
        <f t="shared" si="2"/>
        <v>BurnleyManchester City</v>
      </c>
      <c r="B1284">
        <v>2019</v>
      </c>
      <c r="C1284" s="1">
        <v>43802</v>
      </c>
      <c r="D1284">
        <v>2411</v>
      </c>
      <c r="E1284" t="s">
        <v>23</v>
      </c>
      <c r="F1284" t="s">
        <v>32</v>
      </c>
      <c r="G1284" t="s">
        <v>36</v>
      </c>
      <c r="H1284">
        <v>70.900000000000006</v>
      </c>
      <c r="I1284">
        <v>94.79</v>
      </c>
      <c r="J1284">
        <v>0.107</v>
      </c>
      <c r="K1284">
        <v>0.73619999999999997</v>
      </c>
      <c r="L1284">
        <v>0.15679999999999999</v>
      </c>
      <c r="M1284">
        <v>0.93</v>
      </c>
      <c r="N1284">
        <v>2.65</v>
      </c>
      <c r="O1284">
        <v>13.9</v>
      </c>
      <c r="P1284">
        <v>56.3</v>
      </c>
      <c r="Q1284">
        <v>1</v>
      </c>
      <c r="R1284">
        <v>4</v>
      </c>
      <c r="S1284">
        <v>0.64</v>
      </c>
      <c r="T1284">
        <v>2.57</v>
      </c>
      <c r="U1284">
        <v>0.64</v>
      </c>
      <c r="V1284">
        <v>2.5499999999999998</v>
      </c>
      <c r="W1284">
        <v>1.05</v>
      </c>
      <c r="X1284">
        <v>3.77</v>
      </c>
    </row>
    <row r="1285" spans="1:24" x14ac:dyDescent="0.35">
      <c r="A1285" t="str">
        <f t="shared" si="2"/>
        <v>WolverhamptonWest Ham United</v>
      </c>
      <c r="B1285">
        <v>2019</v>
      </c>
      <c r="C1285" s="1">
        <v>43803</v>
      </c>
      <c r="D1285">
        <v>2411</v>
      </c>
      <c r="E1285" t="s">
        <v>23</v>
      </c>
      <c r="F1285" t="s">
        <v>49</v>
      </c>
      <c r="G1285" t="s">
        <v>43</v>
      </c>
      <c r="H1285">
        <v>73.959999999999994</v>
      </c>
      <c r="I1285">
        <v>66.53</v>
      </c>
      <c r="J1285">
        <v>0.49580000000000002</v>
      </c>
      <c r="K1285">
        <v>0.24990000000000001</v>
      </c>
      <c r="L1285">
        <v>0.25430000000000003</v>
      </c>
      <c r="M1285">
        <v>1.62</v>
      </c>
      <c r="N1285">
        <v>1.07</v>
      </c>
      <c r="O1285">
        <v>11.8</v>
      </c>
      <c r="P1285">
        <v>33.799999999999997</v>
      </c>
      <c r="Q1285">
        <v>2</v>
      </c>
      <c r="R1285">
        <v>0</v>
      </c>
      <c r="S1285">
        <v>1.73</v>
      </c>
      <c r="T1285">
        <v>0.61</v>
      </c>
      <c r="U1285">
        <v>1.93</v>
      </c>
      <c r="V1285">
        <v>0.88</v>
      </c>
      <c r="W1285">
        <v>1.69</v>
      </c>
      <c r="X1285">
        <v>0</v>
      </c>
    </row>
    <row r="1286" spans="1:24" x14ac:dyDescent="0.35">
      <c r="A1286" t="str">
        <f t="shared" si="2"/>
        <v>Leicester CityWatford</v>
      </c>
      <c r="B1286">
        <v>2019</v>
      </c>
      <c r="C1286" s="1">
        <v>43803</v>
      </c>
      <c r="D1286">
        <v>2411</v>
      </c>
      <c r="E1286" t="s">
        <v>23</v>
      </c>
      <c r="F1286" t="s">
        <v>25</v>
      </c>
      <c r="G1286" t="s">
        <v>35</v>
      </c>
      <c r="H1286">
        <v>83.69</v>
      </c>
      <c r="I1286">
        <v>65.760000000000005</v>
      </c>
      <c r="J1286">
        <v>0.67889999999999995</v>
      </c>
      <c r="K1286">
        <v>0.1207</v>
      </c>
      <c r="L1286">
        <v>0.20039999999999999</v>
      </c>
      <c r="M1286">
        <v>2.06</v>
      </c>
      <c r="N1286">
        <v>0.73</v>
      </c>
      <c r="O1286">
        <v>56.9</v>
      </c>
      <c r="P1286">
        <v>43.7</v>
      </c>
      <c r="Q1286">
        <v>2</v>
      </c>
      <c r="R1286">
        <v>0</v>
      </c>
      <c r="S1286">
        <v>2.29</v>
      </c>
      <c r="T1286">
        <v>0.23</v>
      </c>
      <c r="U1286">
        <v>1.69</v>
      </c>
      <c r="V1286">
        <v>0.84</v>
      </c>
      <c r="W1286">
        <v>1.58</v>
      </c>
      <c r="X1286">
        <v>0</v>
      </c>
    </row>
    <row r="1287" spans="1:24" x14ac:dyDescent="0.35">
      <c r="A1287" t="str">
        <f t="shared" si="2"/>
        <v>Manchester UnitedTottenham Hotspur</v>
      </c>
      <c r="B1287">
        <v>2019</v>
      </c>
      <c r="C1287" s="1">
        <v>43803</v>
      </c>
      <c r="D1287">
        <v>2411</v>
      </c>
      <c r="E1287" t="s">
        <v>23</v>
      </c>
      <c r="F1287" t="s">
        <v>39</v>
      </c>
      <c r="G1287" t="s">
        <v>29</v>
      </c>
      <c r="H1287">
        <v>79.77</v>
      </c>
      <c r="I1287">
        <v>82.88</v>
      </c>
      <c r="J1287">
        <v>0.37590000000000001</v>
      </c>
      <c r="K1287">
        <v>0.38090000000000002</v>
      </c>
      <c r="L1287">
        <v>0.2432</v>
      </c>
      <c r="M1287">
        <v>1.56</v>
      </c>
      <c r="N1287">
        <v>1.57</v>
      </c>
      <c r="O1287">
        <v>26</v>
      </c>
      <c r="P1287">
        <v>52.1</v>
      </c>
      <c r="Q1287">
        <v>2</v>
      </c>
      <c r="R1287">
        <v>1</v>
      </c>
      <c r="S1287">
        <v>1.35</v>
      </c>
      <c r="T1287">
        <v>0.97</v>
      </c>
      <c r="U1287">
        <v>1.07</v>
      </c>
      <c r="V1287">
        <v>1.25</v>
      </c>
      <c r="W1287">
        <v>2.1</v>
      </c>
      <c r="X1287">
        <v>1.05</v>
      </c>
    </row>
    <row r="1288" spans="1:24" x14ac:dyDescent="0.35">
      <c r="A1288" t="str">
        <f t="shared" si="2"/>
        <v>ChelseaAston Villa</v>
      </c>
      <c r="B1288">
        <v>2019</v>
      </c>
      <c r="C1288" s="1">
        <v>43803</v>
      </c>
      <c r="D1288">
        <v>2411</v>
      </c>
      <c r="E1288" t="s">
        <v>23</v>
      </c>
      <c r="F1288" t="s">
        <v>42</v>
      </c>
      <c r="G1288" t="s">
        <v>52</v>
      </c>
      <c r="H1288">
        <v>86.21</v>
      </c>
      <c r="I1288">
        <v>67.260000000000005</v>
      </c>
      <c r="J1288">
        <v>0.75739999999999996</v>
      </c>
      <c r="K1288">
        <v>8.7999999999999995E-2</v>
      </c>
      <c r="L1288">
        <v>0.15459999999999999</v>
      </c>
      <c r="M1288">
        <v>2.54</v>
      </c>
      <c r="N1288">
        <v>0.75</v>
      </c>
      <c r="O1288">
        <v>63.8</v>
      </c>
      <c r="P1288">
        <v>28.7</v>
      </c>
      <c r="Q1288">
        <v>2</v>
      </c>
      <c r="R1288">
        <v>1</v>
      </c>
      <c r="S1288">
        <v>1.88</v>
      </c>
      <c r="T1288">
        <v>1</v>
      </c>
      <c r="U1288">
        <v>2.81</v>
      </c>
      <c r="V1288">
        <v>0.82</v>
      </c>
      <c r="W1288">
        <v>2.1</v>
      </c>
      <c r="X1288">
        <v>1.05</v>
      </c>
    </row>
    <row r="1289" spans="1:24" x14ac:dyDescent="0.35">
      <c r="A1289" t="str">
        <f t="shared" si="2"/>
        <v>SouthamptonNorwich City</v>
      </c>
      <c r="B1289">
        <v>2019</v>
      </c>
      <c r="C1289" s="1">
        <v>43803</v>
      </c>
      <c r="D1289">
        <v>2411</v>
      </c>
      <c r="E1289" t="s">
        <v>23</v>
      </c>
      <c r="F1289" t="s">
        <v>34</v>
      </c>
      <c r="G1289" t="s">
        <v>50</v>
      </c>
      <c r="H1289">
        <v>66.11</v>
      </c>
      <c r="I1289">
        <v>58.96</v>
      </c>
      <c r="J1289">
        <v>0.53290000000000004</v>
      </c>
      <c r="K1289">
        <v>0.2319</v>
      </c>
      <c r="L1289">
        <v>0.23519999999999999</v>
      </c>
      <c r="M1289">
        <v>1.83</v>
      </c>
      <c r="N1289">
        <v>1.1299999999999999</v>
      </c>
      <c r="O1289">
        <v>48.7</v>
      </c>
      <c r="P1289">
        <v>49</v>
      </c>
      <c r="Q1289">
        <v>2</v>
      </c>
      <c r="R1289">
        <v>1</v>
      </c>
      <c r="S1289">
        <v>1.78</v>
      </c>
      <c r="T1289">
        <v>0.92</v>
      </c>
      <c r="U1289">
        <v>2.02</v>
      </c>
      <c r="V1289">
        <v>1.03</v>
      </c>
      <c r="W1289">
        <v>2.1</v>
      </c>
      <c r="X1289">
        <v>1.05</v>
      </c>
    </row>
    <row r="1290" spans="1:24" x14ac:dyDescent="0.35">
      <c r="A1290" t="str">
        <f t="shared" si="2"/>
        <v>LiverpoolEverton</v>
      </c>
      <c r="B1290">
        <v>2019</v>
      </c>
      <c r="C1290" s="1">
        <v>43803</v>
      </c>
      <c r="D1290">
        <v>2411</v>
      </c>
      <c r="E1290" t="s">
        <v>23</v>
      </c>
      <c r="F1290" t="s">
        <v>41</v>
      </c>
      <c r="G1290" t="s">
        <v>28</v>
      </c>
      <c r="H1290">
        <v>91.85</v>
      </c>
      <c r="I1290">
        <v>77.05</v>
      </c>
      <c r="J1290">
        <v>0.75749999999999995</v>
      </c>
      <c r="K1290">
        <v>8.0199999999999994E-2</v>
      </c>
      <c r="L1290">
        <v>0.16220000000000001</v>
      </c>
      <c r="M1290">
        <v>2.36</v>
      </c>
      <c r="N1290">
        <v>0.63</v>
      </c>
      <c r="O1290">
        <v>89.1</v>
      </c>
      <c r="P1290">
        <v>13.8</v>
      </c>
      <c r="Q1290">
        <v>5</v>
      </c>
      <c r="R1290">
        <v>2</v>
      </c>
      <c r="S1290">
        <v>2.59</v>
      </c>
      <c r="T1290">
        <v>1.77</v>
      </c>
      <c r="U1290">
        <v>1.72</v>
      </c>
      <c r="V1290">
        <v>1.24</v>
      </c>
      <c r="W1290">
        <v>4.74</v>
      </c>
      <c r="X1290">
        <v>2.1</v>
      </c>
    </row>
    <row r="1291" spans="1:24" x14ac:dyDescent="0.35">
      <c r="A1291" t="str">
        <f t="shared" si="2"/>
        <v>Sheffield UnitedNewcastle</v>
      </c>
      <c r="B1291">
        <v>2019</v>
      </c>
      <c r="C1291" s="1">
        <v>43804</v>
      </c>
      <c r="D1291">
        <v>2411</v>
      </c>
      <c r="E1291" t="s">
        <v>23</v>
      </c>
      <c r="F1291" t="s">
        <v>51</v>
      </c>
      <c r="G1291" t="s">
        <v>46</v>
      </c>
      <c r="H1291">
        <v>69.78</v>
      </c>
      <c r="I1291">
        <v>63.91</v>
      </c>
      <c r="J1291">
        <v>0.48970000000000002</v>
      </c>
      <c r="K1291">
        <v>0.23699999999999999</v>
      </c>
      <c r="L1291">
        <v>0.27329999999999999</v>
      </c>
      <c r="M1291">
        <v>1.45</v>
      </c>
      <c r="N1291">
        <v>0.92</v>
      </c>
      <c r="O1291">
        <v>21.3</v>
      </c>
      <c r="P1291">
        <v>38.5</v>
      </c>
      <c r="Q1291">
        <v>0</v>
      </c>
      <c r="R1291">
        <v>2</v>
      </c>
      <c r="S1291">
        <v>1.19</v>
      </c>
      <c r="T1291">
        <v>0.51</v>
      </c>
      <c r="U1291">
        <v>2.0499999999999998</v>
      </c>
      <c r="V1291">
        <v>0.85</v>
      </c>
      <c r="W1291">
        <v>0</v>
      </c>
      <c r="X1291">
        <v>2.1</v>
      </c>
    </row>
    <row r="1292" spans="1:24" x14ac:dyDescent="0.35">
      <c r="A1292" t="str">
        <f t="shared" si="2"/>
        <v>ArsenalBrighton and Hove Albion</v>
      </c>
      <c r="B1292">
        <v>2019</v>
      </c>
      <c r="C1292" s="1">
        <v>43804</v>
      </c>
      <c r="D1292">
        <v>2411</v>
      </c>
      <c r="E1292" t="s">
        <v>23</v>
      </c>
      <c r="F1292" t="s">
        <v>40</v>
      </c>
      <c r="G1292" t="s">
        <v>45</v>
      </c>
      <c r="H1292">
        <v>75.680000000000007</v>
      </c>
      <c r="I1292">
        <v>68.11</v>
      </c>
      <c r="J1292">
        <v>0.55179999999999996</v>
      </c>
      <c r="K1292">
        <v>0.22339999999999999</v>
      </c>
      <c r="L1292">
        <v>0.22470000000000001</v>
      </c>
      <c r="M1292">
        <v>1.96</v>
      </c>
      <c r="N1292">
        <v>1.17</v>
      </c>
      <c r="O1292">
        <v>13.8</v>
      </c>
      <c r="P1292">
        <v>27.6</v>
      </c>
      <c r="Q1292">
        <v>1</v>
      </c>
      <c r="R1292">
        <v>2</v>
      </c>
      <c r="S1292">
        <v>0.96</v>
      </c>
      <c r="T1292">
        <v>1.59</v>
      </c>
      <c r="U1292">
        <v>1.5</v>
      </c>
      <c r="V1292">
        <v>1.29</v>
      </c>
      <c r="W1292">
        <v>1.05</v>
      </c>
      <c r="X1292">
        <v>2.1</v>
      </c>
    </row>
    <row r="1293" spans="1:24" x14ac:dyDescent="0.35">
      <c r="A1293" t="str">
        <f t="shared" si="2"/>
        <v>EvertonChelsea</v>
      </c>
      <c r="B1293">
        <v>2019</v>
      </c>
      <c r="C1293" s="1">
        <v>43806</v>
      </c>
      <c r="D1293">
        <v>2411</v>
      </c>
      <c r="E1293" t="s">
        <v>23</v>
      </c>
      <c r="F1293" t="s">
        <v>28</v>
      </c>
      <c r="G1293" t="s">
        <v>42</v>
      </c>
      <c r="H1293">
        <v>77.31</v>
      </c>
      <c r="I1293">
        <v>86.08</v>
      </c>
      <c r="J1293">
        <v>0.28910000000000002</v>
      </c>
      <c r="K1293">
        <v>0.46750000000000003</v>
      </c>
      <c r="L1293">
        <v>0.24329999999999999</v>
      </c>
      <c r="M1293">
        <v>1.3</v>
      </c>
      <c r="N1293">
        <v>1.71</v>
      </c>
      <c r="O1293">
        <v>16.399999999999999</v>
      </c>
      <c r="P1293">
        <v>59.5</v>
      </c>
      <c r="Q1293">
        <v>3</v>
      </c>
      <c r="R1293">
        <v>1</v>
      </c>
      <c r="S1293">
        <v>1.83</v>
      </c>
      <c r="T1293">
        <v>1.4</v>
      </c>
      <c r="U1293">
        <v>1.26</v>
      </c>
      <c r="V1293">
        <v>3.35</v>
      </c>
      <c r="W1293">
        <v>2.81</v>
      </c>
      <c r="X1293">
        <v>1.05</v>
      </c>
    </row>
    <row r="1294" spans="1:24" x14ac:dyDescent="0.35">
      <c r="A1294" t="str">
        <f t="shared" si="2"/>
        <v>AFC BournemouthLiverpool</v>
      </c>
      <c r="B1294">
        <v>2019</v>
      </c>
      <c r="C1294" s="1">
        <v>43806</v>
      </c>
      <c r="D1294">
        <v>2411</v>
      </c>
      <c r="E1294" t="s">
        <v>23</v>
      </c>
      <c r="F1294" t="s">
        <v>38</v>
      </c>
      <c r="G1294" t="s">
        <v>41</v>
      </c>
      <c r="H1294">
        <v>69.44</v>
      </c>
      <c r="I1294">
        <v>91.43</v>
      </c>
      <c r="J1294">
        <v>0.14180000000000001</v>
      </c>
      <c r="K1294">
        <v>0.67830000000000001</v>
      </c>
      <c r="L1294">
        <v>0.18</v>
      </c>
      <c r="M1294">
        <v>1.03</v>
      </c>
      <c r="N1294">
        <v>2.44</v>
      </c>
      <c r="O1294">
        <v>25.8</v>
      </c>
      <c r="P1294">
        <v>82.2</v>
      </c>
      <c r="Q1294">
        <v>0</v>
      </c>
      <c r="R1294">
        <v>3</v>
      </c>
      <c r="S1294">
        <v>0.17</v>
      </c>
      <c r="T1294">
        <v>2.95</v>
      </c>
      <c r="U1294">
        <v>0.23</v>
      </c>
      <c r="V1294">
        <v>2.5499999999999998</v>
      </c>
      <c r="W1294">
        <v>0</v>
      </c>
      <c r="X1294">
        <v>3.15</v>
      </c>
    </row>
    <row r="1295" spans="1:24" x14ac:dyDescent="0.35">
      <c r="A1295" t="str">
        <f t="shared" si="2"/>
        <v>Tottenham HotspurBurnley</v>
      </c>
      <c r="B1295">
        <v>2019</v>
      </c>
      <c r="C1295" s="1">
        <v>43806</v>
      </c>
      <c r="D1295">
        <v>2411</v>
      </c>
      <c r="E1295" t="s">
        <v>23</v>
      </c>
      <c r="F1295" t="s">
        <v>29</v>
      </c>
      <c r="G1295" t="s">
        <v>32</v>
      </c>
      <c r="H1295">
        <v>82.7</v>
      </c>
      <c r="I1295">
        <v>70.349999999999994</v>
      </c>
      <c r="J1295">
        <v>0.65269999999999995</v>
      </c>
      <c r="K1295">
        <v>0.1515</v>
      </c>
      <c r="L1295">
        <v>0.19589999999999999</v>
      </c>
      <c r="M1295">
        <v>2.2200000000000002</v>
      </c>
      <c r="N1295">
        <v>0.97</v>
      </c>
      <c r="O1295">
        <v>44.9</v>
      </c>
      <c r="P1295">
        <v>16.600000000000001</v>
      </c>
      <c r="Q1295">
        <v>5</v>
      </c>
      <c r="R1295">
        <v>0</v>
      </c>
      <c r="S1295">
        <v>2.64</v>
      </c>
      <c r="T1295">
        <v>0.96</v>
      </c>
      <c r="U1295">
        <v>0.79</v>
      </c>
      <c r="V1295">
        <v>0.9</v>
      </c>
      <c r="W1295">
        <v>5.16</v>
      </c>
      <c r="X1295">
        <v>0</v>
      </c>
    </row>
    <row r="1296" spans="1:24" x14ac:dyDescent="0.35">
      <c r="A1296" t="str">
        <f t="shared" si="2"/>
        <v>WatfordCrystal Palace</v>
      </c>
      <c r="B1296">
        <v>2019</v>
      </c>
      <c r="C1296" s="1">
        <v>43806</v>
      </c>
      <c r="D1296">
        <v>2411</v>
      </c>
      <c r="E1296" t="s">
        <v>23</v>
      </c>
      <c r="F1296" t="s">
        <v>35</v>
      </c>
      <c r="G1296" t="s">
        <v>30</v>
      </c>
      <c r="H1296">
        <v>65.510000000000005</v>
      </c>
      <c r="I1296">
        <v>70.64</v>
      </c>
      <c r="J1296">
        <v>0.4274</v>
      </c>
      <c r="K1296">
        <v>0.29980000000000001</v>
      </c>
      <c r="L1296">
        <v>0.27279999999999999</v>
      </c>
      <c r="M1296">
        <v>1.39</v>
      </c>
      <c r="N1296">
        <v>1.1200000000000001</v>
      </c>
      <c r="O1296">
        <v>44.3</v>
      </c>
      <c r="P1296">
        <v>13.6</v>
      </c>
      <c r="Q1296">
        <v>0</v>
      </c>
      <c r="R1296">
        <v>0</v>
      </c>
      <c r="S1296">
        <v>1.71</v>
      </c>
      <c r="T1296">
        <v>0.19</v>
      </c>
      <c r="U1296">
        <v>1.39</v>
      </c>
      <c r="V1296">
        <v>0.46</v>
      </c>
      <c r="W1296">
        <v>0</v>
      </c>
      <c r="X1296">
        <v>0</v>
      </c>
    </row>
    <row r="1297" spans="1:24" x14ac:dyDescent="0.35">
      <c r="A1297" t="str">
        <f t="shared" si="2"/>
        <v>Manchester CityManchester United</v>
      </c>
      <c r="B1297">
        <v>2019</v>
      </c>
      <c r="C1297" s="1">
        <v>43806</v>
      </c>
      <c r="D1297">
        <v>2411</v>
      </c>
      <c r="E1297" t="s">
        <v>23</v>
      </c>
      <c r="F1297" t="s">
        <v>36</v>
      </c>
      <c r="G1297" t="s">
        <v>39</v>
      </c>
      <c r="H1297">
        <v>95.01</v>
      </c>
      <c r="I1297">
        <v>80.08</v>
      </c>
      <c r="J1297">
        <v>0.79259999999999997</v>
      </c>
      <c r="K1297">
        <v>6.93E-2</v>
      </c>
      <c r="L1297">
        <v>0.1381</v>
      </c>
      <c r="M1297">
        <v>2.66</v>
      </c>
      <c r="N1297">
        <v>0.67</v>
      </c>
      <c r="O1297">
        <v>49.1</v>
      </c>
      <c r="P1297">
        <v>33</v>
      </c>
      <c r="Q1297">
        <v>1</v>
      </c>
      <c r="R1297">
        <v>2</v>
      </c>
      <c r="S1297">
        <v>2.37</v>
      </c>
      <c r="T1297">
        <v>1.53</v>
      </c>
      <c r="U1297">
        <v>4.2</v>
      </c>
      <c r="V1297">
        <v>1.02</v>
      </c>
      <c r="W1297">
        <v>1.05</v>
      </c>
      <c r="X1297">
        <v>2.1</v>
      </c>
    </row>
    <row r="1298" spans="1:24" x14ac:dyDescent="0.35">
      <c r="A1298" t="str">
        <f t="shared" si="2"/>
        <v>Norwich CitySheffield United</v>
      </c>
      <c r="B1298">
        <v>2019</v>
      </c>
      <c r="C1298" s="1">
        <v>43807</v>
      </c>
      <c r="D1298">
        <v>2411</v>
      </c>
      <c r="E1298" t="s">
        <v>23</v>
      </c>
      <c r="F1298" t="s">
        <v>50</v>
      </c>
      <c r="G1298" t="s">
        <v>51</v>
      </c>
      <c r="H1298">
        <v>58.67</v>
      </c>
      <c r="I1298">
        <v>69.040000000000006</v>
      </c>
      <c r="J1298">
        <v>0.3765</v>
      </c>
      <c r="K1298">
        <v>0.35339999999999999</v>
      </c>
      <c r="L1298">
        <v>0.27010000000000001</v>
      </c>
      <c r="M1298">
        <v>1.33</v>
      </c>
      <c r="N1298">
        <v>1.28</v>
      </c>
      <c r="O1298">
        <v>45.9</v>
      </c>
      <c r="P1298">
        <v>25</v>
      </c>
      <c r="Q1298">
        <v>1</v>
      </c>
      <c r="R1298">
        <v>2</v>
      </c>
      <c r="S1298">
        <v>0.64</v>
      </c>
      <c r="T1298">
        <v>0.75</v>
      </c>
      <c r="U1298">
        <v>1.17</v>
      </c>
      <c r="V1298">
        <v>1.1399999999999999</v>
      </c>
      <c r="W1298">
        <v>1.05</v>
      </c>
      <c r="X1298">
        <v>2.1</v>
      </c>
    </row>
    <row r="1299" spans="1:24" x14ac:dyDescent="0.35">
      <c r="A1299" t="str">
        <f t="shared" si="2"/>
        <v>NewcastleSouthampton</v>
      </c>
      <c r="B1299">
        <v>2019</v>
      </c>
      <c r="C1299" s="1">
        <v>43807</v>
      </c>
      <c r="D1299">
        <v>2411</v>
      </c>
      <c r="E1299" t="s">
        <v>23</v>
      </c>
      <c r="F1299" t="s">
        <v>46</v>
      </c>
      <c r="G1299" t="s">
        <v>34</v>
      </c>
      <c r="H1299">
        <v>64.739999999999995</v>
      </c>
      <c r="I1299">
        <v>66.400000000000006</v>
      </c>
      <c r="J1299">
        <v>0.41149999999999998</v>
      </c>
      <c r="K1299">
        <v>0.32419999999999999</v>
      </c>
      <c r="L1299">
        <v>0.26429999999999998</v>
      </c>
      <c r="M1299">
        <v>1.44</v>
      </c>
      <c r="N1299">
        <v>1.25</v>
      </c>
      <c r="O1299">
        <v>33.4</v>
      </c>
      <c r="P1299">
        <v>40.200000000000003</v>
      </c>
      <c r="Q1299">
        <v>2</v>
      </c>
      <c r="R1299">
        <v>1</v>
      </c>
      <c r="S1299">
        <v>1.1499999999999999</v>
      </c>
      <c r="T1299">
        <v>1.85</v>
      </c>
      <c r="U1299">
        <v>1</v>
      </c>
      <c r="V1299">
        <v>1.28</v>
      </c>
      <c r="W1299">
        <v>2.1</v>
      </c>
      <c r="X1299">
        <v>1.05</v>
      </c>
    </row>
    <row r="1300" spans="1:24" x14ac:dyDescent="0.35">
      <c r="A1300" t="str">
        <f t="shared" si="2"/>
        <v>Aston VillaLeicester City</v>
      </c>
      <c r="B1300">
        <v>2019</v>
      </c>
      <c r="C1300" s="1">
        <v>43807</v>
      </c>
      <c r="D1300">
        <v>2411</v>
      </c>
      <c r="E1300" t="s">
        <v>23</v>
      </c>
      <c r="F1300" t="s">
        <v>52</v>
      </c>
      <c r="G1300" t="s">
        <v>25</v>
      </c>
      <c r="H1300">
        <v>67.47</v>
      </c>
      <c r="I1300">
        <v>84.07</v>
      </c>
      <c r="J1300">
        <v>0.25530000000000003</v>
      </c>
      <c r="K1300">
        <v>0.49959999999999999</v>
      </c>
      <c r="L1300">
        <v>0.24510000000000001</v>
      </c>
      <c r="M1300">
        <v>1.1599999999999999</v>
      </c>
      <c r="N1300">
        <v>1.71</v>
      </c>
      <c r="O1300">
        <v>31.5</v>
      </c>
      <c r="P1300">
        <v>46.1</v>
      </c>
      <c r="Q1300">
        <v>1</v>
      </c>
      <c r="R1300">
        <v>4</v>
      </c>
      <c r="S1300">
        <v>1.28</v>
      </c>
      <c r="T1300">
        <v>3.6</v>
      </c>
      <c r="U1300">
        <v>2.54</v>
      </c>
      <c r="V1300">
        <v>2.73</v>
      </c>
      <c r="W1300">
        <v>1.05</v>
      </c>
      <c r="X1300">
        <v>4.07</v>
      </c>
    </row>
    <row r="1301" spans="1:24" x14ac:dyDescent="0.35">
      <c r="A1301" t="str">
        <f t="shared" si="2"/>
        <v>Brighton and Hove AlbionWolverhampton</v>
      </c>
      <c r="B1301">
        <v>2019</v>
      </c>
      <c r="C1301" s="1">
        <v>43807</v>
      </c>
      <c r="D1301">
        <v>2411</v>
      </c>
      <c r="E1301" t="s">
        <v>23</v>
      </c>
      <c r="F1301" t="s">
        <v>45</v>
      </c>
      <c r="G1301" t="s">
        <v>49</v>
      </c>
      <c r="H1301">
        <v>69.41</v>
      </c>
      <c r="I1301">
        <v>74.739999999999995</v>
      </c>
      <c r="J1301">
        <v>0.4037</v>
      </c>
      <c r="K1301">
        <v>0.31809999999999999</v>
      </c>
      <c r="L1301">
        <v>0.2782</v>
      </c>
      <c r="M1301">
        <v>1.32</v>
      </c>
      <c r="N1301">
        <v>1.1399999999999999</v>
      </c>
      <c r="O1301">
        <v>20.8</v>
      </c>
      <c r="P1301">
        <v>13.5</v>
      </c>
      <c r="Q1301">
        <v>2</v>
      </c>
      <c r="R1301">
        <v>2</v>
      </c>
      <c r="S1301">
        <v>1.04</v>
      </c>
      <c r="T1301">
        <v>2.0099999999999998</v>
      </c>
      <c r="U1301">
        <v>1.25</v>
      </c>
      <c r="V1301">
        <v>1.33</v>
      </c>
      <c r="W1301">
        <v>2.1</v>
      </c>
      <c r="X1301">
        <v>2.1</v>
      </c>
    </row>
    <row r="1302" spans="1:24" x14ac:dyDescent="0.35">
      <c r="A1302" t="str">
        <f t="shared" si="2"/>
        <v>West Ham UnitedArsenal</v>
      </c>
      <c r="B1302">
        <v>2019</v>
      </c>
      <c r="C1302" s="1">
        <v>43808</v>
      </c>
      <c r="D1302">
        <v>2411</v>
      </c>
      <c r="E1302" t="s">
        <v>23</v>
      </c>
      <c r="F1302" t="s">
        <v>43</v>
      </c>
      <c r="G1302" t="s">
        <v>40</v>
      </c>
      <c r="H1302">
        <v>65.849999999999994</v>
      </c>
      <c r="I1302">
        <v>74.5</v>
      </c>
      <c r="J1302">
        <v>0.372</v>
      </c>
      <c r="K1302">
        <v>0.3926</v>
      </c>
      <c r="L1302">
        <v>0.2354</v>
      </c>
      <c r="M1302">
        <v>1.64</v>
      </c>
      <c r="N1302">
        <v>1.69</v>
      </c>
      <c r="O1302">
        <v>38.1</v>
      </c>
      <c r="P1302">
        <v>10.8</v>
      </c>
      <c r="Q1302">
        <v>1</v>
      </c>
      <c r="R1302">
        <v>3</v>
      </c>
      <c r="S1302">
        <v>0.64</v>
      </c>
      <c r="T1302">
        <v>1.77</v>
      </c>
      <c r="U1302">
        <v>0.98</v>
      </c>
      <c r="V1302">
        <v>1.21</v>
      </c>
      <c r="W1302">
        <v>1.05</v>
      </c>
      <c r="X1302">
        <v>3.15</v>
      </c>
    </row>
    <row r="1303" spans="1:24" x14ac:dyDescent="0.35">
      <c r="A1303" t="str">
        <f t="shared" si="2"/>
        <v>LiverpoolWatford</v>
      </c>
      <c r="B1303">
        <v>2019</v>
      </c>
      <c r="C1303" s="1">
        <v>43813</v>
      </c>
      <c r="D1303">
        <v>2411</v>
      </c>
      <c r="E1303" t="s">
        <v>23</v>
      </c>
      <c r="F1303" t="s">
        <v>41</v>
      </c>
      <c r="G1303" t="s">
        <v>35</v>
      </c>
      <c r="H1303">
        <v>92.96</v>
      </c>
      <c r="I1303">
        <v>66.52</v>
      </c>
      <c r="J1303">
        <v>0.85340000000000005</v>
      </c>
      <c r="K1303">
        <v>3.85E-2</v>
      </c>
      <c r="L1303">
        <v>0.1081</v>
      </c>
      <c r="M1303">
        <v>2.83</v>
      </c>
      <c r="N1303">
        <v>0.47</v>
      </c>
      <c r="O1303">
        <v>51.7</v>
      </c>
      <c r="P1303">
        <v>52.8</v>
      </c>
      <c r="Q1303">
        <v>2</v>
      </c>
      <c r="R1303">
        <v>0</v>
      </c>
      <c r="S1303">
        <v>1.87</v>
      </c>
      <c r="T1303">
        <v>1.18</v>
      </c>
      <c r="U1303">
        <v>1.45</v>
      </c>
      <c r="V1303">
        <v>0.89</v>
      </c>
      <c r="W1303">
        <v>1.59</v>
      </c>
      <c r="X1303">
        <v>0</v>
      </c>
    </row>
    <row r="1304" spans="1:24" x14ac:dyDescent="0.35">
      <c r="A1304" t="str">
        <f t="shared" si="2"/>
        <v>BurnleyNewcastle</v>
      </c>
      <c r="B1304">
        <v>2019</v>
      </c>
      <c r="C1304" s="1">
        <v>43813</v>
      </c>
      <c r="D1304">
        <v>2411</v>
      </c>
      <c r="E1304" t="s">
        <v>23</v>
      </c>
      <c r="F1304" t="s">
        <v>32</v>
      </c>
      <c r="G1304" t="s">
        <v>46</v>
      </c>
      <c r="H1304">
        <v>69.3</v>
      </c>
      <c r="I1304">
        <v>64.5</v>
      </c>
      <c r="J1304">
        <v>0.51759999999999995</v>
      </c>
      <c r="K1304">
        <v>0.22550000000000001</v>
      </c>
      <c r="L1304">
        <v>0.25690000000000002</v>
      </c>
      <c r="M1304">
        <v>1.6</v>
      </c>
      <c r="N1304">
        <v>0.96</v>
      </c>
      <c r="O1304">
        <v>29.1</v>
      </c>
      <c r="P1304">
        <v>20</v>
      </c>
      <c r="Q1304">
        <v>1</v>
      </c>
      <c r="R1304">
        <v>0</v>
      </c>
      <c r="S1304">
        <v>1.37</v>
      </c>
      <c r="T1304">
        <v>1.39</v>
      </c>
      <c r="U1304">
        <v>1.1000000000000001</v>
      </c>
      <c r="V1304">
        <v>0.77</v>
      </c>
      <c r="W1304">
        <v>1.05</v>
      </c>
      <c r="X1304">
        <v>0</v>
      </c>
    </row>
    <row r="1305" spans="1:24" x14ac:dyDescent="0.35">
      <c r="A1305" t="str">
        <f t="shared" si="2"/>
        <v>Leicester CityNorwich City</v>
      </c>
      <c r="B1305">
        <v>2019</v>
      </c>
      <c r="C1305" s="1">
        <v>43813</v>
      </c>
      <c r="D1305">
        <v>2411</v>
      </c>
      <c r="E1305" t="s">
        <v>23</v>
      </c>
      <c r="F1305" t="s">
        <v>25</v>
      </c>
      <c r="G1305" t="s">
        <v>50</v>
      </c>
      <c r="H1305">
        <v>84.51</v>
      </c>
      <c r="I1305">
        <v>58.31</v>
      </c>
      <c r="J1305">
        <v>0.79359999999999997</v>
      </c>
      <c r="K1305">
        <v>6.25E-2</v>
      </c>
      <c r="L1305">
        <v>0.14399999999999999</v>
      </c>
      <c r="M1305">
        <v>2.4900000000000002</v>
      </c>
      <c r="N1305">
        <v>0.55000000000000004</v>
      </c>
      <c r="O1305">
        <v>49.5</v>
      </c>
      <c r="P1305">
        <v>42.4</v>
      </c>
      <c r="Q1305">
        <v>1</v>
      </c>
      <c r="R1305">
        <v>1</v>
      </c>
      <c r="S1305">
        <v>1.1299999999999999</v>
      </c>
      <c r="T1305">
        <v>1.07</v>
      </c>
      <c r="U1305">
        <v>1.96</v>
      </c>
      <c r="V1305">
        <v>1.07</v>
      </c>
      <c r="W1305">
        <v>1.05</v>
      </c>
      <c r="X1305">
        <v>1.05</v>
      </c>
    </row>
    <row r="1306" spans="1:24" x14ac:dyDescent="0.35">
      <c r="A1306" t="str">
        <f t="shared" si="2"/>
        <v>ChelseaAFC Bournemouth</v>
      </c>
      <c r="B1306">
        <v>2019</v>
      </c>
      <c r="C1306" s="1">
        <v>43813</v>
      </c>
      <c r="D1306">
        <v>2411</v>
      </c>
      <c r="E1306" t="s">
        <v>23</v>
      </c>
      <c r="F1306" t="s">
        <v>42</v>
      </c>
      <c r="G1306" t="s">
        <v>38</v>
      </c>
      <c r="H1306">
        <v>85.86</v>
      </c>
      <c r="I1306">
        <v>67.86</v>
      </c>
      <c r="J1306">
        <v>0.74099999999999999</v>
      </c>
      <c r="K1306">
        <v>9.7900000000000001E-2</v>
      </c>
      <c r="L1306">
        <v>0.161</v>
      </c>
      <c r="M1306">
        <v>2.5099999999999998</v>
      </c>
      <c r="N1306">
        <v>0.8</v>
      </c>
      <c r="O1306">
        <v>67.599999999999994</v>
      </c>
      <c r="P1306">
        <v>28.3</v>
      </c>
      <c r="Q1306">
        <v>0</v>
      </c>
      <c r="R1306">
        <v>1</v>
      </c>
      <c r="S1306">
        <v>2.1800000000000002</v>
      </c>
      <c r="T1306">
        <v>1.32</v>
      </c>
      <c r="U1306">
        <v>1.83</v>
      </c>
      <c r="V1306">
        <v>0.81</v>
      </c>
      <c r="W1306">
        <v>0</v>
      </c>
      <c r="X1306">
        <v>1.05</v>
      </c>
    </row>
    <row r="1307" spans="1:24" x14ac:dyDescent="0.35">
      <c r="A1307" t="str">
        <f t="shared" si="2"/>
        <v>Sheffield UnitedAston Villa</v>
      </c>
      <c r="B1307">
        <v>2019</v>
      </c>
      <c r="C1307" s="1">
        <v>43813</v>
      </c>
      <c r="D1307">
        <v>2411</v>
      </c>
      <c r="E1307" t="s">
        <v>23</v>
      </c>
      <c r="F1307" t="s">
        <v>51</v>
      </c>
      <c r="G1307" t="s">
        <v>52</v>
      </c>
      <c r="H1307">
        <v>69.540000000000006</v>
      </c>
      <c r="I1307">
        <v>66.09</v>
      </c>
      <c r="J1307">
        <v>0.44829999999999998</v>
      </c>
      <c r="K1307">
        <v>0.29120000000000001</v>
      </c>
      <c r="L1307">
        <v>0.26050000000000001</v>
      </c>
      <c r="M1307">
        <v>1.52</v>
      </c>
      <c r="N1307">
        <v>1.18</v>
      </c>
      <c r="O1307">
        <v>17.7</v>
      </c>
      <c r="P1307">
        <v>38.4</v>
      </c>
      <c r="Q1307">
        <v>2</v>
      </c>
      <c r="R1307">
        <v>0</v>
      </c>
      <c r="S1307">
        <v>1.98</v>
      </c>
      <c r="T1307">
        <v>1.07</v>
      </c>
      <c r="U1307">
        <v>1.5</v>
      </c>
      <c r="V1307">
        <v>0.8</v>
      </c>
      <c r="W1307">
        <v>2.04</v>
      </c>
      <c r="X1307">
        <v>0</v>
      </c>
    </row>
    <row r="1308" spans="1:24" x14ac:dyDescent="0.35">
      <c r="A1308" t="str">
        <f t="shared" si="2"/>
        <v>SouthamptonWest Ham United</v>
      </c>
      <c r="B1308">
        <v>2019</v>
      </c>
      <c r="C1308" s="1">
        <v>43813</v>
      </c>
      <c r="D1308">
        <v>2411</v>
      </c>
      <c r="E1308" t="s">
        <v>23</v>
      </c>
      <c r="F1308" t="s">
        <v>34</v>
      </c>
      <c r="G1308" t="s">
        <v>43</v>
      </c>
      <c r="H1308">
        <v>66.58</v>
      </c>
      <c r="I1308">
        <v>64.92</v>
      </c>
      <c r="J1308">
        <v>0.4718</v>
      </c>
      <c r="K1308">
        <v>0.28510000000000002</v>
      </c>
      <c r="L1308">
        <v>0.24310000000000001</v>
      </c>
      <c r="M1308">
        <v>1.72</v>
      </c>
      <c r="N1308">
        <v>1.29</v>
      </c>
      <c r="O1308">
        <v>47.6</v>
      </c>
      <c r="P1308">
        <v>49.4</v>
      </c>
      <c r="Q1308">
        <v>0</v>
      </c>
      <c r="R1308">
        <v>1</v>
      </c>
      <c r="S1308">
        <v>0.93</v>
      </c>
      <c r="T1308">
        <v>1.1000000000000001</v>
      </c>
      <c r="U1308">
        <v>1.47</v>
      </c>
      <c r="V1308">
        <v>1.77</v>
      </c>
      <c r="W1308">
        <v>0</v>
      </c>
      <c r="X1308">
        <v>1.05</v>
      </c>
    </row>
    <row r="1309" spans="1:24" x14ac:dyDescent="0.35">
      <c r="A1309" t="str">
        <f t="shared" si="2"/>
        <v>Manchester UnitedEverton</v>
      </c>
      <c r="B1309">
        <v>2019</v>
      </c>
      <c r="C1309" s="1">
        <v>43814</v>
      </c>
      <c r="D1309">
        <v>2411</v>
      </c>
      <c r="E1309" t="s">
        <v>23</v>
      </c>
      <c r="F1309" t="s">
        <v>39</v>
      </c>
      <c r="G1309" t="s">
        <v>28</v>
      </c>
      <c r="H1309">
        <v>81.2</v>
      </c>
      <c r="I1309">
        <v>77.53</v>
      </c>
      <c r="J1309">
        <v>0.52939999999999998</v>
      </c>
      <c r="K1309">
        <v>0.22470000000000001</v>
      </c>
      <c r="L1309">
        <v>0.246</v>
      </c>
      <c r="M1309">
        <v>1.71</v>
      </c>
      <c r="N1309">
        <v>1.02</v>
      </c>
      <c r="O1309">
        <v>43.2</v>
      </c>
      <c r="P1309">
        <v>11.1</v>
      </c>
      <c r="Q1309">
        <v>1</v>
      </c>
      <c r="R1309">
        <v>1</v>
      </c>
      <c r="S1309">
        <v>1.58</v>
      </c>
      <c r="T1309">
        <v>0.31</v>
      </c>
      <c r="U1309">
        <v>1.37</v>
      </c>
      <c r="V1309">
        <v>0.51</v>
      </c>
      <c r="W1309">
        <v>1.05</v>
      </c>
      <c r="X1309">
        <v>1.05</v>
      </c>
    </row>
    <row r="1310" spans="1:24" x14ac:dyDescent="0.35">
      <c r="A1310" t="str">
        <f t="shared" si="2"/>
        <v>WolverhamptonTottenham Hotspur</v>
      </c>
      <c r="B1310">
        <v>2019</v>
      </c>
      <c r="C1310" s="1">
        <v>43814</v>
      </c>
      <c r="D1310">
        <v>2411</v>
      </c>
      <c r="E1310" t="s">
        <v>23</v>
      </c>
      <c r="F1310" t="s">
        <v>49</v>
      </c>
      <c r="G1310" t="s">
        <v>29</v>
      </c>
      <c r="H1310">
        <v>76.17</v>
      </c>
      <c r="I1310">
        <v>83.27</v>
      </c>
      <c r="J1310">
        <v>0.3115</v>
      </c>
      <c r="K1310">
        <v>0.43969999999999998</v>
      </c>
      <c r="L1310">
        <v>0.24879999999999999</v>
      </c>
      <c r="M1310">
        <v>1.33</v>
      </c>
      <c r="N1310">
        <v>1.62</v>
      </c>
      <c r="O1310">
        <v>24.8</v>
      </c>
      <c r="P1310">
        <v>60.4</v>
      </c>
      <c r="Q1310">
        <v>1</v>
      </c>
      <c r="R1310">
        <v>2</v>
      </c>
      <c r="S1310">
        <v>0.8</v>
      </c>
      <c r="T1310">
        <v>0.93</v>
      </c>
      <c r="U1310">
        <v>1.96</v>
      </c>
      <c r="V1310">
        <v>1.51</v>
      </c>
      <c r="W1310">
        <v>1.05</v>
      </c>
      <c r="X1310">
        <v>2.1</v>
      </c>
    </row>
    <row r="1311" spans="1:24" x14ac:dyDescent="0.35">
      <c r="A1311" t="str">
        <f t="shared" si="2"/>
        <v>ArsenalManchester City</v>
      </c>
      <c r="B1311">
        <v>2019</v>
      </c>
      <c r="C1311" s="1">
        <v>43814</v>
      </c>
      <c r="D1311">
        <v>2411</v>
      </c>
      <c r="E1311" t="s">
        <v>23</v>
      </c>
      <c r="F1311" t="s">
        <v>40</v>
      </c>
      <c r="G1311" t="s">
        <v>36</v>
      </c>
      <c r="H1311">
        <v>75.540000000000006</v>
      </c>
      <c r="I1311">
        <v>94.9</v>
      </c>
      <c r="J1311">
        <v>0.15240000000000001</v>
      </c>
      <c r="K1311">
        <v>0.67889999999999995</v>
      </c>
      <c r="L1311">
        <v>0.16869999999999999</v>
      </c>
      <c r="M1311">
        <v>1.25</v>
      </c>
      <c r="N1311">
        <v>2.71</v>
      </c>
      <c r="O1311">
        <v>23</v>
      </c>
      <c r="P1311">
        <v>35</v>
      </c>
      <c r="Q1311">
        <v>0</v>
      </c>
      <c r="R1311">
        <v>3</v>
      </c>
      <c r="S1311">
        <v>0.31</v>
      </c>
      <c r="T1311">
        <v>1.66</v>
      </c>
      <c r="U1311">
        <v>0.36</v>
      </c>
      <c r="V1311">
        <v>1.22</v>
      </c>
      <c r="W1311">
        <v>0</v>
      </c>
      <c r="X1311">
        <v>3.15</v>
      </c>
    </row>
    <row r="1312" spans="1:24" x14ac:dyDescent="0.35">
      <c r="A1312" t="str">
        <f t="shared" si="2"/>
        <v>Crystal PalaceBrighton and Hove Albion</v>
      </c>
      <c r="B1312">
        <v>2019</v>
      </c>
      <c r="C1312" s="1">
        <v>43815</v>
      </c>
      <c r="D1312">
        <v>2411</v>
      </c>
      <c r="E1312" t="s">
        <v>23</v>
      </c>
      <c r="F1312" t="s">
        <v>30</v>
      </c>
      <c r="G1312" t="s">
        <v>45</v>
      </c>
      <c r="H1312">
        <v>70.27</v>
      </c>
      <c r="I1312">
        <v>68.709999999999994</v>
      </c>
      <c r="J1312">
        <v>0.4461</v>
      </c>
      <c r="K1312">
        <v>0.28210000000000002</v>
      </c>
      <c r="L1312">
        <v>0.27179999999999999</v>
      </c>
      <c r="M1312">
        <v>1.42</v>
      </c>
      <c r="N1312">
        <v>1.08</v>
      </c>
      <c r="O1312">
        <v>13.3</v>
      </c>
      <c r="P1312">
        <v>21.1</v>
      </c>
      <c r="Q1312">
        <v>1</v>
      </c>
      <c r="R1312">
        <v>1</v>
      </c>
      <c r="S1312">
        <v>0.65</v>
      </c>
      <c r="T1312">
        <v>2.08</v>
      </c>
      <c r="U1312">
        <v>1.48</v>
      </c>
      <c r="V1312">
        <v>1.63</v>
      </c>
      <c r="W1312">
        <v>1.05</v>
      </c>
      <c r="X1312">
        <v>1.05</v>
      </c>
    </row>
    <row r="1313" spans="1:24" x14ac:dyDescent="0.35">
      <c r="A1313" t="str">
        <f t="shared" si="2"/>
        <v>EvertonArsenal</v>
      </c>
      <c r="B1313">
        <v>2019</v>
      </c>
      <c r="C1313" s="1">
        <v>43820</v>
      </c>
      <c r="D1313">
        <v>2411</v>
      </c>
      <c r="E1313" t="s">
        <v>23</v>
      </c>
      <c r="F1313" t="s">
        <v>28</v>
      </c>
      <c r="G1313" t="s">
        <v>40</v>
      </c>
      <c r="H1313">
        <v>77.48</v>
      </c>
      <c r="I1313">
        <v>74.95</v>
      </c>
      <c r="J1313">
        <v>0.4733</v>
      </c>
      <c r="K1313">
        <v>0.28120000000000001</v>
      </c>
      <c r="L1313">
        <v>0.2455</v>
      </c>
      <c r="M1313">
        <v>1.69</v>
      </c>
      <c r="N1313">
        <v>1.25</v>
      </c>
      <c r="O1313">
        <v>12.7</v>
      </c>
      <c r="P1313">
        <v>13.3</v>
      </c>
      <c r="Q1313">
        <v>0</v>
      </c>
      <c r="R1313">
        <v>0</v>
      </c>
      <c r="S1313">
        <v>0.53</v>
      </c>
      <c r="T1313">
        <v>0.78</v>
      </c>
      <c r="U1313">
        <v>1.29</v>
      </c>
      <c r="V1313">
        <v>0.51</v>
      </c>
      <c r="W1313">
        <v>0</v>
      </c>
      <c r="X1313">
        <v>0</v>
      </c>
    </row>
    <row r="1314" spans="1:24" x14ac:dyDescent="0.35">
      <c r="A1314" t="str">
        <f t="shared" si="2"/>
        <v>NewcastleCrystal Palace</v>
      </c>
      <c r="B1314">
        <v>2019</v>
      </c>
      <c r="C1314" s="1">
        <v>43820</v>
      </c>
      <c r="D1314">
        <v>2411</v>
      </c>
      <c r="E1314" t="s">
        <v>23</v>
      </c>
      <c r="F1314" t="s">
        <v>46</v>
      </c>
      <c r="G1314" t="s">
        <v>30</v>
      </c>
      <c r="H1314">
        <v>64.790000000000006</v>
      </c>
      <c r="I1314">
        <v>69.23</v>
      </c>
      <c r="J1314">
        <v>0.4143</v>
      </c>
      <c r="K1314">
        <v>0.2989</v>
      </c>
      <c r="L1314">
        <v>0.2868</v>
      </c>
      <c r="M1314">
        <v>1.28</v>
      </c>
      <c r="N1314">
        <v>1.04</v>
      </c>
      <c r="O1314">
        <v>28.4</v>
      </c>
      <c r="P1314">
        <v>12.6</v>
      </c>
      <c r="Q1314">
        <v>1</v>
      </c>
      <c r="R1314">
        <v>0</v>
      </c>
      <c r="S1314">
        <v>0.71</v>
      </c>
      <c r="T1314">
        <v>0.96</v>
      </c>
      <c r="U1314">
        <v>0.86</v>
      </c>
      <c r="V1314">
        <v>1.86</v>
      </c>
      <c r="W1314">
        <v>1.05</v>
      </c>
      <c r="X1314">
        <v>0</v>
      </c>
    </row>
    <row r="1315" spans="1:24" x14ac:dyDescent="0.35">
      <c r="A1315" t="str">
        <f t="shared" si="2"/>
        <v>AFC BournemouthBurnley</v>
      </c>
      <c r="B1315">
        <v>2019</v>
      </c>
      <c r="C1315" s="1">
        <v>43820</v>
      </c>
      <c r="D1315">
        <v>2411</v>
      </c>
      <c r="E1315" t="s">
        <v>23</v>
      </c>
      <c r="F1315" t="s">
        <v>38</v>
      </c>
      <c r="G1315" t="s">
        <v>32</v>
      </c>
      <c r="H1315">
        <v>68.97</v>
      </c>
      <c r="I1315">
        <v>69.34</v>
      </c>
      <c r="J1315">
        <v>0.4582</v>
      </c>
      <c r="K1315">
        <v>0.28399999999999997</v>
      </c>
      <c r="L1315">
        <v>0.25790000000000002</v>
      </c>
      <c r="M1315">
        <v>1.56</v>
      </c>
      <c r="N1315">
        <v>1.17</v>
      </c>
      <c r="O1315">
        <v>27.8</v>
      </c>
      <c r="P1315">
        <v>20</v>
      </c>
      <c r="Q1315">
        <v>0</v>
      </c>
      <c r="R1315">
        <v>1</v>
      </c>
      <c r="S1315">
        <v>0.15</v>
      </c>
      <c r="T1315">
        <v>0.21</v>
      </c>
      <c r="U1315">
        <v>0.75</v>
      </c>
      <c r="V1315">
        <v>0.48</v>
      </c>
      <c r="W1315">
        <v>0</v>
      </c>
      <c r="X1315">
        <v>1.05</v>
      </c>
    </row>
    <row r="1316" spans="1:24" x14ac:dyDescent="0.35">
      <c r="A1316" t="str">
        <f t="shared" si="2"/>
        <v>Brighton and Hove AlbionSheffield United</v>
      </c>
      <c r="B1316">
        <v>2019</v>
      </c>
      <c r="C1316" s="1">
        <v>43820</v>
      </c>
      <c r="D1316">
        <v>2411</v>
      </c>
      <c r="E1316" t="s">
        <v>23</v>
      </c>
      <c r="F1316" t="s">
        <v>45</v>
      </c>
      <c r="G1316" t="s">
        <v>51</v>
      </c>
      <c r="H1316">
        <v>69.709999999999994</v>
      </c>
      <c r="I1316">
        <v>70.44</v>
      </c>
      <c r="J1316">
        <v>0.46389999999999998</v>
      </c>
      <c r="K1316">
        <v>0.26640000000000003</v>
      </c>
      <c r="L1316">
        <v>0.2697</v>
      </c>
      <c r="M1316">
        <v>1.46</v>
      </c>
      <c r="N1316">
        <v>1.04</v>
      </c>
      <c r="O1316">
        <v>20.3</v>
      </c>
      <c r="P1316">
        <v>7.8</v>
      </c>
      <c r="Q1316">
        <v>0</v>
      </c>
      <c r="R1316">
        <v>1</v>
      </c>
      <c r="S1316">
        <v>0.52</v>
      </c>
      <c r="T1316">
        <v>1.08</v>
      </c>
      <c r="U1316">
        <v>1.23</v>
      </c>
      <c r="V1316">
        <v>0.63</v>
      </c>
      <c r="W1316">
        <v>0</v>
      </c>
      <c r="X1316">
        <v>1.05</v>
      </c>
    </row>
    <row r="1317" spans="1:24" x14ac:dyDescent="0.35">
      <c r="A1317" t="str">
        <f t="shared" si="2"/>
        <v>Norwich CityWolverhampton</v>
      </c>
      <c r="B1317">
        <v>2019</v>
      </c>
      <c r="C1317" s="1">
        <v>43820</v>
      </c>
      <c r="D1317">
        <v>2411</v>
      </c>
      <c r="E1317" t="s">
        <v>23</v>
      </c>
      <c r="F1317" t="s">
        <v>50</v>
      </c>
      <c r="G1317" t="s">
        <v>49</v>
      </c>
      <c r="H1317">
        <v>59.79</v>
      </c>
      <c r="I1317">
        <v>76.099999999999994</v>
      </c>
      <c r="J1317">
        <v>0.3155</v>
      </c>
      <c r="K1317">
        <v>0.41799999999999998</v>
      </c>
      <c r="L1317">
        <v>0.26650000000000001</v>
      </c>
      <c r="M1317">
        <v>1.21</v>
      </c>
      <c r="N1317">
        <v>1.43</v>
      </c>
      <c r="O1317">
        <v>42.5</v>
      </c>
      <c r="P1317">
        <v>14.1</v>
      </c>
      <c r="Q1317">
        <v>1</v>
      </c>
      <c r="R1317">
        <v>2</v>
      </c>
      <c r="S1317">
        <v>1.1599999999999999</v>
      </c>
      <c r="T1317">
        <v>1.99</v>
      </c>
      <c r="U1317">
        <v>0.84</v>
      </c>
      <c r="V1317">
        <v>1.24</v>
      </c>
      <c r="W1317">
        <v>1.05</v>
      </c>
      <c r="X1317">
        <v>2.1</v>
      </c>
    </row>
    <row r="1318" spans="1:24" x14ac:dyDescent="0.35">
      <c r="A1318" t="str">
        <f t="shared" si="2"/>
        <v>Aston VillaSouthampton</v>
      </c>
      <c r="B1318">
        <v>2019</v>
      </c>
      <c r="C1318" s="1">
        <v>43820</v>
      </c>
      <c r="D1318">
        <v>2411</v>
      </c>
      <c r="E1318" t="s">
        <v>23</v>
      </c>
      <c r="F1318" t="s">
        <v>52</v>
      </c>
      <c r="G1318" t="s">
        <v>34</v>
      </c>
      <c r="H1318">
        <v>65.239999999999995</v>
      </c>
      <c r="I1318">
        <v>65.8</v>
      </c>
      <c r="J1318">
        <v>0.45450000000000002</v>
      </c>
      <c r="K1318">
        <v>0.3014</v>
      </c>
      <c r="L1318">
        <v>0.24399999999999999</v>
      </c>
      <c r="M1318">
        <v>1.69</v>
      </c>
      <c r="N1318">
        <v>1.34</v>
      </c>
      <c r="O1318">
        <v>53.8</v>
      </c>
      <c r="P1318">
        <v>52.9</v>
      </c>
      <c r="Q1318">
        <v>1</v>
      </c>
      <c r="R1318">
        <v>3</v>
      </c>
      <c r="S1318">
        <v>1.27</v>
      </c>
      <c r="T1318">
        <v>2.6</v>
      </c>
      <c r="U1318">
        <v>2.19</v>
      </c>
      <c r="V1318">
        <v>1.1000000000000001</v>
      </c>
      <c r="W1318">
        <v>1.05</v>
      </c>
      <c r="X1318">
        <v>3.15</v>
      </c>
    </row>
    <row r="1319" spans="1:24" x14ac:dyDescent="0.35">
      <c r="A1319" t="str">
        <f t="shared" si="2"/>
        <v>Manchester CityLeicester City</v>
      </c>
      <c r="B1319">
        <v>2019</v>
      </c>
      <c r="C1319" s="1">
        <v>43820</v>
      </c>
      <c r="D1319">
        <v>2411</v>
      </c>
      <c r="E1319" t="s">
        <v>23</v>
      </c>
      <c r="F1319" t="s">
        <v>36</v>
      </c>
      <c r="G1319" t="s">
        <v>25</v>
      </c>
      <c r="H1319">
        <v>95.29</v>
      </c>
      <c r="I1319">
        <v>83.55</v>
      </c>
      <c r="J1319">
        <v>0.75119999999999998</v>
      </c>
      <c r="K1319">
        <v>9.2700000000000005E-2</v>
      </c>
      <c r="L1319">
        <v>0.15620000000000001</v>
      </c>
      <c r="M1319">
        <v>2.5499999999999998</v>
      </c>
      <c r="N1319">
        <v>0.79</v>
      </c>
      <c r="O1319">
        <v>44.9</v>
      </c>
      <c r="P1319">
        <v>34</v>
      </c>
      <c r="Q1319">
        <v>3</v>
      </c>
      <c r="R1319">
        <v>1</v>
      </c>
      <c r="S1319">
        <v>3.62</v>
      </c>
      <c r="T1319">
        <v>1.03</v>
      </c>
      <c r="U1319">
        <v>2.69</v>
      </c>
      <c r="V1319">
        <v>0.45</v>
      </c>
      <c r="W1319">
        <v>3.15</v>
      </c>
      <c r="X1319">
        <v>1.05</v>
      </c>
    </row>
    <row r="1320" spans="1:24" x14ac:dyDescent="0.35">
      <c r="A1320" t="str">
        <f t="shared" si="2"/>
        <v>WatfordManchester United</v>
      </c>
      <c r="B1320">
        <v>2019</v>
      </c>
      <c r="C1320" s="1">
        <v>43821</v>
      </c>
      <c r="D1320">
        <v>2411</v>
      </c>
      <c r="E1320" t="s">
        <v>23</v>
      </c>
      <c r="F1320" t="s">
        <v>35</v>
      </c>
      <c r="G1320" t="s">
        <v>39</v>
      </c>
      <c r="H1320">
        <v>67.569999999999993</v>
      </c>
      <c r="I1320">
        <v>81.47</v>
      </c>
      <c r="J1320">
        <v>0.29559999999999997</v>
      </c>
      <c r="K1320">
        <v>0.43859999999999999</v>
      </c>
      <c r="L1320">
        <v>0.26579999999999998</v>
      </c>
      <c r="M1320">
        <v>1.1499999999999999</v>
      </c>
      <c r="N1320">
        <v>1.46</v>
      </c>
      <c r="O1320">
        <v>46.7</v>
      </c>
      <c r="P1320">
        <v>37.299999999999997</v>
      </c>
      <c r="Q1320">
        <v>2</v>
      </c>
      <c r="R1320">
        <v>0</v>
      </c>
      <c r="S1320">
        <v>1.6</v>
      </c>
      <c r="T1320">
        <v>1.52</v>
      </c>
      <c r="U1320">
        <v>1.47</v>
      </c>
      <c r="V1320">
        <v>1.53</v>
      </c>
      <c r="W1320">
        <v>2.1</v>
      </c>
      <c r="X1320">
        <v>0</v>
      </c>
    </row>
    <row r="1321" spans="1:24" x14ac:dyDescent="0.35">
      <c r="A1321" t="str">
        <f t="shared" si="2"/>
        <v>Tottenham HotspurChelsea</v>
      </c>
      <c r="B1321">
        <v>2019</v>
      </c>
      <c r="C1321" s="1">
        <v>43821</v>
      </c>
      <c r="D1321">
        <v>2411</v>
      </c>
      <c r="E1321" t="s">
        <v>23</v>
      </c>
      <c r="F1321" t="s">
        <v>29</v>
      </c>
      <c r="G1321" t="s">
        <v>42</v>
      </c>
      <c r="H1321">
        <v>83.37</v>
      </c>
      <c r="I1321">
        <v>85.22</v>
      </c>
      <c r="J1321">
        <v>0.42859999999999998</v>
      </c>
      <c r="K1321">
        <v>0.34310000000000002</v>
      </c>
      <c r="L1321">
        <v>0.2283</v>
      </c>
      <c r="M1321">
        <v>1.85</v>
      </c>
      <c r="N1321">
        <v>1.64</v>
      </c>
      <c r="O1321">
        <v>84.7</v>
      </c>
      <c r="P1321">
        <v>89.1</v>
      </c>
      <c r="Q1321">
        <v>0</v>
      </c>
      <c r="R1321">
        <v>2</v>
      </c>
      <c r="S1321">
        <v>0.42</v>
      </c>
      <c r="T1321">
        <v>1.35</v>
      </c>
      <c r="U1321">
        <v>0.71</v>
      </c>
      <c r="V1321">
        <v>1.3</v>
      </c>
      <c r="W1321">
        <v>0</v>
      </c>
      <c r="X1321">
        <v>2.1</v>
      </c>
    </row>
    <row r="1322" spans="1:24" x14ac:dyDescent="0.35">
      <c r="A1322" t="str">
        <f t="shared" si="2"/>
        <v>Tottenham HotspurBrighton and Hove Albion</v>
      </c>
      <c r="B1322">
        <v>2019</v>
      </c>
      <c r="C1322" s="1">
        <v>43825</v>
      </c>
      <c r="D1322">
        <v>2411</v>
      </c>
      <c r="E1322" t="s">
        <v>23</v>
      </c>
      <c r="F1322" t="s">
        <v>29</v>
      </c>
      <c r="G1322" t="s">
        <v>45</v>
      </c>
      <c r="H1322">
        <v>82.47</v>
      </c>
      <c r="I1322">
        <v>69.12</v>
      </c>
      <c r="J1322">
        <v>0.65549999999999997</v>
      </c>
      <c r="K1322">
        <v>0.14599999999999999</v>
      </c>
      <c r="L1322">
        <v>0.19850000000000001</v>
      </c>
      <c r="M1322">
        <v>2.17</v>
      </c>
      <c r="N1322">
        <v>0.92</v>
      </c>
      <c r="O1322">
        <v>46.3</v>
      </c>
      <c r="P1322">
        <v>23.1</v>
      </c>
      <c r="Q1322">
        <v>2</v>
      </c>
      <c r="R1322">
        <v>1</v>
      </c>
      <c r="S1322">
        <v>1.2</v>
      </c>
      <c r="T1322">
        <v>1.26</v>
      </c>
      <c r="U1322">
        <v>1.18</v>
      </c>
      <c r="V1322">
        <v>0.9</v>
      </c>
      <c r="W1322">
        <v>2.1</v>
      </c>
      <c r="X1322">
        <v>1.05</v>
      </c>
    </row>
    <row r="1323" spans="1:24" x14ac:dyDescent="0.35">
      <c r="A1323" t="str">
        <f t="shared" si="2"/>
        <v>AFC BournemouthArsenal</v>
      </c>
      <c r="B1323">
        <v>2019</v>
      </c>
      <c r="C1323" s="1">
        <v>43825</v>
      </c>
      <c r="D1323">
        <v>2411</v>
      </c>
      <c r="E1323" t="s">
        <v>23</v>
      </c>
      <c r="F1323" t="s">
        <v>38</v>
      </c>
      <c r="G1323" t="s">
        <v>40</v>
      </c>
      <c r="H1323">
        <v>68.680000000000007</v>
      </c>
      <c r="I1323">
        <v>75.459999999999994</v>
      </c>
      <c r="J1323">
        <v>0.38550000000000001</v>
      </c>
      <c r="K1323">
        <v>0.35799999999999998</v>
      </c>
      <c r="L1323">
        <v>0.25650000000000001</v>
      </c>
      <c r="M1323">
        <v>1.46</v>
      </c>
      <c r="N1323">
        <v>1.4</v>
      </c>
      <c r="O1323">
        <v>30.9</v>
      </c>
      <c r="P1323">
        <v>8.6999999999999993</v>
      </c>
      <c r="Q1323">
        <v>1</v>
      </c>
      <c r="R1323">
        <v>1</v>
      </c>
      <c r="S1323">
        <v>1.48</v>
      </c>
      <c r="T1323">
        <v>1.73</v>
      </c>
      <c r="U1323">
        <v>1.04</v>
      </c>
      <c r="V1323">
        <v>2.1800000000000002</v>
      </c>
      <c r="W1323">
        <v>1.05</v>
      </c>
      <c r="X1323">
        <v>1.05</v>
      </c>
    </row>
    <row r="1324" spans="1:24" x14ac:dyDescent="0.35">
      <c r="A1324" t="str">
        <f t="shared" si="2"/>
        <v>Aston VillaNorwich City</v>
      </c>
      <c r="B1324">
        <v>2019</v>
      </c>
      <c r="C1324" s="1">
        <v>43825</v>
      </c>
      <c r="D1324">
        <v>2411</v>
      </c>
      <c r="E1324" t="s">
        <v>23</v>
      </c>
      <c r="F1324" t="s">
        <v>52</v>
      </c>
      <c r="G1324" t="s">
        <v>50</v>
      </c>
      <c r="H1324">
        <v>63.9</v>
      </c>
      <c r="I1324">
        <v>59.27</v>
      </c>
      <c r="J1324">
        <v>0.52539999999999998</v>
      </c>
      <c r="K1324">
        <v>0.2407</v>
      </c>
      <c r="L1324">
        <v>0.2339</v>
      </c>
      <c r="M1324">
        <v>1.85</v>
      </c>
      <c r="N1324">
        <v>1.18</v>
      </c>
      <c r="O1324">
        <v>52.2</v>
      </c>
      <c r="P1324">
        <v>38.200000000000003</v>
      </c>
      <c r="Q1324">
        <v>1</v>
      </c>
      <c r="R1324">
        <v>0</v>
      </c>
      <c r="S1324">
        <v>0.73</v>
      </c>
      <c r="T1324">
        <v>1.53</v>
      </c>
      <c r="U1324">
        <v>1.3</v>
      </c>
      <c r="V1324">
        <v>1.73</v>
      </c>
      <c r="W1324">
        <v>1.05</v>
      </c>
      <c r="X1324">
        <v>0</v>
      </c>
    </row>
    <row r="1325" spans="1:24" x14ac:dyDescent="0.35">
      <c r="A1325" t="str">
        <f t="shared" si="2"/>
        <v>ChelseaSouthampton</v>
      </c>
      <c r="B1325">
        <v>2019</v>
      </c>
      <c r="C1325" s="1">
        <v>43825</v>
      </c>
      <c r="D1325">
        <v>2411</v>
      </c>
      <c r="E1325" t="s">
        <v>23</v>
      </c>
      <c r="F1325" t="s">
        <v>42</v>
      </c>
      <c r="G1325" t="s">
        <v>34</v>
      </c>
      <c r="H1325">
        <v>86.28</v>
      </c>
      <c r="I1325">
        <v>66.8</v>
      </c>
      <c r="J1325">
        <v>0.75900000000000001</v>
      </c>
      <c r="K1325">
        <v>8.6999999999999994E-2</v>
      </c>
      <c r="L1325">
        <v>0.154</v>
      </c>
      <c r="M1325">
        <v>2.54</v>
      </c>
      <c r="N1325">
        <v>0.74</v>
      </c>
      <c r="O1325">
        <v>60.8</v>
      </c>
      <c r="P1325">
        <v>37.799999999999997</v>
      </c>
      <c r="Q1325">
        <v>0</v>
      </c>
      <c r="R1325">
        <v>2</v>
      </c>
      <c r="S1325">
        <v>0.91</v>
      </c>
      <c r="T1325">
        <v>0.96</v>
      </c>
      <c r="U1325">
        <v>1.98</v>
      </c>
      <c r="V1325">
        <v>0.32</v>
      </c>
      <c r="W1325">
        <v>0</v>
      </c>
      <c r="X1325">
        <v>2.0299999999999998</v>
      </c>
    </row>
    <row r="1326" spans="1:24" x14ac:dyDescent="0.35">
      <c r="A1326" t="str">
        <f t="shared" si="2"/>
        <v>Sheffield UnitedWatford</v>
      </c>
      <c r="B1326">
        <v>2019</v>
      </c>
      <c r="C1326" s="1">
        <v>43825</v>
      </c>
      <c r="D1326">
        <v>2411</v>
      </c>
      <c r="E1326" t="s">
        <v>23</v>
      </c>
      <c r="F1326" t="s">
        <v>51</v>
      </c>
      <c r="G1326" t="s">
        <v>35</v>
      </c>
      <c r="H1326">
        <v>71.45</v>
      </c>
      <c r="I1326">
        <v>68.73</v>
      </c>
      <c r="J1326">
        <v>0.42680000000000001</v>
      </c>
      <c r="K1326">
        <v>0.28799999999999998</v>
      </c>
      <c r="L1326">
        <v>0.28520000000000001</v>
      </c>
      <c r="M1326">
        <v>1.31</v>
      </c>
      <c r="N1326">
        <v>1.02</v>
      </c>
      <c r="O1326">
        <v>8.6</v>
      </c>
      <c r="P1326">
        <v>49.1</v>
      </c>
      <c r="Q1326">
        <v>1</v>
      </c>
      <c r="R1326">
        <v>1</v>
      </c>
      <c r="S1326">
        <v>2.38</v>
      </c>
      <c r="T1326">
        <v>0.51</v>
      </c>
      <c r="U1326">
        <v>1.43</v>
      </c>
      <c r="V1326">
        <v>0.73</v>
      </c>
      <c r="W1326">
        <v>1.05</v>
      </c>
      <c r="X1326">
        <v>1.05</v>
      </c>
    </row>
    <row r="1327" spans="1:24" x14ac:dyDescent="0.35">
      <c r="A1327" t="str">
        <f t="shared" si="2"/>
        <v>Crystal PalaceWest Ham United</v>
      </c>
      <c r="B1327">
        <v>2019</v>
      </c>
      <c r="C1327" s="1">
        <v>43825</v>
      </c>
      <c r="D1327">
        <v>2411</v>
      </c>
      <c r="E1327" t="s">
        <v>23</v>
      </c>
      <c r="F1327" t="s">
        <v>30</v>
      </c>
      <c r="G1327" t="s">
        <v>43</v>
      </c>
      <c r="H1327">
        <v>69.680000000000007</v>
      </c>
      <c r="I1327">
        <v>66.099999999999994</v>
      </c>
      <c r="J1327">
        <v>0.4536</v>
      </c>
      <c r="K1327">
        <v>0.27889999999999998</v>
      </c>
      <c r="L1327">
        <v>0.26750000000000002</v>
      </c>
      <c r="M1327">
        <v>1.47</v>
      </c>
      <c r="N1327">
        <v>1.0900000000000001</v>
      </c>
      <c r="O1327">
        <v>19.100000000000001</v>
      </c>
      <c r="P1327">
        <v>37.6</v>
      </c>
      <c r="Q1327">
        <v>2</v>
      </c>
      <c r="R1327">
        <v>1</v>
      </c>
      <c r="S1327">
        <v>2.4700000000000002</v>
      </c>
      <c r="T1327">
        <v>0.91</v>
      </c>
      <c r="U1327">
        <v>2.44</v>
      </c>
      <c r="V1327">
        <v>1.62</v>
      </c>
      <c r="W1327">
        <v>2.1</v>
      </c>
      <c r="X1327">
        <v>1.05</v>
      </c>
    </row>
    <row r="1328" spans="1:24" x14ac:dyDescent="0.35">
      <c r="A1328" t="str">
        <f t="shared" si="2"/>
        <v>EvertonBurnley</v>
      </c>
      <c r="B1328">
        <v>2019</v>
      </c>
      <c r="C1328" s="1">
        <v>43825</v>
      </c>
      <c r="D1328">
        <v>2411</v>
      </c>
      <c r="E1328" t="s">
        <v>23</v>
      </c>
      <c r="F1328" t="s">
        <v>28</v>
      </c>
      <c r="G1328" t="s">
        <v>32</v>
      </c>
      <c r="H1328">
        <v>77.569999999999993</v>
      </c>
      <c r="I1328">
        <v>70.430000000000007</v>
      </c>
      <c r="J1328">
        <v>0.53680000000000005</v>
      </c>
      <c r="K1328">
        <v>0.20630000000000001</v>
      </c>
      <c r="L1328">
        <v>0.25690000000000002</v>
      </c>
      <c r="M1328">
        <v>1.6</v>
      </c>
      <c r="N1328">
        <v>0.89</v>
      </c>
      <c r="O1328">
        <v>15.9</v>
      </c>
      <c r="P1328">
        <v>10.9</v>
      </c>
      <c r="Q1328">
        <v>1</v>
      </c>
      <c r="R1328">
        <v>0</v>
      </c>
      <c r="S1328">
        <v>1.52</v>
      </c>
      <c r="T1328">
        <v>0.66</v>
      </c>
      <c r="U1328">
        <v>1.34</v>
      </c>
      <c r="V1328">
        <v>0.79</v>
      </c>
      <c r="W1328">
        <v>1.05</v>
      </c>
      <c r="X1328">
        <v>0</v>
      </c>
    </row>
    <row r="1329" spans="1:24" x14ac:dyDescent="0.35">
      <c r="A1329" t="str">
        <f t="shared" si="2"/>
        <v>Manchester UnitedNewcastle</v>
      </c>
      <c r="B1329">
        <v>2019</v>
      </c>
      <c r="C1329" s="1">
        <v>43825</v>
      </c>
      <c r="D1329">
        <v>2411</v>
      </c>
      <c r="E1329" t="s">
        <v>23</v>
      </c>
      <c r="F1329" t="s">
        <v>39</v>
      </c>
      <c r="G1329" t="s">
        <v>46</v>
      </c>
      <c r="H1329">
        <v>80.44</v>
      </c>
      <c r="I1329">
        <v>64.599999999999994</v>
      </c>
      <c r="J1329">
        <v>0.65169999999999995</v>
      </c>
      <c r="K1329">
        <v>0.1288</v>
      </c>
      <c r="L1329">
        <v>0.2195</v>
      </c>
      <c r="M1329">
        <v>1.87</v>
      </c>
      <c r="N1329">
        <v>0.69</v>
      </c>
      <c r="O1329">
        <v>29.8</v>
      </c>
      <c r="P1329">
        <v>17.7</v>
      </c>
      <c r="Q1329">
        <v>4</v>
      </c>
      <c r="R1329">
        <v>1</v>
      </c>
      <c r="S1329">
        <v>1.97</v>
      </c>
      <c r="T1329">
        <v>0.94</v>
      </c>
      <c r="U1329">
        <v>1.82</v>
      </c>
      <c r="V1329">
        <v>0.46</v>
      </c>
      <c r="W1329">
        <v>4.2</v>
      </c>
      <c r="X1329">
        <v>1.05</v>
      </c>
    </row>
    <row r="1330" spans="1:24" x14ac:dyDescent="0.35">
      <c r="A1330" t="str">
        <f t="shared" si="2"/>
        <v>Leicester CityLiverpool</v>
      </c>
      <c r="B1330">
        <v>2019</v>
      </c>
      <c r="C1330" s="1">
        <v>43825</v>
      </c>
      <c r="D1330">
        <v>2411</v>
      </c>
      <c r="E1330" t="s">
        <v>23</v>
      </c>
      <c r="F1330" t="s">
        <v>25</v>
      </c>
      <c r="G1330" t="s">
        <v>41</v>
      </c>
      <c r="H1330">
        <v>83.05</v>
      </c>
      <c r="I1330">
        <v>92.56</v>
      </c>
      <c r="J1330">
        <v>0.2631</v>
      </c>
      <c r="K1330">
        <v>0.50339999999999996</v>
      </c>
      <c r="L1330">
        <v>0.23350000000000001</v>
      </c>
      <c r="M1330">
        <v>1.28</v>
      </c>
      <c r="N1330">
        <v>1.85</v>
      </c>
      <c r="O1330">
        <v>33.799999999999997</v>
      </c>
      <c r="P1330">
        <v>62.5</v>
      </c>
      <c r="Q1330">
        <v>0</v>
      </c>
      <c r="R1330">
        <v>4</v>
      </c>
      <c r="S1330">
        <v>0.14000000000000001</v>
      </c>
      <c r="T1330">
        <v>4.24</v>
      </c>
      <c r="U1330">
        <v>0.28000000000000003</v>
      </c>
      <c r="V1330">
        <v>2.17</v>
      </c>
      <c r="W1330">
        <v>0</v>
      </c>
      <c r="X1330">
        <v>3.88</v>
      </c>
    </row>
    <row r="1331" spans="1:24" x14ac:dyDescent="0.35">
      <c r="A1331" t="str">
        <f t="shared" si="2"/>
        <v>WolverhamptonManchester City</v>
      </c>
      <c r="B1331">
        <v>2019</v>
      </c>
      <c r="C1331" s="1">
        <v>43826</v>
      </c>
      <c r="D1331">
        <v>2411</v>
      </c>
      <c r="E1331" t="s">
        <v>23</v>
      </c>
      <c r="F1331" t="s">
        <v>49</v>
      </c>
      <c r="G1331" t="s">
        <v>36</v>
      </c>
      <c r="H1331">
        <v>76.489999999999995</v>
      </c>
      <c r="I1331">
        <v>95.47</v>
      </c>
      <c r="J1331">
        <v>0.15029999999999999</v>
      </c>
      <c r="K1331">
        <v>0.65780000000000005</v>
      </c>
      <c r="L1331">
        <v>0.19189999999999999</v>
      </c>
      <c r="M1331">
        <v>1</v>
      </c>
      <c r="N1331">
        <v>2.2799999999999998</v>
      </c>
      <c r="O1331">
        <v>29.5</v>
      </c>
      <c r="P1331">
        <v>27.6</v>
      </c>
      <c r="Q1331">
        <v>3</v>
      </c>
      <c r="R1331">
        <v>2</v>
      </c>
      <c r="S1331">
        <v>2.4</v>
      </c>
      <c r="T1331">
        <v>1.83</v>
      </c>
      <c r="U1331">
        <v>1.99</v>
      </c>
      <c r="V1331">
        <v>0.41</v>
      </c>
      <c r="W1331">
        <v>2.52</v>
      </c>
      <c r="X1331">
        <v>2.1</v>
      </c>
    </row>
    <row r="1332" spans="1:24" x14ac:dyDescent="0.35">
      <c r="A1332" t="str">
        <f t="shared" si="2"/>
        <v>Brighton and Hove AlbionAFC Bournemouth</v>
      </c>
      <c r="B1332">
        <v>2019</v>
      </c>
      <c r="C1332" s="1">
        <v>43827</v>
      </c>
      <c r="D1332">
        <v>2411</v>
      </c>
      <c r="E1332" t="s">
        <v>23</v>
      </c>
      <c r="F1332" t="s">
        <v>45</v>
      </c>
      <c r="G1332" t="s">
        <v>38</v>
      </c>
      <c r="H1332">
        <v>69.849999999999994</v>
      </c>
      <c r="I1332">
        <v>68.23</v>
      </c>
      <c r="J1332">
        <v>0.46629999999999999</v>
      </c>
      <c r="K1332">
        <v>0.27100000000000002</v>
      </c>
      <c r="L1332">
        <v>0.26279999999999998</v>
      </c>
      <c r="M1332">
        <v>1.52</v>
      </c>
      <c r="N1332">
        <v>1.0900000000000001</v>
      </c>
      <c r="O1332">
        <v>34.6</v>
      </c>
      <c r="P1332">
        <v>36</v>
      </c>
      <c r="Q1332">
        <v>2</v>
      </c>
      <c r="R1332">
        <v>0</v>
      </c>
      <c r="S1332">
        <v>0.79</v>
      </c>
      <c r="T1332">
        <v>0.63</v>
      </c>
      <c r="U1332">
        <v>1.54</v>
      </c>
      <c r="V1332">
        <v>1.38</v>
      </c>
      <c r="W1332">
        <v>1.89</v>
      </c>
      <c r="X1332">
        <v>0</v>
      </c>
    </row>
    <row r="1333" spans="1:24" x14ac:dyDescent="0.35">
      <c r="A1333" t="str">
        <f t="shared" si="2"/>
        <v>NewcastleEverton</v>
      </c>
      <c r="B1333">
        <v>2019</v>
      </c>
      <c r="C1333" s="1">
        <v>43827</v>
      </c>
      <c r="D1333">
        <v>2411</v>
      </c>
      <c r="E1333" t="s">
        <v>23</v>
      </c>
      <c r="F1333" t="s">
        <v>46</v>
      </c>
      <c r="G1333" t="s">
        <v>28</v>
      </c>
      <c r="H1333">
        <v>63.78</v>
      </c>
      <c r="I1333">
        <v>77.89</v>
      </c>
      <c r="J1333">
        <v>0.30769999999999997</v>
      </c>
      <c r="K1333">
        <v>0.4133</v>
      </c>
      <c r="L1333">
        <v>0.27900000000000003</v>
      </c>
      <c r="M1333">
        <v>1.1100000000000001</v>
      </c>
      <c r="N1333">
        <v>1.33</v>
      </c>
      <c r="O1333">
        <v>25.9</v>
      </c>
      <c r="P1333">
        <v>11.4</v>
      </c>
      <c r="Q1333">
        <v>1</v>
      </c>
      <c r="R1333">
        <v>2</v>
      </c>
      <c r="S1333">
        <v>1.71</v>
      </c>
      <c r="T1333">
        <v>2.85</v>
      </c>
      <c r="U1333">
        <v>1.7</v>
      </c>
      <c r="V1333">
        <v>1.31</v>
      </c>
      <c r="W1333">
        <v>1.05</v>
      </c>
      <c r="X1333">
        <v>2.1</v>
      </c>
    </row>
    <row r="1334" spans="1:24" x14ac:dyDescent="0.35">
      <c r="A1334" t="str">
        <f t="shared" si="2"/>
        <v>SouthamptonCrystal Palace</v>
      </c>
      <c r="B1334">
        <v>2019</v>
      </c>
      <c r="C1334" s="1">
        <v>43827</v>
      </c>
      <c r="D1334">
        <v>2411</v>
      </c>
      <c r="E1334" t="s">
        <v>23</v>
      </c>
      <c r="F1334" t="s">
        <v>34</v>
      </c>
      <c r="G1334" t="s">
        <v>30</v>
      </c>
      <c r="H1334">
        <v>68.37</v>
      </c>
      <c r="I1334">
        <v>70.19</v>
      </c>
      <c r="J1334">
        <v>0.4622</v>
      </c>
      <c r="K1334">
        <v>0.27439999999999998</v>
      </c>
      <c r="L1334">
        <v>0.26340000000000002</v>
      </c>
      <c r="M1334">
        <v>1.51</v>
      </c>
      <c r="N1334">
        <v>1.1000000000000001</v>
      </c>
      <c r="O1334">
        <v>30.9</v>
      </c>
      <c r="P1334">
        <v>11.4</v>
      </c>
      <c r="Q1334">
        <v>1</v>
      </c>
      <c r="R1334">
        <v>1</v>
      </c>
      <c r="S1334">
        <v>1.55</v>
      </c>
      <c r="T1334">
        <v>0.22</v>
      </c>
      <c r="U1334">
        <v>1.38</v>
      </c>
      <c r="V1334">
        <v>0.5</v>
      </c>
      <c r="W1334">
        <v>1.05</v>
      </c>
      <c r="X1334">
        <v>1.05</v>
      </c>
    </row>
    <row r="1335" spans="1:24" x14ac:dyDescent="0.35">
      <c r="A1335" t="str">
        <f t="shared" si="2"/>
        <v>WatfordAston Villa</v>
      </c>
      <c r="B1335">
        <v>2019</v>
      </c>
      <c r="C1335" s="1">
        <v>43827</v>
      </c>
      <c r="D1335">
        <v>2411</v>
      </c>
      <c r="E1335" t="s">
        <v>23</v>
      </c>
      <c r="F1335" t="s">
        <v>35</v>
      </c>
      <c r="G1335" t="s">
        <v>52</v>
      </c>
      <c r="H1335">
        <v>68.22</v>
      </c>
      <c r="I1335">
        <v>63.42</v>
      </c>
      <c r="J1335">
        <v>0.48749999999999999</v>
      </c>
      <c r="K1335">
        <v>0.2621</v>
      </c>
      <c r="L1335">
        <v>0.25040000000000001</v>
      </c>
      <c r="M1335">
        <v>1.65</v>
      </c>
      <c r="N1335">
        <v>1.1499999999999999</v>
      </c>
      <c r="O1335">
        <v>55.3</v>
      </c>
      <c r="P1335">
        <v>56.6</v>
      </c>
      <c r="Q1335">
        <v>3</v>
      </c>
      <c r="R1335">
        <v>0</v>
      </c>
      <c r="S1335">
        <v>3.38</v>
      </c>
      <c r="T1335">
        <v>0.66</v>
      </c>
      <c r="U1335">
        <v>2.14</v>
      </c>
      <c r="V1335">
        <v>1.22</v>
      </c>
      <c r="W1335">
        <v>3.14</v>
      </c>
      <c r="X1335">
        <v>0</v>
      </c>
    </row>
    <row r="1336" spans="1:24" x14ac:dyDescent="0.35">
      <c r="A1336" t="str">
        <f t="shared" ref="A1336:A1399" si="3">F1336&amp;G1336</f>
        <v>West Ham UnitedLeicester City</v>
      </c>
      <c r="B1336">
        <v>2019</v>
      </c>
      <c r="C1336" s="1">
        <v>43827</v>
      </c>
      <c r="D1336">
        <v>2411</v>
      </c>
      <c r="E1336" t="s">
        <v>23</v>
      </c>
      <c r="F1336" t="s">
        <v>43</v>
      </c>
      <c r="G1336" t="s">
        <v>25</v>
      </c>
      <c r="H1336">
        <v>65.09</v>
      </c>
      <c r="I1336">
        <v>80.89</v>
      </c>
      <c r="J1336">
        <v>0.2727</v>
      </c>
      <c r="K1336">
        <v>0.48520000000000002</v>
      </c>
      <c r="L1336">
        <v>0.24199999999999999</v>
      </c>
      <c r="M1336">
        <v>1.25</v>
      </c>
      <c r="N1336">
        <v>1.74</v>
      </c>
      <c r="O1336">
        <v>41.4</v>
      </c>
      <c r="P1336">
        <v>52.2</v>
      </c>
      <c r="Q1336">
        <v>1</v>
      </c>
      <c r="R1336">
        <v>2</v>
      </c>
      <c r="S1336">
        <v>1.06</v>
      </c>
      <c r="T1336">
        <v>2.54</v>
      </c>
      <c r="U1336">
        <v>1.88</v>
      </c>
      <c r="V1336">
        <v>1.58</v>
      </c>
      <c r="W1336">
        <v>1.05</v>
      </c>
      <c r="X1336">
        <v>2.1</v>
      </c>
    </row>
    <row r="1337" spans="1:24" x14ac:dyDescent="0.35">
      <c r="A1337" t="str">
        <f t="shared" si="3"/>
        <v>Norwich CityTottenham Hotspur</v>
      </c>
      <c r="B1337">
        <v>2019</v>
      </c>
      <c r="C1337" s="1">
        <v>43827</v>
      </c>
      <c r="D1337">
        <v>2411</v>
      </c>
      <c r="E1337" t="s">
        <v>23</v>
      </c>
      <c r="F1337" t="s">
        <v>50</v>
      </c>
      <c r="G1337" t="s">
        <v>29</v>
      </c>
      <c r="H1337">
        <v>60.16</v>
      </c>
      <c r="I1337">
        <v>82</v>
      </c>
      <c r="J1337">
        <v>0.19650000000000001</v>
      </c>
      <c r="K1337">
        <v>0.59089999999999998</v>
      </c>
      <c r="L1337">
        <v>0.21260000000000001</v>
      </c>
      <c r="M1337">
        <v>1.1299999999999999</v>
      </c>
      <c r="N1337">
        <v>2.09</v>
      </c>
      <c r="O1337">
        <v>34.1</v>
      </c>
      <c r="P1337">
        <v>61.4</v>
      </c>
      <c r="Q1337">
        <v>2</v>
      </c>
      <c r="R1337">
        <v>2</v>
      </c>
      <c r="S1337">
        <v>0.27</v>
      </c>
      <c r="T1337">
        <v>1.99</v>
      </c>
      <c r="U1337">
        <v>0.52</v>
      </c>
      <c r="V1337">
        <v>1.96</v>
      </c>
      <c r="W1337">
        <v>2.1</v>
      </c>
      <c r="X1337">
        <v>2.1</v>
      </c>
    </row>
    <row r="1338" spans="1:24" x14ac:dyDescent="0.35">
      <c r="A1338" t="str">
        <f t="shared" si="3"/>
        <v>BurnleyManchester United</v>
      </c>
      <c r="B1338">
        <v>2019</v>
      </c>
      <c r="C1338" s="1">
        <v>43827</v>
      </c>
      <c r="D1338">
        <v>2411</v>
      </c>
      <c r="E1338" t="s">
        <v>23</v>
      </c>
      <c r="F1338" t="s">
        <v>32</v>
      </c>
      <c r="G1338" t="s">
        <v>39</v>
      </c>
      <c r="H1338">
        <v>70.38</v>
      </c>
      <c r="I1338">
        <v>80.8</v>
      </c>
      <c r="J1338">
        <v>0.29970000000000002</v>
      </c>
      <c r="K1338">
        <v>0.43409999999999999</v>
      </c>
      <c r="L1338">
        <v>0.26619999999999999</v>
      </c>
      <c r="M1338">
        <v>1.1599999999999999</v>
      </c>
      <c r="N1338">
        <v>1.46</v>
      </c>
      <c r="O1338">
        <v>15.3</v>
      </c>
      <c r="P1338">
        <v>39.5</v>
      </c>
      <c r="Q1338">
        <v>0</v>
      </c>
      <c r="R1338">
        <v>2</v>
      </c>
      <c r="S1338">
        <v>0.64</v>
      </c>
      <c r="T1338">
        <v>2.17</v>
      </c>
      <c r="U1338">
        <v>1.04</v>
      </c>
      <c r="V1338">
        <v>1.22</v>
      </c>
      <c r="W1338">
        <v>0</v>
      </c>
      <c r="X1338">
        <v>1.58</v>
      </c>
    </row>
    <row r="1339" spans="1:24" x14ac:dyDescent="0.35">
      <c r="A1339" t="str">
        <f t="shared" si="3"/>
        <v>ArsenalChelsea</v>
      </c>
      <c r="B1339">
        <v>2019</v>
      </c>
      <c r="C1339" s="1">
        <v>43828</v>
      </c>
      <c r="D1339">
        <v>2411</v>
      </c>
      <c r="E1339" t="s">
        <v>23</v>
      </c>
      <c r="F1339" t="s">
        <v>40</v>
      </c>
      <c r="G1339" t="s">
        <v>42</v>
      </c>
      <c r="H1339">
        <v>75.900000000000006</v>
      </c>
      <c r="I1339">
        <v>85.4</v>
      </c>
      <c r="J1339">
        <v>0.28220000000000001</v>
      </c>
      <c r="K1339">
        <v>0.48249999999999998</v>
      </c>
      <c r="L1339">
        <v>0.2354</v>
      </c>
      <c r="M1339">
        <v>1.34</v>
      </c>
      <c r="N1339">
        <v>1.82</v>
      </c>
      <c r="O1339">
        <v>13.1</v>
      </c>
      <c r="P1339">
        <v>71</v>
      </c>
      <c r="Q1339">
        <v>1</v>
      </c>
      <c r="R1339">
        <v>2</v>
      </c>
      <c r="S1339">
        <v>0.86</v>
      </c>
      <c r="T1339">
        <v>1.67</v>
      </c>
      <c r="U1339">
        <v>1.37</v>
      </c>
      <c r="V1339">
        <v>1.43</v>
      </c>
      <c r="W1339">
        <v>1.05</v>
      </c>
      <c r="X1339">
        <v>2.1</v>
      </c>
    </row>
    <row r="1340" spans="1:24" x14ac:dyDescent="0.35">
      <c r="A1340" t="str">
        <f t="shared" si="3"/>
        <v>LiverpoolWolverhampton</v>
      </c>
      <c r="B1340">
        <v>2019</v>
      </c>
      <c r="C1340" s="1">
        <v>43828</v>
      </c>
      <c r="D1340">
        <v>2411</v>
      </c>
      <c r="E1340" t="s">
        <v>23</v>
      </c>
      <c r="F1340" t="s">
        <v>41</v>
      </c>
      <c r="G1340" t="s">
        <v>49</v>
      </c>
      <c r="H1340">
        <v>93.8</v>
      </c>
      <c r="I1340">
        <v>78.45</v>
      </c>
      <c r="J1340">
        <v>0.76</v>
      </c>
      <c r="K1340">
        <v>8.0199999999999994E-2</v>
      </c>
      <c r="L1340">
        <v>0.1598</v>
      </c>
      <c r="M1340">
        <v>2.4</v>
      </c>
      <c r="N1340">
        <v>0.64</v>
      </c>
      <c r="O1340">
        <v>32.1</v>
      </c>
      <c r="P1340">
        <v>40</v>
      </c>
      <c r="Q1340">
        <v>1</v>
      </c>
      <c r="R1340">
        <v>0</v>
      </c>
      <c r="S1340">
        <v>1.77</v>
      </c>
      <c r="T1340">
        <v>0.49</v>
      </c>
      <c r="U1340">
        <v>1.99</v>
      </c>
      <c r="V1340">
        <v>0.67</v>
      </c>
      <c r="W1340">
        <v>1.05</v>
      </c>
      <c r="X1340">
        <v>0</v>
      </c>
    </row>
    <row r="1341" spans="1:24" x14ac:dyDescent="0.35">
      <c r="A1341" t="str">
        <f t="shared" si="3"/>
        <v>Manchester CitySheffield United</v>
      </c>
      <c r="B1341">
        <v>2019</v>
      </c>
      <c r="C1341" s="1">
        <v>43828</v>
      </c>
      <c r="D1341">
        <v>2411</v>
      </c>
      <c r="E1341" t="s">
        <v>23</v>
      </c>
      <c r="F1341" t="s">
        <v>36</v>
      </c>
      <c r="G1341" t="s">
        <v>51</v>
      </c>
      <c r="H1341">
        <v>94.53</v>
      </c>
      <c r="I1341">
        <v>71.91</v>
      </c>
      <c r="J1341">
        <v>0.85070000000000001</v>
      </c>
      <c r="K1341">
        <v>3.9800000000000002E-2</v>
      </c>
      <c r="L1341">
        <v>0.1095</v>
      </c>
      <c r="M1341">
        <v>2.82</v>
      </c>
      <c r="N1341">
        <v>0.48</v>
      </c>
      <c r="O1341">
        <v>13.6</v>
      </c>
      <c r="P1341">
        <v>13.6</v>
      </c>
      <c r="Q1341">
        <v>2</v>
      </c>
      <c r="R1341">
        <v>0</v>
      </c>
      <c r="S1341">
        <v>1.22</v>
      </c>
      <c r="T1341">
        <v>1.21</v>
      </c>
      <c r="U1341">
        <v>1.27</v>
      </c>
      <c r="V1341">
        <v>0.76</v>
      </c>
      <c r="W1341">
        <v>1.8</v>
      </c>
      <c r="X1341">
        <v>0</v>
      </c>
    </row>
    <row r="1342" spans="1:24" x14ac:dyDescent="0.35">
      <c r="A1342" t="str">
        <f t="shared" si="3"/>
        <v>Brighton and Hove AlbionChelsea</v>
      </c>
      <c r="B1342">
        <v>2019</v>
      </c>
      <c r="C1342" s="1">
        <v>43831</v>
      </c>
      <c r="D1342">
        <v>2411</v>
      </c>
      <c r="E1342" t="s">
        <v>23</v>
      </c>
      <c r="F1342" t="s">
        <v>45</v>
      </c>
      <c r="G1342" t="s">
        <v>42</v>
      </c>
      <c r="H1342">
        <v>70.31</v>
      </c>
      <c r="I1342">
        <v>85.74</v>
      </c>
      <c r="J1342">
        <v>0.2215</v>
      </c>
      <c r="K1342">
        <v>0.54520000000000002</v>
      </c>
      <c r="L1342">
        <v>0.2334</v>
      </c>
      <c r="M1342">
        <v>1.1000000000000001</v>
      </c>
      <c r="N1342">
        <v>1.85</v>
      </c>
      <c r="O1342">
        <v>18.100000000000001</v>
      </c>
      <c r="P1342">
        <v>66.3</v>
      </c>
      <c r="Q1342">
        <v>1</v>
      </c>
      <c r="R1342">
        <v>1</v>
      </c>
      <c r="S1342">
        <v>1.74</v>
      </c>
      <c r="T1342">
        <v>1.39</v>
      </c>
      <c r="U1342">
        <v>2.08</v>
      </c>
      <c r="V1342">
        <v>1.32</v>
      </c>
      <c r="W1342">
        <v>1.05</v>
      </c>
      <c r="X1342">
        <v>1.05</v>
      </c>
    </row>
    <row r="1343" spans="1:24" x14ac:dyDescent="0.35">
      <c r="A1343" t="str">
        <f t="shared" si="3"/>
        <v>BurnleyAston Villa</v>
      </c>
      <c r="B1343">
        <v>2019</v>
      </c>
      <c r="C1343" s="1">
        <v>43831</v>
      </c>
      <c r="D1343">
        <v>2411</v>
      </c>
      <c r="E1343" t="s">
        <v>23</v>
      </c>
      <c r="F1343" t="s">
        <v>32</v>
      </c>
      <c r="G1343" t="s">
        <v>52</v>
      </c>
      <c r="H1343">
        <v>69.44</v>
      </c>
      <c r="I1343">
        <v>61.33</v>
      </c>
      <c r="J1343">
        <v>0.49659999999999999</v>
      </c>
      <c r="K1343">
        <v>0.25240000000000001</v>
      </c>
      <c r="L1343">
        <v>0.251</v>
      </c>
      <c r="M1343">
        <v>1.65</v>
      </c>
      <c r="N1343">
        <v>1.1000000000000001</v>
      </c>
      <c r="O1343">
        <v>27.5</v>
      </c>
      <c r="P1343">
        <v>50.8</v>
      </c>
      <c r="Q1343">
        <v>1</v>
      </c>
      <c r="R1343">
        <v>2</v>
      </c>
      <c r="S1343">
        <v>2.4900000000000002</v>
      </c>
      <c r="T1343">
        <v>1.43</v>
      </c>
      <c r="U1343">
        <v>2.11</v>
      </c>
      <c r="V1343">
        <v>1.35</v>
      </c>
      <c r="W1343">
        <v>1.05</v>
      </c>
      <c r="X1343">
        <v>2.1</v>
      </c>
    </row>
    <row r="1344" spans="1:24" x14ac:dyDescent="0.35">
      <c r="A1344" t="str">
        <f t="shared" si="3"/>
        <v>WatfordWolverhampton</v>
      </c>
      <c r="B1344">
        <v>2019</v>
      </c>
      <c r="C1344" s="1">
        <v>43831</v>
      </c>
      <c r="D1344">
        <v>2411</v>
      </c>
      <c r="E1344" t="s">
        <v>23</v>
      </c>
      <c r="F1344" t="s">
        <v>35</v>
      </c>
      <c r="G1344" t="s">
        <v>49</v>
      </c>
      <c r="H1344">
        <v>69.87</v>
      </c>
      <c r="I1344">
        <v>78.66</v>
      </c>
      <c r="J1344">
        <v>0.36799999999999999</v>
      </c>
      <c r="K1344">
        <v>0.35399999999999998</v>
      </c>
      <c r="L1344">
        <v>0.27800000000000002</v>
      </c>
      <c r="M1344">
        <v>1.26</v>
      </c>
      <c r="N1344">
        <v>1.23</v>
      </c>
      <c r="O1344">
        <v>50.6</v>
      </c>
      <c r="P1344">
        <v>31.5</v>
      </c>
      <c r="Q1344">
        <v>2</v>
      </c>
      <c r="R1344">
        <v>1</v>
      </c>
      <c r="S1344">
        <v>1.08</v>
      </c>
      <c r="T1344">
        <v>1.29</v>
      </c>
      <c r="U1344">
        <v>1.53</v>
      </c>
      <c r="V1344">
        <v>0.92</v>
      </c>
      <c r="W1344">
        <v>2.1</v>
      </c>
      <c r="X1344">
        <v>1.05</v>
      </c>
    </row>
    <row r="1345" spans="1:24" x14ac:dyDescent="0.35">
      <c r="A1345" t="str">
        <f t="shared" si="3"/>
        <v>SouthamptonTottenham Hotspur</v>
      </c>
      <c r="B1345">
        <v>2019</v>
      </c>
      <c r="C1345" s="1">
        <v>43831</v>
      </c>
      <c r="D1345">
        <v>2411</v>
      </c>
      <c r="E1345" t="s">
        <v>23</v>
      </c>
      <c r="F1345" t="s">
        <v>34</v>
      </c>
      <c r="G1345" t="s">
        <v>29</v>
      </c>
      <c r="H1345">
        <v>68.97</v>
      </c>
      <c r="I1345">
        <v>82.24</v>
      </c>
      <c r="J1345">
        <v>0.27110000000000001</v>
      </c>
      <c r="K1345">
        <v>0.495</v>
      </c>
      <c r="L1345">
        <v>0.2339</v>
      </c>
      <c r="M1345">
        <v>1.31</v>
      </c>
      <c r="N1345">
        <v>1.84</v>
      </c>
      <c r="O1345">
        <v>26.2</v>
      </c>
      <c r="P1345">
        <v>52</v>
      </c>
      <c r="Q1345">
        <v>1</v>
      </c>
      <c r="R1345">
        <v>0</v>
      </c>
      <c r="S1345">
        <v>1.31</v>
      </c>
      <c r="T1345">
        <v>1.18</v>
      </c>
      <c r="U1345">
        <v>1.1399999999999999</v>
      </c>
      <c r="V1345">
        <v>1.25</v>
      </c>
      <c r="W1345">
        <v>1.05</v>
      </c>
      <c r="X1345">
        <v>0</v>
      </c>
    </row>
    <row r="1346" spans="1:24" x14ac:dyDescent="0.35">
      <c r="A1346" t="str">
        <f t="shared" si="3"/>
        <v>NewcastleLeicester City</v>
      </c>
      <c r="B1346">
        <v>2019</v>
      </c>
      <c r="C1346" s="1">
        <v>43831</v>
      </c>
      <c r="D1346">
        <v>2411</v>
      </c>
      <c r="E1346" t="s">
        <v>23</v>
      </c>
      <c r="F1346" t="s">
        <v>46</v>
      </c>
      <c r="G1346" t="s">
        <v>25</v>
      </c>
      <c r="H1346">
        <v>63.33</v>
      </c>
      <c r="I1346">
        <v>81.03</v>
      </c>
      <c r="J1346">
        <v>0.23780000000000001</v>
      </c>
      <c r="K1346">
        <v>0.51459999999999995</v>
      </c>
      <c r="L1346">
        <v>0.24759999999999999</v>
      </c>
      <c r="M1346">
        <v>1.07</v>
      </c>
      <c r="N1346">
        <v>1.69</v>
      </c>
      <c r="O1346">
        <v>26.5</v>
      </c>
      <c r="P1346">
        <v>46.1</v>
      </c>
      <c r="Q1346">
        <v>0</v>
      </c>
      <c r="R1346">
        <v>3</v>
      </c>
      <c r="S1346">
        <v>0.74</v>
      </c>
      <c r="T1346">
        <v>3.16</v>
      </c>
      <c r="U1346">
        <v>0.25</v>
      </c>
      <c r="V1346">
        <v>2.2799999999999998</v>
      </c>
      <c r="W1346">
        <v>0</v>
      </c>
      <c r="X1346">
        <v>2.72</v>
      </c>
    </row>
    <row r="1347" spans="1:24" x14ac:dyDescent="0.35">
      <c r="A1347" t="str">
        <f t="shared" si="3"/>
        <v>Manchester CityEverton</v>
      </c>
      <c r="B1347">
        <v>2019</v>
      </c>
      <c r="C1347" s="1">
        <v>43831</v>
      </c>
      <c r="D1347">
        <v>2411</v>
      </c>
      <c r="E1347" t="s">
        <v>23</v>
      </c>
      <c r="F1347" t="s">
        <v>36</v>
      </c>
      <c r="G1347" t="s">
        <v>28</v>
      </c>
      <c r="H1347">
        <v>94.17</v>
      </c>
      <c r="I1347">
        <v>77.819999999999993</v>
      </c>
      <c r="J1347">
        <v>0.78659999999999997</v>
      </c>
      <c r="K1347">
        <v>7.2099999999999997E-2</v>
      </c>
      <c r="L1347">
        <v>0.14130000000000001</v>
      </c>
      <c r="M1347">
        <v>2.63</v>
      </c>
      <c r="N1347">
        <v>0.68</v>
      </c>
      <c r="O1347">
        <v>11</v>
      </c>
      <c r="P1347">
        <v>13.2</v>
      </c>
      <c r="Q1347">
        <v>2</v>
      </c>
      <c r="R1347">
        <v>1</v>
      </c>
      <c r="S1347">
        <v>1.84</v>
      </c>
      <c r="T1347">
        <v>0.96</v>
      </c>
      <c r="U1347">
        <v>1.95</v>
      </c>
      <c r="V1347">
        <v>1.1200000000000001</v>
      </c>
      <c r="W1347">
        <v>2.1</v>
      </c>
      <c r="X1347">
        <v>1.05</v>
      </c>
    </row>
    <row r="1348" spans="1:24" x14ac:dyDescent="0.35">
      <c r="A1348" t="str">
        <f t="shared" si="3"/>
        <v>Norwich CityCrystal Palace</v>
      </c>
      <c r="B1348">
        <v>2019</v>
      </c>
      <c r="C1348" s="1">
        <v>43831</v>
      </c>
      <c r="D1348">
        <v>2411</v>
      </c>
      <c r="E1348" t="s">
        <v>23</v>
      </c>
      <c r="F1348" t="s">
        <v>50</v>
      </c>
      <c r="G1348" t="s">
        <v>30</v>
      </c>
      <c r="H1348">
        <v>59.95</v>
      </c>
      <c r="I1348">
        <v>69.91</v>
      </c>
      <c r="J1348">
        <v>0.37419999999999998</v>
      </c>
      <c r="K1348">
        <v>0.3493</v>
      </c>
      <c r="L1348">
        <v>0.27639999999999998</v>
      </c>
      <c r="M1348">
        <v>1.28</v>
      </c>
      <c r="N1348">
        <v>1.23</v>
      </c>
      <c r="O1348">
        <v>30</v>
      </c>
      <c r="P1348">
        <v>11.6</v>
      </c>
      <c r="Q1348">
        <v>1</v>
      </c>
      <c r="R1348">
        <v>1</v>
      </c>
      <c r="S1348">
        <v>1.68</v>
      </c>
      <c r="T1348">
        <v>1.42</v>
      </c>
      <c r="U1348">
        <v>1.25</v>
      </c>
      <c r="V1348">
        <v>1.1599999999999999</v>
      </c>
      <c r="W1348">
        <v>1.05</v>
      </c>
      <c r="X1348">
        <v>1.05</v>
      </c>
    </row>
    <row r="1349" spans="1:24" x14ac:dyDescent="0.35">
      <c r="A1349" t="str">
        <f t="shared" si="3"/>
        <v>West Ham UnitedAFC Bournemouth</v>
      </c>
      <c r="B1349">
        <v>2019</v>
      </c>
      <c r="C1349" s="1">
        <v>43831</v>
      </c>
      <c r="D1349">
        <v>2411</v>
      </c>
      <c r="E1349" t="s">
        <v>23</v>
      </c>
      <c r="F1349" t="s">
        <v>43</v>
      </c>
      <c r="G1349" t="s">
        <v>38</v>
      </c>
      <c r="H1349">
        <v>64.78</v>
      </c>
      <c r="I1349">
        <v>68</v>
      </c>
      <c r="J1349">
        <v>0.43609999999999999</v>
      </c>
      <c r="K1349">
        <v>0.30730000000000002</v>
      </c>
      <c r="L1349">
        <v>0.25659999999999999</v>
      </c>
      <c r="M1349">
        <v>1.54</v>
      </c>
      <c r="N1349">
        <v>1.26</v>
      </c>
      <c r="O1349">
        <v>56.5</v>
      </c>
      <c r="P1349">
        <v>48.8</v>
      </c>
      <c r="Q1349">
        <v>4</v>
      </c>
      <c r="R1349">
        <v>0</v>
      </c>
      <c r="S1349">
        <v>2.0499999999999998</v>
      </c>
      <c r="T1349">
        <v>0.6</v>
      </c>
      <c r="U1349">
        <v>1.46</v>
      </c>
      <c r="V1349">
        <v>0.57999999999999996</v>
      </c>
      <c r="W1349">
        <v>4.2</v>
      </c>
      <c r="X1349">
        <v>0</v>
      </c>
    </row>
    <row r="1350" spans="1:24" x14ac:dyDescent="0.35">
      <c r="A1350" t="str">
        <f t="shared" si="3"/>
        <v>ArsenalManchester United</v>
      </c>
      <c r="B1350">
        <v>2019</v>
      </c>
      <c r="C1350" s="1">
        <v>43831</v>
      </c>
      <c r="D1350">
        <v>2411</v>
      </c>
      <c r="E1350" t="s">
        <v>23</v>
      </c>
      <c r="F1350" t="s">
        <v>40</v>
      </c>
      <c r="G1350" t="s">
        <v>39</v>
      </c>
      <c r="H1350">
        <v>75.56</v>
      </c>
      <c r="I1350">
        <v>81.75</v>
      </c>
      <c r="J1350">
        <v>0.34589999999999999</v>
      </c>
      <c r="K1350">
        <v>0.39900000000000002</v>
      </c>
      <c r="L1350">
        <v>0.25509999999999999</v>
      </c>
      <c r="M1350">
        <v>1.38</v>
      </c>
      <c r="N1350">
        <v>1.5</v>
      </c>
      <c r="O1350">
        <v>9.1999999999999993</v>
      </c>
      <c r="P1350">
        <v>48.9</v>
      </c>
      <c r="Q1350">
        <v>2</v>
      </c>
      <c r="R1350">
        <v>0</v>
      </c>
      <c r="S1350">
        <v>1.54</v>
      </c>
      <c r="T1350">
        <v>0.82</v>
      </c>
      <c r="U1350">
        <v>1.71</v>
      </c>
      <c r="V1350">
        <v>1.81</v>
      </c>
      <c r="W1350">
        <v>2.1</v>
      </c>
      <c r="X1350">
        <v>0</v>
      </c>
    </row>
    <row r="1351" spans="1:24" x14ac:dyDescent="0.35">
      <c r="A1351" t="str">
        <f t="shared" si="3"/>
        <v>LiverpoolSheffield United</v>
      </c>
      <c r="B1351">
        <v>2019</v>
      </c>
      <c r="C1351" s="1">
        <v>43832</v>
      </c>
      <c r="D1351">
        <v>2411</v>
      </c>
      <c r="E1351" t="s">
        <v>23</v>
      </c>
      <c r="F1351" t="s">
        <v>41</v>
      </c>
      <c r="G1351" t="s">
        <v>51</v>
      </c>
      <c r="H1351">
        <v>93.82</v>
      </c>
      <c r="I1351">
        <v>72.98</v>
      </c>
      <c r="J1351">
        <v>0.82730000000000004</v>
      </c>
      <c r="K1351">
        <v>4.2299999999999997E-2</v>
      </c>
      <c r="L1351">
        <v>0.13039999999999999</v>
      </c>
      <c r="M1351">
        <v>2.4900000000000002</v>
      </c>
      <c r="N1351">
        <v>0.4</v>
      </c>
      <c r="O1351">
        <v>26.9</v>
      </c>
      <c r="P1351">
        <v>14</v>
      </c>
      <c r="Q1351">
        <v>2</v>
      </c>
      <c r="R1351">
        <v>0</v>
      </c>
      <c r="S1351">
        <v>4.2699999999999996</v>
      </c>
      <c r="T1351">
        <v>0.67</v>
      </c>
      <c r="U1351">
        <v>2.68</v>
      </c>
      <c r="V1351">
        <v>0.57999999999999996</v>
      </c>
      <c r="W1351">
        <v>2.1</v>
      </c>
      <c r="X1351">
        <v>0</v>
      </c>
    </row>
    <row r="1352" spans="1:24" x14ac:dyDescent="0.35">
      <c r="A1352" t="str">
        <f t="shared" si="3"/>
        <v>Sheffield UnitedWest Ham United</v>
      </c>
      <c r="B1352">
        <v>2019</v>
      </c>
      <c r="C1352" s="1">
        <v>43840</v>
      </c>
      <c r="D1352">
        <v>2411</v>
      </c>
      <c r="E1352" t="s">
        <v>23</v>
      </c>
      <c r="F1352" t="s">
        <v>51</v>
      </c>
      <c r="G1352" t="s">
        <v>43</v>
      </c>
      <c r="H1352">
        <v>72.3</v>
      </c>
      <c r="I1352">
        <v>66.849999999999994</v>
      </c>
      <c r="J1352">
        <v>0.45650000000000002</v>
      </c>
      <c r="K1352">
        <v>0.27739999999999998</v>
      </c>
      <c r="L1352">
        <v>0.2661</v>
      </c>
      <c r="M1352">
        <v>1.48</v>
      </c>
      <c r="N1352">
        <v>1.1000000000000001</v>
      </c>
      <c r="O1352">
        <v>6.8</v>
      </c>
      <c r="P1352">
        <v>39.200000000000003</v>
      </c>
      <c r="Q1352">
        <v>1</v>
      </c>
      <c r="R1352">
        <v>0</v>
      </c>
      <c r="S1352">
        <v>2.13</v>
      </c>
      <c r="T1352">
        <v>1.1000000000000001</v>
      </c>
      <c r="U1352">
        <v>1.1200000000000001</v>
      </c>
      <c r="V1352">
        <v>0.79</v>
      </c>
      <c r="W1352">
        <v>1.05</v>
      </c>
      <c r="X1352">
        <v>0</v>
      </c>
    </row>
    <row r="1353" spans="1:24" x14ac:dyDescent="0.35">
      <c r="A1353" t="str">
        <f t="shared" si="3"/>
        <v>Crystal PalaceArsenal</v>
      </c>
      <c r="B1353">
        <v>2019</v>
      </c>
      <c r="C1353" s="1">
        <v>43841</v>
      </c>
      <c r="D1353">
        <v>2411</v>
      </c>
      <c r="E1353" t="s">
        <v>23</v>
      </c>
      <c r="F1353" t="s">
        <v>30</v>
      </c>
      <c r="G1353" t="s">
        <v>40</v>
      </c>
      <c r="H1353">
        <v>69.75</v>
      </c>
      <c r="I1353">
        <v>76.400000000000006</v>
      </c>
      <c r="J1353">
        <v>0.35930000000000001</v>
      </c>
      <c r="K1353">
        <v>0.37230000000000002</v>
      </c>
      <c r="L1353">
        <v>0.26840000000000003</v>
      </c>
      <c r="M1353">
        <v>1.31</v>
      </c>
      <c r="N1353">
        <v>1.33</v>
      </c>
      <c r="O1353">
        <v>11.1</v>
      </c>
      <c r="P1353">
        <v>9.8000000000000007</v>
      </c>
      <c r="Q1353">
        <v>1</v>
      </c>
      <c r="R1353">
        <v>1</v>
      </c>
      <c r="S1353">
        <v>0.41</v>
      </c>
      <c r="T1353">
        <v>1.24</v>
      </c>
      <c r="U1353">
        <v>1.1100000000000001</v>
      </c>
      <c r="V1353">
        <v>0.81</v>
      </c>
      <c r="W1353">
        <v>1.05</v>
      </c>
      <c r="X1353">
        <v>1.05</v>
      </c>
    </row>
    <row r="1354" spans="1:24" x14ac:dyDescent="0.35">
      <c r="A1354" t="str">
        <f t="shared" si="3"/>
        <v>Leicester CitySouthampton</v>
      </c>
      <c r="B1354">
        <v>2019</v>
      </c>
      <c r="C1354" s="1">
        <v>43841</v>
      </c>
      <c r="D1354">
        <v>2411</v>
      </c>
      <c r="E1354" t="s">
        <v>23</v>
      </c>
      <c r="F1354" t="s">
        <v>25</v>
      </c>
      <c r="G1354" t="s">
        <v>34</v>
      </c>
      <c r="H1354">
        <v>82.63</v>
      </c>
      <c r="I1354">
        <v>69.75</v>
      </c>
      <c r="J1354">
        <v>0.62870000000000004</v>
      </c>
      <c r="K1354">
        <v>0.156</v>
      </c>
      <c r="L1354">
        <v>0.21529999999999999</v>
      </c>
      <c r="M1354">
        <v>1.98</v>
      </c>
      <c r="N1354">
        <v>0.87</v>
      </c>
      <c r="O1354">
        <v>31.5</v>
      </c>
      <c r="P1354">
        <v>16</v>
      </c>
      <c r="Q1354">
        <v>1</v>
      </c>
      <c r="R1354">
        <v>2</v>
      </c>
      <c r="S1354">
        <v>0.8</v>
      </c>
      <c r="T1354">
        <v>2.2599999999999998</v>
      </c>
      <c r="U1354">
        <v>0.65</v>
      </c>
      <c r="V1354">
        <v>0.93</v>
      </c>
      <c r="W1354">
        <v>1.05</v>
      </c>
      <c r="X1354">
        <v>2.1</v>
      </c>
    </row>
    <row r="1355" spans="1:24" x14ac:dyDescent="0.35">
      <c r="A1355" t="str">
        <f t="shared" si="3"/>
        <v>WolverhamptonNewcastle</v>
      </c>
      <c r="B1355">
        <v>2019</v>
      </c>
      <c r="C1355" s="1">
        <v>43841</v>
      </c>
      <c r="D1355">
        <v>2411</v>
      </c>
      <c r="E1355" t="s">
        <v>23</v>
      </c>
      <c r="F1355" t="s">
        <v>49</v>
      </c>
      <c r="G1355" t="s">
        <v>46</v>
      </c>
      <c r="H1355">
        <v>78.08</v>
      </c>
      <c r="I1355">
        <v>61.28</v>
      </c>
      <c r="J1355">
        <v>0.61870000000000003</v>
      </c>
      <c r="K1355">
        <v>0.14779999999999999</v>
      </c>
      <c r="L1355">
        <v>0.23350000000000001</v>
      </c>
      <c r="M1355">
        <v>1.77</v>
      </c>
      <c r="N1355">
        <v>0.73</v>
      </c>
      <c r="O1355">
        <v>22.2</v>
      </c>
      <c r="P1355">
        <v>37</v>
      </c>
      <c r="Q1355">
        <v>1</v>
      </c>
      <c r="R1355">
        <v>1</v>
      </c>
      <c r="S1355">
        <v>1.68</v>
      </c>
      <c r="T1355">
        <v>0.22</v>
      </c>
      <c r="U1355">
        <v>0.56000000000000005</v>
      </c>
      <c r="V1355">
        <v>0.39</v>
      </c>
      <c r="W1355">
        <v>1.05</v>
      </c>
      <c r="X1355">
        <v>1.05</v>
      </c>
    </row>
    <row r="1356" spans="1:24" x14ac:dyDescent="0.35">
      <c r="A1356" t="str">
        <f t="shared" si="3"/>
        <v>EvertonBrighton and Hove Albion</v>
      </c>
      <c r="B1356">
        <v>2019</v>
      </c>
      <c r="C1356" s="1">
        <v>43841</v>
      </c>
      <c r="D1356">
        <v>2411</v>
      </c>
      <c r="E1356" t="s">
        <v>23</v>
      </c>
      <c r="F1356" t="s">
        <v>28</v>
      </c>
      <c r="G1356" t="s">
        <v>45</v>
      </c>
      <c r="H1356">
        <v>78.48</v>
      </c>
      <c r="I1356">
        <v>71.239999999999995</v>
      </c>
      <c r="J1356">
        <v>0.52470000000000006</v>
      </c>
      <c r="K1356">
        <v>0.2195</v>
      </c>
      <c r="L1356">
        <v>0.25580000000000003</v>
      </c>
      <c r="M1356">
        <v>1.61</v>
      </c>
      <c r="N1356">
        <v>0.95</v>
      </c>
      <c r="O1356">
        <v>7</v>
      </c>
      <c r="P1356">
        <v>17.2</v>
      </c>
      <c r="Q1356">
        <v>1</v>
      </c>
      <c r="R1356">
        <v>0</v>
      </c>
      <c r="S1356">
        <v>1.34</v>
      </c>
      <c r="T1356">
        <v>1.66</v>
      </c>
      <c r="U1356">
        <v>2.1800000000000002</v>
      </c>
      <c r="V1356">
        <v>0.83</v>
      </c>
      <c r="W1356">
        <v>1.05</v>
      </c>
      <c r="X1356">
        <v>0</v>
      </c>
    </row>
    <row r="1357" spans="1:24" x14ac:dyDescent="0.35">
      <c r="A1357" t="str">
        <f t="shared" si="3"/>
        <v>Manchester UnitedNorwich City</v>
      </c>
      <c r="B1357">
        <v>2019</v>
      </c>
      <c r="C1357" s="1">
        <v>43841</v>
      </c>
      <c r="D1357">
        <v>2411</v>
      </c>
      <c r="E1357" t="s">
        <v>23</v>
      </c>
      <c r="F1357" t="s">
        <v>39</v>
      </c>
      <c r="G1357" t="s">
        <v>50</v>
      </c>
      <c r="H1357">
        <v>81.06</v>
      </c>
      <c r="I1357">
        <v>60.11</v>
      </c>
      <c r="J1357">
        <v>0.69040000000000001</v>
      </c>
      <c r="K1357">
        <v>0.1154</v>
      </c>
      <c r="L1357">
        <v>0.19420000000000001</v>
      </c>
      <c r="M1357">
        <v>2.12</v>
      </c>
      <c r="N1357">
        <v>0.73</v>
      </c>
      <c r="O1357">
        <v>33.299999999999997</v>
      </c>
      <c r="P1357">
        <v>30.7</v>
      </c>
      <c r="Q1357">
        <v>4</v>
      </c>
      <c r="R1357">
        <v>0</v>
      </c>
      <c r="S1357">
        <v>2.94</v>
      </c>
      <c r="T1357">
        <v>0.3</v>
      </c>
      <c r="U1357">
        <v>2.88</v>
      </c>
      <c r="V1357">
        <v>0.93</v>
      </c>
      <c r="W1357">
        <v>4.07</v>
      </c>
      <c r="X1357">
        <v>0</v>
      </c>
    </row>
    <row r="1358" spans="1:24" x14ac:dyDescent="0.35">
      <c r="A1358" t="str">
        <f t="shared" si="3"/>
        <v>ChelseaBurnley</v>
      </c>
      <c r="B1358">
        <v>2019</v>
      </c>
      <c r="C1358" s="1">
        <v>43841</v>
      </c>
      <c r="D1358">
        <v>2411</v>
      </c>
      <c r="E1358" t="s">
        <v>23</v>
      </c>
      <c r="F1358" t="s">
        <v>42</v>
      </c>
      <c r="G1358" t="s">
        <v>32</v>
      </c>
      <c r="H1358">
        <v>85.02</v>
      </c>
      <c r="I1358">
        <v>68.81</v>
      </c>
      <c r="J1358">
        <v>0.70509999999999995</v>
      </c>
      <c r="K1358">
        <v>0.1075</v>
      </c>
      <c r="L1358">
        <v>0.18740000000000001</v>
      </c>
      <c r="M1358">
        <v>2.17</v>
      </c>
      <c r="N1358">
        <v>0.71</v>
      </c>
      <c r="O1358">
        <v>66.7</v>
      </c>
      <c r="P1358">
        <v>26.4</v>
      </c>
      <c r="Q1358">
        <v>3</v>
      </c>
      <c r="R1358">
        <v>0</v>
      </c>
      <c r="S1358">
        <v>2.9</v>
      </c>
      <c r="T1358">
        <v>0.55000000000000004</v>
      </c>
      <c r="U1358">
        <v>1.33</v>
      </c>
      <c r="V1358">
        <v>0.28999999999999998</v>
      </c>
      <c r="W1358">
        <v>3.15</v>
      </c>
      <c r="X1358">
        <v>0</v>
      </c>
    </row>
    <row r="1359" spans="1:24" x14ac:dyDescent="0.35">
      <c r="A1359" t="str">
        <f t="shared" si="3"/>
        <v>Tottenham HotspurLiverpool</v>
      </c>
      <c r="B1359">
        <v>2019</v>
      </c>
      <c r="C1359" s="1">
        <v>43841</v>
      </c>
      <c r="D1359">
        <v>2411</v>
      </c>
      <c r="E1359" t="s">
        <v>23</v>
      </c>
      <c r="F1359" t="s">
        <v>29</v>
      </c>
      <c r="G1359" t="s">
        <v>41</v>
      </c>
      <c r="H1359">
        <v>81.900000000000006</v>
      </c>
      <c r="I1359">
        <v>94.08</v>
      </c>
      <c r="J1359">
        <v>0.26519999999999999</v>
      </c>
      <c r="K1359">
        <v>0.5101</v>
      </c>
      <c r="L1359">
        <v>0.2248</v>
      </c>
      <c r="M1359">
        <v>1.37</v>
      </c>
      <c r="N1359">
        <v>1.97</v>
      </c>
      <c r="O1359">
        <v>49.9</v>
      </c>
      <c r="P1359">
        <v>17.3</v>
      </c>
      <c r="Q1359">
        <v>0</v>
      </c>
      <c r="R1359">
        <v>1</v>
      </c>
      <c r="S1359">
        <v>1.4</v>
      </c>
      <c r="T1359">
        <v>1.89</v>
      </c>
      <c r="U1359">
        <v>1.1100000000000001</v>
      </c>
      <c r="V1359">
        <v>3.88</v>
      </c>
      <c r="W1359">
        <v>0</v>
      </c>
      <c r="X1359">
        <v>1.05</v>
      </c>
    </row>
    <row r="1360" spans="1:24" x14ac:dyDescent="0.35">
      <c r="A1360" t="str">
        <f t="shared" si="3"/>
        <v>AFC BournemouthWatford</v>
      </c>
      <c r="B1360">
        <v>2019</v>
      </c>
      <c r="C1360" s="1">
        <v>43842</v>
      </c>
      <c r="D1360">
        <v>2411</v>
      </c>
      <c r="E1360" t="s">
        <v>23</v>
      </c>
      <c r="F1360" t="s">
        <v>38</v>
      </c>
      <c r="G1360" t="s">
        <v>35</v>
      </c>
      <c r="H1360">
        <v>65.91</v>
      </c>
      <c r="I1360">
        <v>70.44</v>
      </c>
      <c r="J1360">
        <v>0.40360000000000001</v>
      </c>
      <c r="K1360">
        <v>0.32569999999999999</v>
      </c>
      <c r="L1360">
        <v>0.2707</v>
      </c>
      <c r="M1360">
        <v>1.37</v>
      </c>
      <c r="N1360">
        <v>1.21</v>
      </c>
      <c r="O1360">
        <v>59.5</v>
      </c>
      <c r="P1360">
        <v>56</v>
      </c>
      <c r="Q1360">
        <v>0</v>
      </c>
      <c r="R1360">
        <v>3</v>
      </c>
      <c r="S1360">
        <v>0.35</v>
      </c>
      <c r="T1360">
        <v>2.34</v>
      </c>
      <c r="U1360">
        <v>1.25</v>
      </c>
      <c r="V1360">
        <v>2.2200000000000002</v>
      </c>
      <c r="W1360">
        <v>0</v>
      </c>
      <c r="X1360">
        <v>2.63</v>
      </c>
    </row>
    <row r="1361" spans="1:24" x14ac:dyDescent="0.35">
      <c r="A1361" t="str">
        <f t="shared" si="3"/>
        <v>Aston VillaManchester City</v>
      </c>
      <c r="B1361">
        <v>2019</v>
      </c>
      <c r="C1361" s="1">
        <v>43842</v>
      </c>
      <c r="D1361">
        <v>2411</v>
      </c>
      <c r="E1361" t="s">
        <v>23</v>
      </c>
      <c r="F1361" t="s">
        <v>52</v>
      </c>
      <c r="G1361" t="s">
        <v>36</v>
      </c>
      <c r="H1361">
        <v>61.64</v>
      </c>
      <c r="I1361">
        <v>93.85</v>
      </c>
      <c r="J1361">
        <v>0.10680000000000001</v>
      </c>
      <c r="K1361">
        <v>0.752</v>
      </c>
      <c r="L1361">
        <v>0.14119999999999999</v>
      </c>
      <c r="M1361">
        <v>1.1000000000000001</v>
      </c>
      <c r="N1361">
        <v>3</v>
      </c>
      <c r="O1361">
        <v>47.1</v>
      </c>
      <c r="P1361">
        <v>6.1</v>
      </c>
      <c r="Q1361">
        <v>1</v>
      </c>
      <c r="R1361">
        <v>6</v>
      </c>
      <c r="S1361">
        <v>1.06</v>
      </c>
      <c r="T1361">
        <v>3.16</v>
      </c>
      <c r="U1361">
        <v>0.71</v>
      </c>
      <c r="V1361">
        <v>3.24</v>
      </c>
      <c r="W1361">
        <v>1.05</v>
      </c>
      <c r="X1361">
        <v>6.03</v>
      </c>
    </row>
    <row r="1362" spans="1:24" x14ac:dyDescent="0.35">
      <c r="A1362" t="str">
        <f t="shared" si="3"/>
        <v>WatfordTottenham Hotspur</v>
      </c>
      <c r="B1362">
        <v>2019</v>
      </c>
      <c r="C1362" s="1">
        <v>43848</v>
      </c>
      <c r="D1362">
        <v>2411</v>
      </c>
      <c r="E1362" t="s">
        <v>23</v>
      </c>
      <c r="F1362" t="s">
        <v>35</v>
      </c>
      <c r="G1362" t="s">
        <v>29</v>
      </c>
      <c r="H1362">
        <v>72.540000000000006</v>
      </c>
      <c r="I1362">
        <v>81.33</v>
      </c>
      <c r="J1362">
        <v>0.3367</v>
      </c>
      <c r="K1362">
        <v>0.4103</v>
      </c>
      <c r="L1362">
        <v>0.253</v>
      </c>
      <c r="M1362">
        <v>1.37</v>
      </c>
      <c r="N1362">
        <v>1.54</v>
      </c>
      <c r="O1362">
        <v>34.6</v>
      </c>
      <c r="P1362">
        <v>32.6</v>
      </c>
      <c r="Q1362">
        <v>0</v>
      </c>
      <c r="R1362">
        <v>0</v>
      </c>
      <c r="S1362">
        <v>2.41</v>
      </c>
      <c r="T1362">
        <v>1.86</v>
      </c>
      <c r="U1362">
        <v>1.84</v>
      </c>
      <c r="V1362">
        <v>1.36</v>
      </c>
      <c r="W1362">
        <v>0</v>
      </c>
      <c r="X1362">
        <v>0</v>
      </c>
    </row>
    <row r="1363" spans="1:24" x14ac:dyDescent="0.35">
      <c r="A1363" t="str">
        <f t="shared" si="3"/>
        <v>Norwich CityAFC Bournemouth</v>
      </c>
      <c r="B1363">
        <v>2019</v>
      </c>
      <c r="C1363" s="1">
        <v>43848</v>
      </c>
      <c r="D1363">
        <v>2411</v>
      </c>
      <c r="E1363" t="s">
        <v>23</v>
      </c>
      <c r="F1363" t="s">
        <v>50</v>
      </c>
      <c r="G1363" t="s">
        <v>38</v>
      </c>
      <c r="H1363">
        <v>58.45</v>
      </c>
      <c r="I1363">
        <v>63.55</v>
      </c>
      <c r="J1363">
        <v>0.37290000000000001</v>
      </c>
      <c r="K1363">
        <v>0.36170000000000002</v>
      </c>
      <c r="L1363">
        <v>0.26529999999999998</v>
      </c>
      <c r="M1363">
        <v>1.36</v>
      </c>
      <c r="N1363">
        <v>1.33</v>
      </c>
      <c r="O1363">
        <v>20.9</v>
      </c>
      <c r="P1363">
        <v>55.5</v>
      </c>
      <c r="Q1363">
        <v>1</v>
      </c>
      <c r="R1363">
        <v>0</v>
      </c>
      <c r="S1363">
        <v>1.73</v>
      </c>
      <c r="T1363">
        <v>0.66</v>
      </c>
      <c r="U1363">
        <v>1.45</v>
      </c>
      <c r="V1363">
        <v>1.37</v>
      </c>
      <c r="W1363">
        <v>0.84</v>
      </c>
      <c r="X1363">
        <v>0</v>
      </c>
    </row>
    <row r="1364" spans="1:24" x14ac:dyDescent="0.35">
      <c r="A1364" t="str">
        <f t="shared" si="3"/>
        <v>West Ham UnitedEverton</v>
      </c>
      <c r="B1364">
        <v>2019</v>
      </c>
      <c r="C1364" s="1">
        <v>43848</v>
      </c>
      <c r="D1364">
        <v>2411</v>
      </c>
      <c r="E1364" t="s">
        <v>23</v>
      </c>
      <c r="F1364" t="s">
        <v>43</v>
      </c>
      <c r="G1364" t="s">
        <v>28</v>
      </c>
      <c r="H1364">
        <v>66.599999999999994</v>
      </c>
      <c r="I1364">
        <v>78.52</v>
      </c>
      <c r="J1364">
        <v>0.35580000000000001</v>
      </c>
      <c r="K1364">
        <v>0.38369999999999999</v>
      </c>
      <c r="L1364">
        <v>0.26050000000000001</v>
      </c>
      <c r="M1364">
        <v>1.36</v>
      </c>
      <c r="N1364">
        <v>1.42</v>
      </c>
      <c r="O1364">
        <v>41.7</v>
      </c>
      <c r="P1364">
        <v>9.5</v>
      </c>
      <c r="Q1364">
        <v>1</v>
      </c>
      <c r="R1364">
        <v>1</v>
      </c>
      <c r="S1364">
        <v>1.32</v>
      </c>
      <c r="T1364">
        <v>1.65</v>
      </c>
      <c r="U1364">
        <v>1.24</v>
      </c>
      <c r="V1364">
        <v>1.28</v>
      </c>
      <c r="W1364">
        <v>1.05</v>
      </c>
      <c r="X1364">
        <v>1.05</v>
      </c>
    </row>
    <row r="1365" spans="1:24" x14ac:dyDescent="0.35">
      <c r="A1365" t="str">
        <f t="shared" si="3"/>
        <v>SouthamptonWolverhampton</v>
      </c>
      <c r="B1365">
        <v>2019</v>
      </c>
      <c r="C1365" s="1">
        <v>43848</v>
      </c>
      <c r="D1365">
        <v>2411</v>
      </c>
      <c r="E1365" t="s">
        <v>23</v>
      </c>
      <c r="F1365" t="s">
        <v>34</v>
      </c>
      <c r="G1365" t="s">
        <v>49</v>
      </c>
      <c r="H1365">
        <v>71.77</v>
      </c>
      <c r="I1365">
        <v>77.819999999999993</v>
      </c>
      <c r="J1365">
        <v>0.37569999999999998</v>
      </c>
      <c r="K1365">
        <v>0.35</v>
      </c>
      <c r="L1365">
        <v>0.2742</v>
      </c>
      <c r="M1365">
        <v>1.3</v>
      </c>
      <c r="N1365">
        <v>1.24</v>
      </c>
      <c r="O1365">
        <v>6.9</v>
      </c>
      <c r="P1365">
        <v>19.8</v>
      </c>
      <c r="Q1365">
        <v>2</v>
      </c>
      <c r="R1365">
        <v>3</v>
      </c>
      <c r="S1365">
        <v>0.75</v>
      </c>
      <c r="T1365">
        <v>2.59</v>
      </c>
      <c r="U1365">
        <v>1.03</v>
      </c>
      <c r="V1365">
        <v>1.1000000000000001</v>
      </c>
      <c r="W1365">
        <v>2.1</v>
      </c>
      <c r="X1365">
        <v>3.15</v>
      </c>
    </row>
    <row r="1366" spans="1:24" x14ac:dyDescent="0.35">
      <c r="A1366" t="str">
        <f t="shared" si="3"/>
        <v>Manchester CityCrystal Palace</v>
      </c>
      <c r="B1366">
        <v>2019</v>
      </c>
      <c r="C1366" s="1">
        <v>43848</v>
      </c>
      <c r="D1366">
        <v>2411</v>
      </c>
      <c r="E1366" t="s">
        <v>23</v>
      </c>
      <c r="F1366" t="s">
        <v>36</v>
      </c>
      <c r="G1366" t="s">
        <v>30</v>
      </c>
      <c r="H1366">
        <v>94.12</v>
      </c>
      <c r="I1366">
        <v>69.69</v>
      </c>
      <c r="J1366">
        <v>0.8569</v>
      </c>
      <c r="K1366">
        <v>3.7400000000000003E-2</v>
      </c>
      <c r="L1366">
        <v>0.1057</v>
      </c>
      <c r="M1366">
        <v>2.86</v>
      </c>
      <c r="N1366">
        <v>0.46</v>
      </c>
      <c r="O1366">
        <v>3.4</v>
      </c>
      <c r="P1366">
        <v>7.2</v>
      </c>
      <c r="Q1366">
        <v>2</v>
      </c>
      <c r="R1366">
        <v>2</v>
      </c>
      <c r="S1366">
        <v>3.1</v>
      </c>
      <c r="T1366">
        <v>0.66</v>
      </c>
      <c r="U1366">
        <v>5.36</v>
      </c>
      <c r="V1366">
        <v>0.68</v>
      </c>
      <c r="W1366">
        <v>2.1</v>
      </c>
      <c r="X1366">
        <v>2.1</v>
      </c>
    </row>
    <row r="1367" spans="1:24" x14ac:dyDescent="0.35">
      <c r="A1367" t="str">
        <f t="shared" si="3"/>
        <v>Brighton and Hove AlbionAston Villa</v>
      </c>
      <c r="B1367">
        <v>2019</v>
      </c>
      <c r="C1367" s="1">
        <v>43848</v>
      </c>
      <c r="D1367">
        <v>2411</v>
      </c>
      <c r="E1367" t="s">
        <v>23</v>
      </c>
      <c r="F1367" t="s">
        <v>45</v>
      </c>
      <c r="G1367" t="s">
        <v>52</v>
      </c>
      <c r="H1367">
        <v>71.28</v>
      </c>
      <c r="I1367">
        <v>60.78</v>
      </c>
      <c r="J1367">
        <v>0.52690000000000003</v>
      </c>
      <c r="K1367">
        <v>0.23599999999999999</v>
      </c>
      <c r="L1367">
        <v>0.23710000000000001</v>
      </c>
      <c r="M1367">
        <v>1.81</v>
      </c>
      <c r="N1367">
        <v>1.1299999999999999</v>
      </c>
      <c r="O1367">
        <v>30.5</v>
      </c>
      <c r="P1367">
        <v>57.4</v>
      </c>
      <c r="Q1367">
        <v>1</v>
      </c>
      <c r="R1367">
        <v>1</v>
      </c>
      <c r="S1367">
        <v>1.1599999999999999</v>
      </c>
      <c r="T1367">
        <v>0.6</v>
      </c>
      <c r="U1367">
        <v>1.42</v>
      </c>
      <c r="V1367">
        <v>0.77</v>
      </c>
      <c r="W1367">
        <v>1.05</v>
      </c>
      <c r="X1367">
        <v>1.05</v>
      </c>
    </row>
    <row r="1368" spans="1:24" x14ac:dyDescent="0.35">
      <c r="A1368" t="str">
        <f t="shared" si="3"/>
        <v>ArsenalSheffield United</v>
      </c>
      <c r="B1368">
        <v>2019</v>
      </c>
      <c r="C1368" s="1">
        <v>43848</v>
      </c>
      <c r="D1368">
        <v>2411</v>
      </c>
      <c r="E1368" t="s">
        <v>23</v>
      </c>
      <c r="F1368" t="s">
        <v>40</v>
      </c>
      <c r="G1368" t="s">
        <v>51</v>
      </c>
      <c r="H1368">
        <v>76.75</v>
      </c>
      <c r="I1368">
        <v>72.75</v>
      </c>
      <c r="J1368">
        <v>0.5081</v>
      </c>
      <c r="K1368">
        <v>0.2293</v>
      </c>
      <c r="L1368">
        <v>0.2626</v>
      </c>
      <c r="M1368">
        <v>1.55</v>
      </c>
      <c r="N1368">
        <v>0.95</v>
      </c>
      <c r="O1368">
        <v>6</v>
      </c>
      <c r="P1368">
        <v>13</v>
      </c>
      <c r="Q1368">
        <v>1</v>
      </c>
      <c r="R1368">
        <v>1</v>
      </c>
      <c r="S1368">
        <v>1.0900000000000001</v>
      </c>
      <c r="T1368">
        <v>1.1000000000000001</v>
      </c>
      <c r="U1368">
        <v>0.98</v>
      </c>
      <c r="V1368">
        <v>1.1599999999999999</v>
      </c>
      <c r="W1368">
        <v>1.05</v>
      </c>
      <c r="X1368">
        <v>1.05</v>
      </c>
    </row>
    <row r="1369" spans="1:24" x14ac:dyDescent="0.35">
      <c r="A1369" t="str">
        <f t="shared" si="3"/>
        <v>NewcastleChelsea</v>
      </c>
      <c r="B1369">
        <v>2019</v>
      </c>
      <c r="C1369" s="1">
        <v>43848</v>
      </c>
      <c r="D1369">
        <v>2411</v>
      </c>
      <c r="E1369" t="s">
        <v>23</v>
      </c>
      <c r="F1369" t="s">
        <v>46</v>
      </c>
      <c r="G1369" t="s">
        <v>42</v>
      </c>
      <c r="H1369">
        <v>61.99</v>
      </c>
      <c r="I1369">
        <v>85.76</v>
      </c>
      <c r="J1369">
        <v>0.1633</v>
      </c>
      <c r="K1369">
        <v>0.62350000000000005</v>
      </c>
      <c r="L1369">
        <v>0.2132</v>
      </c>
      <c r="M1369">
        <v>0.93</v>
      </c>
      <c r="N1369">
        <v>2.02</v>
      </c>
      <c r="O1369">
        <v>30.7</v>
      </c>
      <c r="P1369">
        <v>65.5</v>
      </c>
      <c r="Q1369">
        <v>1</v>
      </c>
      <c r="R1369">
        <v>0</v>
      </c>
      <c r="S1369">
        <v>0.81</v>
      </c>
      <c r="T1369">
        <v>2.15</v>
      </c>
      <c r="U1369">
        <v>0.82</v>
      </c>
      <c r="V1369">
        <v>2.29</v>
      </c>
      <c r="W1369">
        <v>1.05</v>
      </c>
      <c r="X1369">
        <v>0</v>
      </c>
    </row>
    <row r="1370" spans="1:24" x14ac:dyDescent="0.35">
      <c r="A1370" t="str">
        <f t="shared" si="3"/>
        <v>BurnleyLeicester City</v>
      </c>
      <c r="B1370">
        <v>2019</v>
      </c>
      <c r="C1370" s="1">
        <v>43849</v>
      </c>
      <c r="D1370">
        <v>2411</v>
      </c>
      <c r="E1370" t="s">
        <v>23</v>
      </c>
      <c r="F1370" t="s">
        <v>32</v>
      </c>
      <c r="G1370" t="s">
        <v>25</v>
      </c>
      <c r="H1370">
        <v>67.91</v>
      </c>
      <c r="I1370">
        <v>80.97</v>
      </c>
      <c r="J1370">
        <v>0.28949999999999998</v>
      </c>
      <c r="K1370">
        <v>0.44829999999999998</v>
      </c>
      <c r="L1370">
        <v>0.26229999999999998</v>
      </c>
      <c r="M1370">
        <v>1.1599999999999999</v>
      </c>
      <c r="N1370">
        <v>1.51</v>
      </c>
      <c r="O1370">
        <v>34</v>
      </c>
      <c r="P1370">
        <v>37.5</v>
      </c>
      <c r="Q1370">
        <v>2</v>
      </c>
      <c r="R1370">
        <v>1</v>
      </c>
      <c r="S1370">
        <v>1.04</v>
      </c>
      <c r="T1370">
        <v>2.27</v>
      </c>
      <c r="U1370">
        <v>0.77</v>
      </c>
      <c r="V1370">
        <v>2.1800000000000002</v>
      </c>
      <c r="W1370">
        <v>2.1</v>
      </c>
      <c r="X1370">
        <v>1.05</v>
      </c>
    </row>
    <row r="1371" spans="1:24" x14ac:dyDescent="0.35">
      <c r="A1371" t="str">
        <f t="shared" si="3"/>
        <v>LiverpoolManchester United</v>
      </c>
      <c r="B1371">
        <v>2019</v>
      </c>
      <c r="C1371" s="1">
        <v>43849</v>
      </c>
      <c r="D1371">
        <v>2411</v>
      </c>
      <c r="E1371" t="s">
        <v>23</v>
      </c>
      <c r="F1371" t="s">
        <v>41</v>
      </c>
      <c r="G1371" t="s">
        <v>39</v>
      </c>
      <c r="H1371">
        <v>94.34</v>
      </c>
      <c r="I1371">
        <v>82.12</v>
      </c>
      <c r="J1371">
        <v>0.65229999999999999</v>
      </c>
      <c r="K1371">
        <v>0.1482</v>
      </c>
      <c r="L1371">
        <v>0.19950000000000001</v>
      </c>
      <c r="M1371">
        <v>2.16</v>
      </c>
      <c r="N1371">
        <v>0.92</v>
      </c>
      <c r="O1371">
        <v>9.5</v>
      </c>
      <c r="P1371">
        <v>59.4</v>
      </c>
      <c r="Q1371">
        <v>2</v>
      </c>
      <c r="R1371">
        <v>0</v>
      </c>
      <c r="S1371">
        <v>2.5099999999999998</v>
      </c>
      <c r="T1371">
        <v>1.28</v>
      </c>
      <c r="U1371">
        <v>2.2999999999999998</v>
      </c>
      <c r="V1371">
        <v>1</v>
      </c>
      <c r="W1371">
        <v>1.58</v>
      </c>
      <c r="X1371">
        <v>0</v>
      </c>
    </row>
    <row r="1372" spans="1:24" x14ac:dyDescent="0.35">
      <c r="A1372" t="str">
        <f t="shared" si="3"/>
        <v>EvertonNewcastle</v>
      </c>
      <c r="B1372">
        <v>2019</v>
      </c>
      <c r="C1372" s="1">
        <v>43851</v>
      </c>
      <c r="D1372">
        <v>2411</v>
      </c>
      <c r="E1372" t="s">
        <v>23</v>
      </c>
      <c r="F1372" t="s">
        <v>28</v>
      </c>
      <c r="G1372" t="s">
        <v>46</v>
      </c>
      <c r="H1372">
        <v>78.540000000000006</v>
      </c>
      <c r="I1372">
        <v>62.34</v>
      </c>
      <c r="J1372">
        <v>0.62039999999999995</v>
      </c>
      <c r="K1372">
        <v>0.1454</v>
      </c>
      <c r="L1372">
        <v>0.23419999999999999</v>
      </c>
      <c r="M1372">
        <v>1.76</v>
      </c>
      <c r="N1372">
        <v>0.71</v>
      </c>
      <c r="O1372">
        <v>7.9</v>
      </c>
      <c r="P1372">
        <v>20.100000000000001</v>
      </c>
      <c r="Q1372">
        <v>2</v>
      </c>
      <c r="R1372">
        <v>2</v>
      </c>
      <c r="S1372">
        <v>2.08</v>
      </c>
      <c r="T1372">
        <v>0.65</v>
      </c>
      <c r="U1372">
        <v>1.51</v>
      </c>
      <c r="V1372">
        <v>0.55000000000000004</v>
      </c>
      <c r="W1372">
        <v>2.1</v>
      </c>
      <c r="X1372">
        <v>2.1</v>
      </c>
    </row>
    <row r="1373" spans="1:24" x14ac:dyDescent="0.35">
      <c r="A1373" t="str">
        <f t="shared" si="3"/>
        <v>Aston VillaWatford</v>
      </c>
      <c r="B1373">
        <v>2019</v>
      </c>
      <c r="C1373" s="1">
        <v>43851</v>
      </c>
      <c r="D1373">
        <v>2411</v>
      </c>
      <c r="E1373" t="s">
        <v>23</v>
      </c>
      <c r="F1373" t="s">
        <v>52</v>
      </c>
      <c r="G1373" t="s">
        <v>35</v>
      </c>
      <c r="H1373">
        <v>61.3</v>
      </c>
      <c r="I1373">
        <v>73.069999999999993</v>
      </c>
      <c r="J1373">
        <v>0.35859999999999997</v>
      </c>
      <c r="K1373">
        <v>0.38779999999999998</v>
      </c>
      <c r="L1373">
        <v>0.25359999999999999</v>
      </c>
      <c r="M1373">
        <v>1.42</v>
      </c>
      <c r="N1373">
        <v>1.49</v>
      </c>
      <c r="O1373">
        <v>61.6</v>
      </c>
      <c r="P1373">
        <v>43</v>
      </c>
      <c r="Q1373">
        <v>2</v>
      </c>
      <c r="R1373">
        <v>1</v>
      </c>
      <c r="S1373">
        <v>1.35</v>
      </c>
      <c r="T1373">
        <v>1.72</v>
      </c>
      <c r="U1373">
        <v>1.62</v>
      </c>
      <c r="V1373">
        <v>0.83</v>
      </c>
      <c r="W1373">
        <v>2.1</v>
      </c>
      <c r="X1373">
        <v>1.05</v>
      </c>
    </row>
    <row r="1374" spans="1:24" x14ac:dyDescent="0.35">
      <c r="A1374" t="str">
        <f t="shared" si="3"/>
        <v>Crystal PalaceSouthampton</v>
      </c>
      <c r="B1374">
        <v>2019</v>
      </c>
      <c r="C1374" s="1">
        <v>43851</v>
      </c>
      <c r="D1374">
        <v>2411</v>
      </c>
      <c r="E1374" t="s">
        <v>23</v>
      </c>
      <c r="F1374" t="s">
        <v>30</v>
      </c>
      <c r="G1374" t="s">
        <v>34</v>
      </c>
      <c r="H1374">
        <v>69.819999999999993</v>
      </c>
      <c r="I1374">
        <v>70.459999999999994</v>
      </c>
      <c r="J1374">
        <v>0.42630000000000001</v>
      </c>
      <c r="K1374">
        <v>0.30430000000000001</v>
      </c>
      <c r="L1374">
        <v>0.26929999999999998</v>
      </c>
      <c r="M1374">
        <v>1.42</v>
      </c>
      <c r="N1374">
        <v>1.1599999999999999</v>
      </c>
      <c r="O1374">
        <v>8.1999999999999993</v>
      </c>
      <c r="P1374">
        <v>10.9</v>
      </c>
      <c r="Q1374">
        <v>0</v>
      </c>
      <c r="R1374">
        <v>2</v>
      </c>
      <c r="S1374">
        <v>0.64</v>
      </c>
      <c r="T1374">
        <v>0.94</v>
      </c>
      <c r="U1374">
        <v>1.2</v>
      </c>
      <c r="V1374">
        <v>1.53</v>
      </c>
      <c r="W1374">
        <v>0</v>
      </c>
      <c r="X1374">
        <v>2.1</v>
      </c>
    </row>
    <row r="1375" spans="1:24" x14ac:dyDescent="0.35">
      <c r="A1375" t="str">
        <f t="shared" si="3"/>
        <v>Sheffield UnitedManchester City</v>
      </c>
      <c r="B1375">
        <v>2019</v>
      </c>
      <c r="C1375" s="1">
        <v>43851</v>
      </c>
      <c r="D1375">
        <v>2411</v>
      </c>
      <c r="E1375" t="s">
        <v>23</v>
      </c>
      <c r="F1375" t="s">
        <v>51</v>
      </c>
      <c r="G1375" t="s">
        <v>36</v>
      </c>
      <c r="H1375">
        <v>73.52</v>
      </c>
      <c r="I1375">
        <v>93.89</v>
      </c>
      <c r="J1375">
        <v>0.15859999999999999</v>
      </c>
      <c r="K1375">
        <v>0.64339999999999997</v>
      </c>
      <c r="L1375">
        <v>0.19800000000000001</v>
      </c>
      <c r="M1375">
        <v>1.01</v>
      </c>
      <c r="N1375">
        <v>2.2200000000000002</v>
      </c>
      <c r="O1375">
        <v>18.100000000000001</v>
      </c>
      <c r="P1375">
        <v>2.7</v>
      </c>
      <c r="Q1375">
        <v>0</v>
      </c>
      <c r="R1375">
        <v>1</v>
      </c>
      <c r="S1375">
        <v>0.82</v>
      </c>
      <c r="T1375">
        <v>2.93</v>
      </c>
      <c r="U1375">
        <v>1.05</v>
      </c>
      <c r="V1375">
        <v>2.57</v>
      </c>
      <c r="W1375">
        <v>0</v>
      </c>
      <c r="X1375">
        <v>1.05</v>
      </c>
    </row>
    <row r="1376" spans="1:24" x14ac:dyDescent="0.35">
      <c r="A1376" t="str">
        <f t="shared" si="3"/>
        <v>AFC BournemouthBrighton and Hove Albion</v>
      </c>
      <c r="B1376">
        <v>2019</v>
      </c>
      <c r="C1376" s="1">
        <v>43851</v>
      </c>
      <c r="D1376">
        <v>2411</v>
      </c>
      <c r="E1376" t="s">
        <v>23</v>
      </c>
      <c r="F1376" t="s">
        <v>38</v>
      </c>
      <c r="G1376" t="s">
        <v>45</v>
      </c>
      <c r="H1376">
        <v>63.18</v>
      </c>
      <c r="I1376">
        <v>71.180000000000007</v>
      </c>
      <c r="J1376">
        <v>0.38629999999999998</v>
      </c>
      <c r="K1376">
        <v>0.33839999999999998</v>
      </c>
      <c r="L1376">
        <v>0.27529999999999999</v>
      </c>
      <c r="M1376">
        <v>1.31</v>
      </c>
      <c r="N1376">
        <v>1.21</v>
      </c>
      <c r="O1376">
        <v>54.3</v>
      </c>
      <c r="P1376">
        <v>31.3</v>
      </c>
      <c r="Q1376">
        <v>3</v>
      </c>
      <c r="R1376">
        <v>1</v>
      </c>
      <c r="S1376">
        <v>1.65</v>
      </c>
      <c r="T1376">
        <v>2.15</v>
      </c>
      <c r="U1376">
        <v>1.43</v>
      </c>
      <c r="V1376">
        <v>1.7</v>
      </c>
      <c r="W1376">
        <v>3.07</v>
      </c>
      <c r="X1376">
        <v>1.05</v>
      </c>
    </row>
    <row r="1377" spans="1:24" x14ac:dyDescent="0.35">
      <c r="A1377" t="str">
        <f t="shared" si="3"/>
        <v>ChelseaArsenal</v>
      </c>
      <c r="B1377">
        <v>2019</v>
      </c>
      <c r="C1377" s="1">
        <v>43851</v>
      </c>
      <c r="D1377">
        <v>2411</v>
      </c>
      <c r="E1377" t="s">
        <v>23</v>
      </c>
      <c r="F1377" t="s">
        <v>42</v>
      </c>
      <c r="G1377" t="s">
        <v>40</v>
      </c>
      <c r="H1377">
        <v>85.66</v>
      </c>
      <c r="I1377">
        <v>76.11</v>
      </c>
      <c r="J1377">
        <v>0.64580000000000004</v>
      </c>
      <c r="K1377">
        <v>0.15029999999999999</v>
      </c>
      <c r="L1377">
        <v>0.2039</v>
      </c>
      <c r="M1377">
        <v>2.11</v>
      </c>
      <c r="N1377">
        <v>0.91</v>
      </c>
      <c r="O1377">
        <v>73.5</v>
      </c>
      <c r="P1377">
        <v>9.8000000000000007</v>
      </c>
      <c r="Q1377">
        <v>2</v>
      </c>
      <c r="R1377">
        <v>2</v>
      </c>
      <c r="S1377">
        <v>3.23</v>
      </c>
      <c r="T1377">
        <v>0.48</v>
      </c>
      <c r="U1377">
        <v>3.07</v>
      </c>
      <c r="V1377">
        <v>0.31</v>
      </c>
      <c r="W1377">
        <v>1.68</v>
      </c>
      <c r="X1377">
        <v>2.1</v>
      </c>
    </row>
    <row r="1378" spans="1:24" x14ac:dyDescent="0.35">
      <c r="A1378" t="str">
        <f t="shared" si="3"/>
        <v>Leicester CityWest Ham United</v>
      </c>
      <c r="B1378">
        <v>2019</v>
      </c>
      <c r="C1378" s="1">
        <v>43852</v>
      </c>
      <c r="D1378">
        <v>2411</v>
      </c>
      <c r="E1378" t="s">
        <v>23</v>
      </c>
      <c r="F1378" t="s">
        <v>25</v>
      </c>
      <c r="G1378" t="s">
        <v>43</v>
      </c>
      <c r="H1378">
        <v>81.010000000000005</v>
      </c>
      <c r="I1378">
        <v>66.69</v>
      </c>
      <c r="J1378">
        <v>0.62790000000000001</v>
      </c>
      <c r="K1378">
        <v>0.16209999999999999</v>
      </c>
      <c r="L1378">
        <v>0.2099</v>
      </c>
      <c r="M1378">
        <v>2.06</v>
      </c>
      <c r="N1378">
        <v>0.94</v>
      </c>
      <c r="O1378">
        <v>47.8</v>
      </c>
      <c r="P1378">
        <v>44.5</v>
      </c>
      <c r="Q1378">
        <v>4</v>
      </c>
      <c r="R1378">
        <v>1</v>
      </c>
      <c r="S1378">
        <v>2.68</v>
      </c>
      <c r="T1378">
        <v>1.22</v>
      </c>
      <c r="U1378">
        <v>2.13</v>
      </c>
      <c r="V1378">
        <v>0.87</v>
      </c>
      <c r="W1378">
        <v>3.46</v>
      </c>
      <c r="X1378">
        <v>1.05</v>
      </c>
    </row>
    <row r="1379" spans="1:24" x14ac:dyDescent="0.35">
      <c r="A1379" t="str">
        <f t="shared" si="3"/>
        <v>Tottenham HotspurNorwich City</v>
      </c>
      <c r="B1379">
        <v>2019</v>
      </c>
      <c r="C1379" s="1">
        <v>43852</v>
      </c>
      <c r="D1379">
        <v>2411</v>
      </c>
      <c r="E1379" t="s">
        <v>23</v>
      </c>
      <c r="F1379" t="s">
        <v>29</v>
      </c>
      <c r="G1379" t="s">
        <v>50</v>
      </c>
      <c r="H1379">
        <v>80.98</v>
      </c>
      <c r="I1379">
        <v>59.19</v>
      </c>
      <c r="J1379">
        <v>0.73319999999999996</v>
      </c>
      <c r="K1379">
        <v>9.6600000000000005E-2</v>
      </c>
      <c r="L1379">
        <v>0.1701</v>
      </c>
      <c r="M1379">
        <v>2.35</v>
      </c>
      <c r="N1379">
        <v>0.73</v>
      </c>
      <c r="O1379">
        <v>29.6</v>
      </c>
      <c r="P1379">
        <v>29.4</v>
      </c>
      <c r="Q1379">
        <v>2</v>
      </c>
      <c r="R1379">
        <v>1</v>
      </c>
      <c r="S1379">
        <v>2.33</v>
      </c>
      <c r="T1379">
        <v>1.45</v>
      </c>
      <c r="U1379">
        <v>1.04</v>
      </c>
      <c r="V1379">
        <v>1.34</v>
      </c>
      <c r="W1379">
        <v>2.1</v>
      </c>
      <c r="X1379">
        <v>1.05</v>
      </c>
    </row>
    <row r="1380" spans="1:24" x14ac:dyDescent="0.35">
      <c r="A1380" t="str">
        <f t="shared" si="3"/>
        <v>Manchester UnitedBurnley</v>
      </c>
      <c r="B1380">
        <v>2019</v>
      </c>
      <c r="C1380" s="1">
        <v>43852</v>
      </c>
      <c r="D1380">
        <v>2411</v>
      </c>
      <c r="E1380" t="s">
        <v>23</v>
      </c>
      <c r="F1380" t="s">
        <v>39</v>
      </c>
      <c r="G1380" t="s">
        <v>32</v>
      </c>
      <c r="H1380">
        <v>82.15</v>
      </c>
      <c r="I1380">
        <v>67.680000000000007</v>
      </c>
      <c r="J1380">
        <v>0.65129999999999999</v>
      </c>
      <c r="K1380">
        <v>0.13270000000000001</v>
      </c>
      <c r="L1380">
        <v>0.216</v>
      </c>
      <c r="M1380">
        <v>1.92</v>
      </c>
      <c r="N1380">
        <v>0.73</v>
      </c>
      <c r="O1380">
        <v>44.3</v>
      </c>
      <c r="P1380">
        <v>21.8</v>
      </c>
      <c r="Q1380">
        <v>0</v>
      </c>
      <c r="R1380">
        <v>2</v>
      </c>
      <c r="S1380">
        <v>1.39</v>
      </c>
      <c r="T1380">
        <v>0.86</v>
      </c>
      <c r="U1380">
        <v>2.69</v>
      </c>
      <c r="V1380">
        <v>0.81</v>
      </c>
      <c r="W1380">
        <v>0</v>
      </c>
      <c r="X1380">
        <v>2.1</v>
      </c>
    </row>
    <row r="1381" spans="1:24" x14ac:dyDescent="0.35">
      <c r="A1381" t="str">
        <f t="shared" si="3"/>
        <v>WolverhamptonLiverpool</v>
      </c>
      <c r="B1381">
        <v>2019</v>
      </c>
      <c r="C1381" s="1">
        <v>43853</v>
      </c>
      <c r="D1381">
        <v>2411</v>
      </c>
      <c r="E1381" t="s">
        <v>23</v>
      </c>
      <c r="F1381" t="s">
        <v>49</v>
      </c>
      <c r="G1381" t="s">
        <v>41</v>
      </c>
      <c r="H1381">
        <v>78.63</v>
      </c>
      <c r="I1381">
        <v>94.3</v>
      </c>
      <c r="J1381">
        <v>0.2195</v>
      </c>
      <c r="K1381">
        <v>0.54859999999999998</v>
      </c>
      <c r="L1381">
        <v>0.2319</v>
      </c>
      <c r="M1381">
        <v>1.1000000000000001</v>
      </c>
      <c r="N1381">
        <v>1.86</v>
      </c>
      <c r="O1381">
        <v>43.2</v>
      </c>
      <c r="P1381">
        <v>6.6</v>
      </c>
      <c r="Q1381">
        <v>1</v>
      </c>
      <c r="R1381">
        <v>2</v>
      </c>
      <c r="S1381">
        <v>1.82</v>
      </c>
      <c r="T1381">
        <v>1.41</v>
      </c>
      <c r="U1381">
        <v>1.18</v>
      </c>
      <c r="V1381">
        <v>1.64</v>
      </c>
      <c r="W1381">
        <v>1.05</v>
      </c>
      <c r="X1381">
        <v>2.1</v>
      </c>
    </row>
    <row r="1382" spans="1:24" x14ac:dyDescent="0.35">
      <c r="A1382" t="str">
        <f t="shared" si="3"/>
        <v>West Ham UnitedLiverpool</v>
      </c>
      <c r="B1382">
        <v>2019</v>
      </c>
      <c r="C1382" s="1">
        <v>43859</v>
      </c>
      <c r="D1382">
        <v>2411</v>
      </c>
      <c r="E1382" t="s">
        <v>23</v>
      </c>
      <c r="F1382" t="s">
        <v>43</v>
      </c>
      <c r="G1382" t="s">
        <v>41</v>
      </c>
      <c r="H1382">
        <v>66.05</v>
      </c>
      <c r="I1382">
        <v>94.14</v>
      </c>
      <c r="J1382">
        <v>0.13669999999999999</v>
      </c>
      <c r="K1382">
        <v>0.68930000000000002</v>
      </c>
      <c r="L1382">
        <v>0.17399999999999999</v>
      </c>
      <c r="M1382">
        <v>1.05</v>
      </c>
      <c r="N1382">
        <v>2.52</v>
      </c>
      <c r="O1382">
        <v>50.5</v>
      </c>
      <c r="P1382">
        <v>4.5</v>
      </c>
      <c r="Q1382">
        <v>0</v>
      </c>
      <c r="R1382">
        <v>2</v>
      </c>
      <c r="S1382">
        <v>0.91</v>
      </c>
      <c r="T1382">
        <v>2.68</v>
      </c>
      <c r="U1382">
        <v>0.68</v>
      </c>
      <c r="V1382">
        <v>2.14</v>
      </c>
      <c r="W1382">
        <v>0</v>
      </c>
      <c r="X1382">
        <v>2.1</v>
      </c>
    </row>
    <row r="1383" spans="1:24" x14ac:dyDescent="0.35">
      <c r="A1383" t="str">
        <f t="shared" si="3"/>
        <v>Leicester CityChelsea</v>
      </c>
      <c r="B1383">
        <v>2019</v>
      </c>
      <c r="C1383" s="1">
        <v>43862</v>
      </c>
      <c r="D1383">
        <v>2411</v>
      </c>
      <c r="E1383" t="s">
        <v>23</v>
      </c>
      <c r="F1383" t="s">
        <v>25</v>
      </c>
      <c r="G1383" t="s">
        <v>42</v>
      </c>
      <c r="H1383">
        <v>81.3</v>
      </c>
      <c r="I1383">
        <v>86.07</v>
      </c>
      <c r="J1383">
        <v>0.35110000000000002</v>
      </c>
      <c r="K1383">
        <v>0.40179999999999999</v>
      </c>
      <c r="L1383">
        <v>0.24709999999999999</v>
      </c>
      <c r="M1383">
        <v>1.46</v>
      </c>
      <c r="N1383">
        <v>1.58</v>
      </c>
      <c r="O1383">
        <v>34.4</v>
      </c>
      <c r="P1383">
        <v>71.5</v>
      </c>
      <c r="Q1383">
        <v>2</v>
      </c>
      <c r="R1383">
        <v>2</v>
      </c>
      <c r="S1383">
        <v>1.6</v>
      </c>
      <c r="T1383">
        <v>0.79</v>
      </c>
      <c r="U1383">
        <v>1.1299999999999999</v>
      </c>
      <c r="V1383">
        <v>1.35</v>
      </c>
      <c r="W1383">
        <v>2.1</v>
      </c>
      <c r="X1383">
        <v>2.1</v>
      </c>
    </row>
    <row r="1384" spans="1:24" x14ac:dyDescent="0.35">
      <c r="A1384" t="str">
        <f t="shared" si="3"/>
        <v>WatfordEverton</v>
      </c>
      <c r="B1384">
        <v>2019</v>
      </c>
      <c r="C1384" s="1">
        <v>43862</v>
      </c>
      <c r="D1384">
        <v>2411</v>
      </c>
      <c r="E1384" t="s">
        <v>23</v>
      </c>
      <c r="F1384" t="s">
        <v>35</v>
      </c>
      <c r="G1384" t="s">
        <v>28</v>
      </c>
      <c r="H1384">
        <v>72.44</v>
      </c>
      <c r="I1384">
        <v>78.02</v>
      </c>
      <c r="J1384">
        <v>0.41949999999999998</v>
      </c>
      <c r="K1384">
        <v>0.30930000000000002</v>
      </c>
      <c r="L1384">
        <v>0.27110000000000001</v>
      </c>
      <c r="M1384">
        <v>1.4</v>
      </c>
      <c r="N1384">
        <v>1.1599999999999999</v>
      </c>
      <c r="O1384">
        <v>46</v>
      </c>
      <c r="P1384">
        <v>6.8</v>
      </c>
      <c r="Q1384">
        <v>2</v>
      </c>
      <c r="R1384">
        <v>3</v>
      </c>
      <c r="S1384">
        <v>0.88</v>
      </c>
      <c r="T1384">
        <v>2.71</v>
      </c>
      <c r="U1384">
        <v>0.93</v>
      </c>
      <c r="V1384">
        <v>1.1599999999999999</v>
      </c>
      <c r="W1384">
        <v>2.1</v>
      </c>
      <c r="X1384">
        <v>3.15</v>
      </c>
    </row>
    <row r="1385" spans="1:24" x14ac:dyDescent="0.35">
      <c r="A1385" t="str">
        <f t="shared" si="3"/>
        <v>AFC BournemouthAston Villa</v>
      </c>
      <c r="B1385">
        <v>2019</v>
      </c>
      <c r="C1385" s="1">
        <v>43862</v>
      </c>
      <c r="D1385">
        <v>2411</v>
      </c>
      <c r="E1385" t="s">
        <v>23</v>
      </c>
      <c r="F1385" t="s">
        <v>38</v>
      </c>
      <c r="G1385" t="s">
        <v>52</v>
      </c>
      <c r="H1385">
        <v>63.46</v>
      </c>
      <c r="I1385">
        <v>61.99</v>
      </c>
      <c r="J1385">
        <v>0.4556</v>
      </c>
      <c r="K1385">
        <v>0.29630000000000001</v>
      </c>
      <c r="L1385">
        <v>0.248</v>
      </c>
      <c r="M1385">
        <v>1.65</v>
      </c>
      <c r="N1385">
        <v>1.29</v>
      </c>
      <c r="O1385">
        <v>66.900000000000006</v>
      </c>
      <c r="P1385">
        <v>66.400000000000006</v>
      </c>
      <c r="Q1385">
        <v>2</v>
      </c>
      <c r="R1385">
        <v>1</v>
      </c>
      <c r="S1385">
        <v>2.69</v>
      </c>
      <c r="T1385">
        <v>1.62</v>
      </c>
      <c r="U1385">
        <v>1.06</v>
      </c>
      <c r="V1385">
        <v>1.96</v>
      </c>
      <c r="W1385">
        <v>2.1</v>
      </c>
      <c r="X1385">
        <v>0.84</v>
      </c>
    </row>
    <row r="1386" spans="1:24" x14ac:dyDescent="0.35">
      <c r="A1386" t="str">
        <f t="shared" si="3"/>
        <v>Crystal PalaceSheffield United</v>
      </c>
      <c r="B1386">
        <v>2019</v>
      </c>
      <c r="C1386" s="1">
        <v>43862</v>
      </c>
      <c r="D1386">
        <v>2411</v>
      </c>
      <c r="E1386" t="s">
        <v>23</v>
      </c>
      <c r="F1386" t="s">
        <v>30</v>
      </c>
      <c r="G1386" t="s">
        <v>51</v>
      </c>
      <c r="H1386">
        <v>68.62</v>
      </c>
      <c r="I1386">
        <v>73.180000000000007</v>
      </c>
      <c r="J1386">
        <v>0.40139999999999998</v>
      </c>
      <c r="K1386">
        <v>0.29799999999999999</v>
      </c>
      <c r="L1386">
        <v>0.30059999999999998</v>
      </c>
      <c r="M1386">
        <v>1.18</v>
      </c>
      <c r="N1386">
        <v>0.97</v>
      </c>
      <c r="O1386">
        <v>15.1</v>
      </c>
      <c r="P1386">
        <v>12.1</v>
      </c>
      <c r="Q1386">
        <v>0</v>
      </c>
      <c r="R1386">
        <v>1</v>
      </c>
      <c r="S1386">
        <v>1.08</v>
      </c>
      <c r="T1386">
        <v>0.8</v>
      </c>
      <c r="U1386">
        <v>1.1399999999999999</v>
      </c>
      <c r="V1386">
        <v>0.87</v>
      </c>
      <c r="W1386">
        <v>0</v>
      </c>
      <c r="X1386">
        <v>1.05</v>
      </c>
    </row>
    <row r="1387" spans="1:24" x14ac:dyDescent="0.35">
      <c r="A1387" t="str">
        <f t="shared" si="3"/>
        <v>NewcastleNorwich City</v>
      </c>
      <c r="B1387">
        <v>2019</v>
      </c>
      <c r="C1387" s="1">
        <v>43862</v>
      </c>
      <c r="D1387">
        <v>2411</v>
      </c>
      <c r="E1387" t="s">
        <v>23</v>
      </c>
      <c r="F1387" t="s">
        <v>46</v>
      </c>
      <c r="G1387" t="s">
        <v>50</v>
      </c>
      <c r="H1387">
        <v>62.67</v>
      </c>
      <c r="I1387">
        <v>60.22</v>
      </c>
      <c r="J1387">
        <v>0.47070000000000001</v>
      </c>
      <c r="K1387">
        <v>0.26429999999999998</v>
      </c>
      <c r="L1387">
        <v>0.2651</v>
      </c>
      <c r="M1387">
        <v>1.5</v>
      </c>
      <c r="N1387">
        <v>1.06</v>
      </c>
      <c r="O1387">
        <v>27.9</v>
      </c>
      <c r="P1387">
        <v>21.1</v>
      </c>
      <c r="Q1387">
        <v>0</v>
      </c>
      <c r="R1387">
        <v>0</v>
      </c>
      <c r="S1387">
        <v>1.03</v>
      </c>
      <c r="T1387">
        <v>2.35</v>
      </c>
      <c r="U1387">
        <v>0.97</v>
      </c>
      <c r="V1387">
        <v>1.78</v>
      </c>
      <c r="W1387">
        <v>0</v>
      </c>
      <c r="X1387">
        <v>0</v>
      </c>
    </row>
    <row r="1388" spans="1:24" x14ac:dyDescent="0.35">
      <c r="A1388" t="str">
        <f t="shared" si="3"/>
        <v>LiverpoolSouthampton</v>
      </c>
      <c r="B1388">
        <v>2019</v>
      </c>
      <c r="C1388" s="1">
        <v>43862</v>
      </c>
      <c r="D1388">
        <v>2411</v>
      </c>
      <c r="E1388" t="s">
        <v>23</v>
      </c>
      <c r="F1388" t="s">
        <v>41</v>
      </c>
      <c r="G1388" t="s">
        <v>34</v>
      </c>
      <c r="H1388">
        <v>94.18</v>
      </c>
      <c r="I1388">
        <v>71.86</v>
      </c>
      <c r="J1388">
        <v>0.83099999999999996</v>
      </c>
      <c r="K1388">
        <v>4.8599999999999997E-2</v>
      </c>
      <c r="L1388">
        <v>0.12039999999999999</v>
      </c>
      <c r="M1388">
        <v>2.74</v>
      </c>
      <c r="N1388">
        <v>0.53</v>
      </c>
      <c r="O1388">
        <v>4.7</v>
      </c>
      <c r="P1388">
        <v>7.3</v>
      </c>
      <c r="Q1388">
        <v>4</v>
      </c>
      <c r="R1388">
        <v>0</v>
      </c>
      <c r="S1388">
        <v>4.13</v>
      </c>
      <c r="T1388">
        <v>0.75</v>
      </c>
      <c r="U1388">
        <v>1.84</v>
      </c>
      <c r="V1388">
        <v>1.38</v>
      </c>
      <c r="W1388">
        <v>3.65</v>
      </c>
      <c r="X1388">
        <v>0</v>
      </c>
    </row>
    <row r="1389" spans="1:24" x14ac:dyDescent="0.35">
      <c r="A1389" t="str">
        <f t="shared" si="3"/>
        <v>West Ham UnitedBrighton and Hove Albion</v>
      </c>
      <c r="B1389">
        <v>2019</v>
      </c>
      <c r="C1389" s="1">
        <v>43862</v>
      </c>
      <c r="D1389">
        <v>2411</v>
      </c>
      <c r="E1389" t="s">
        <v>23</v>
      </c>
      <c r="F1389" t="s">
        <v>43</v>
      </c>
      <c r="G1389" t="s">
        <v>45</v>
      </c>
      <c r="H1389">
        <v>65.73</v>
      </c>
      <c r="I1389">
        <v>70.36</v>
      </c>
      <c r="J1389">
        <v>0.42820000000000003</v>
      </c>
      <c r="K1389">
        <v>0.31369999999999998</v>
      </c>
      <c r="L1389">
        <v>0.25819999999999999</v>
      </c>
      <c r="M1389">
        <v>1.52</v>
      </c>
      <c r="N1389">
        <v>1.26</v>
      </c>
      <c r="O1389">
        <v>62.8</v>
      </c>
      <c r="P1389">
        <v>42.8</v>
      </c>
      <c r="Q1389">
        <v>3</v>
      </c>
      <c r="R1389">
        <v>3</v>
      </c>
      <c r="S1389">
        <v>1.35</v>
      </c>
      <c r="T1389">
        <v>2.08</v>
      </c>
      <c r="U1389">
        <v>1.1200000000000001</v>
      </c>
      <c r="V1389">
        <v>1.62</v>
      </c>
      <c r="W1389">
        <v>3.15</v>
      </c>
      <c r="X1389">
        <v>3.15</v>
      </c>
    </row>
    <row r="1390" spans="1:24" x14ac:dyDescent="0.35">
      <c r="A1390" t="str">
        <f t="shared" si="3"/>
        <v>Manchester UnitedWolverhampton</v>
      </c>
      <c r="B1390">
        <v>2019</v>
      </c>
      <c r="C1390" s="1">
        <v>43862</v>
      </c>
      <c r="D1390">
        <v>2411</v>
      </c>
      <c r="E1390" t="s">
        <v>23</v>
      </c>
      <c r="F1390" t="s">
        <v>39</v>
      </c>
      <c r="G1390" t="s">
        <v>49</v>
      </c>
      <c r="H1390">
        <v>81.23</v>
      </c>
      <c r="I1390">
        <v>79.12</v>
      </c>
      <c r="J1390">
        <v>0.48330000000000001</v>
      </c>
      <c r="K1390">
        <v>0.25509999999999999</v>
      </c>
      <c r="L1390">
        <v>0.2616</v>
      </c>
      <c r="M1390">
        <v>1.54</v>
      </c>
      <c r="N1390">
        <v>1.05</v>
      </c>
      <c r="O1390">
        <v>42.3</v>
      </c>
      <c r="P1390">
        <v>42.8</v>
      </c>
      <c r="Q1390">
        <v>0</v>
      </c>
      <c r="R1390">
        <v>0</v>
      </c>
      <c r="S1390">
        <v>0.91</v>
      </c>
      <c r="T1390">
        <v>1.19</v>
      </c>
      <c r="U1390">
        <v>1.91</v>
      </c>
      <c r="V1390">
        <v>1.54</v>
      </c>
      <c r="W1390">
        <v>0</v>
      </c>
      <c r="X1390">
        <v>0</v>
      </c>
    </row>
    <row r="1391" spans="1:24" x14ac:dyDescent="0.35">
      <c r="A1391" t="str">
        <f t="shared" si="3"/>
        <v>BurnleyArsenal</v>
      </c>
      <c r="B1391">
        <v>2019</v>
      </c>
      <c r="C1391" s="1">
        <v>43863</v>
      </c>
      <c r="D1391">
        <v>2411</v>
      </c>
      <c r="E1391" t="s">
        <v>23</v>
      </c>
      <c r="F1391" t="s">
        <v>32</v>
      </c>
      <c r="G1391" t="s">
        <v>40</v>
      </c>
      <c r="H1391">
        <v>68.77</v>
      </c>
      <c r="I1391">
        <v>75.430000000000007</v>
      </c>
      <c r="J1391">
        <v>0.37059999999999998</v>
      </c>
      <c r="K1391">
        <v>0.3644</v>
      </c>
      <c r="L1391">
        <v>0.2651</v>
      </c>
      <c r="M1391">
        <v>1.36</v>
      </c>
      <c r="N1391">
        <v>1.34</v>
      </c>
      <c r="O1391">
        <v>11.3</v>
      </c>
      <c r="P1391">
        <v>4.5999999999999996</v>
      </c>
      <c r="Q1391">
        <v>0</v>
      </c>
      <c r="R1391">
        <v>0</v>
      </c>
      <c r="S1391">
        <v>2.48</v>
      </c>
      <c r="T1391">
        <v>1.86</v>
      </c>
      <c r="U1391">
        <v>1.53</v>
      </c>
      <c r="V1391">
        <v>1.45</v>
      </c>
      <c r="W1391">
        <v>0</v>
      </c>
      <c r="X1391">
        <v>0</v>
      </c>
    </row>
    <row r="1392" spans="1:24" x14ac:dyDescent="0.35">
      <c r="A1392" t="str">
        <f t="shared" si="3"/>
        <v>Tottenham HotspurManchester City</v>
      </c>
      <c r="B1392">
        <v>2019</v>
      </c>
      <c r="C1392" s="1">
        <v>43863</v>
      </c>
      <c r="D1392">
        <v>2411</v>
      </c>
      <c r="E1392" t="s">
        <v>23</v>
      </c>
      <c r="F1392" t="s">
        <v>29</v>
      </c>
      <c r="G1392" t="s">
        <v>36</v>
      </c>
      <c r="H1392">
        <v>80.09</v>
      </c>
      <c r="I1392">
        <v>94.11</v>
      </c>
      <c r="J1392">
        <v>0.2429</v>
      </c>
      <c r="K1392">
        <v>0.55049999999999999</v>
      </c>
      <c r="L1392">
        <v>0.20660000000000001</v>
      </c>
      <c r="M1392">
        <v>1.45</v>
      </c>
      <c r="N1392">
        <v>2.25</v>
      </c>
      <c r="O1392">
        <v>48.4</v>
      </c>
      <c r="P1392">
        <v>0.9</v>
      </c>
      <c r="Q1392">
        <v>2</v>
      </c>
      <c r="R1392">
        <v>0</v>
      </c>
      <c r="S1392">
        <v>0.54</v>
      </c>
      <c r="T1392">
        <v>3.46</v>
      </c>
      <c r="U1392">
        <v>0.55000000000000004</v>
      </c>
      <c r="V1392">
        <v>2.76</v>
      </c>
      <c r="W1392">
        <v>1.67</v>
      </c>
      <c r="X1392">
        <v>0</v>
      </c>
    </row>
    <row r="1393" spans="1:24" x14ac:dyDescent="0.35">
      <c r="A1393" t="str">
        <f t="shared" si="3"/>
        <v>EvertonCrystal Palace</v>
      </c>
      <c r="B1393">
        <v>2019</v>
      </c>
      <c r="C1393" s="1">
        <v>43869</v>
      </c>
      <c r="D1393">
        <v>2411</v>
      </c>
      <c r="E1393" t="s">
        <v>23</v>
      </c>
      <c r="F1393" t="s">
        <v>28</v>
      </c>
      <c r="G1393" t="s">
        <v>30</v>
      </c>
      <c r="H1393">
        <v>78.849999999999994</v>
      </c>
      <c r="I1393">
        <v>68.27</v>
      </c>
      <c r="J1393">
        <v>0.57299999999999995</v>
      </c>
      <c r="K1393">
        <v>0.17760000000000001</v>
      </c>
      <c r="L1393">
        <v>0.2495</v>
      </c>
      <c r="M1393">
        <v>1.66</v>
      </c>
      <c r="N1393">
        <v>0.8</v>
      </c>
      <c r="O1393">
        <v>8.6</v>
      </c>
      <c r="P1393">
        <v>16.8</v>
      </c>
      <c r="Q1393">
        <v>3</v>
      </c>
      <c r="R1393">
        <v>1</v>
      </c>
      <c r="S1393">
        <v>2.5099999999999998</v>
      </c>
      <c r="T1393">
        <v>0.94</v>
      </c>
      <c r="U1393">
        <v>1.18</v>
      </c>
      <c r="V1393">
        <v>1.1200000000000001</v>
      </c>
      <c r="W1393">
        <v>2.7</v>
      </c>
      <c r="X1393">
        <v>1.05</v>
      </c>
    </row>
    <row r="1394" spans="1:24" x14ac:dyDescent="0.35">
      <c r="A1394" t="str">
        <f t="shared" si="3"/>
        <v>Brighton and Hove AlbionWatford</v>
      </c>
      <c r="B1394">
        <v>2019</v>
      </c>
      <c r="C1394" s="1">
        <v>43869</v>
      </c>
      <c r="D1394">
        <v>2411</v>
      </c>
      <c r="E1394" t="s">
        <v>23</v>
      </c>
      <c r="F1394" t="s">
        <v>45</v>
      </c>
      <c r="G1394" t="s">
        <v>35</v>
      </c>
      <c r="H1394">
        <v>70.61</v>
      </c>
      <c r="I1394">
        <v>71.11</v>
      </c>
      <c r="J1394">
        <v>0.43099999999999999</v>
      </c>
      <c r="K1394">
        <v>0.30659999999999998</v>
      </c>
      <c r="L1394">
        <v>0.26240000000000002</v>
      </c>
      <c r="M1394">
        <v>1.48</v>
      </c>
      <c r="N1394">
        <v>1.21</v>
      </c>
      <c r="O1394">
        <v>40.9</v>
      </c>
      <c r="P1394">
        <v>58.1</v>
      </c>
      <c r="Q1394">
        <v>1</v>
      </c>
      <c r="R1394">
        <v>1</v>
      </c>
      <c r="S1394">
        <v>0.88</v>
      </c>
      <c r="T1394">
        <v>0.26</v>
      </c>
      <c r="U1394">
        <v>1.81</v>
      </c>
      <c r="V1394">
        <v>0.82</v>
      </c>
      <c r="W1394">
        <v>1.05</v>
      </c>
      <c r="X1394">
        <v>1.05</v>
      </c>
    </row>
    <row r="1395" spans="1:24" x14ac:dyDescent="0.35">
      <c r="A1395" t="str">
        <f t="shared" si="3"/>
        <v>Sheffield UnitedAFC Bournemouth</v>
      </c>
      <c r="B1395">
        <v>2019</v>
      </c>
      <c r="C1395" s="1">
        <v>43870</v>
      </c>
      <c r="D1395">
        <v>2411</v>
      </c>
      <c r="E1395" t="s">
        <v>23</v>
      </c>
      <c r="F1395" t="s">
        <v>51</v>
      </c>
      <c r="G1395" t="s">
        <v>38</v>
      </c>
      <c r="H1395">
        <v>73.760000000000005</v>
      </c>
      <c r="I1395">
        <v>63.46</v>
      </c>
      <c r="J1395">
        <v>0.4945</v>
      </c>
      <c r="K1395">
        <v>0.23100000000000001</v>
      </c>
      <c r="L1395">
        <v>0.27450000000000002</v>
      </c>
      <c r="M1395">
        <v>1.44</v>
      </c>
      <c r="N1395">
        <v>0.89</v>
      </c>
      <c r="O1395">
        <v>14.5</v>
      </c>
      <c r="P1395">
        <v>57.7</v>
      </c>
      <c r="Q1395">
        <v>2</v>
      </c>
      <c r="R1395">
        <v>1</v>
      </c>
      <c r="S1395">
        <v>1.88</v>
      </c>
      <c r="T1395">
        <v>1.3</v>
      </c>
      <c r="U1395">
        <v>1.62</v>
      </c>
      <c r="V1395">
        <v>1.3</v>
      </c>
      <c r="W1395">
        <v>2.1</v>
      </c>
      <c r="X1395">
        <v>1.05</v>
      </c>
    </row>
    <row r="1396" spans="1:24" x14ac:dyDescent="0.35">
      <c r="A1396" t="str">
        <f t="shared" si="3"/>
        <v>WolverhamptonLeicester City</v>
      </c>
      <c r="B1396">
        <v>2019</v>
      </c>
      <c r="C1396" s="1">
        <v>43875</v>
      </c>
      <c r="D1396">
        <v>2411</v>
      </c>
      <c r="E1396" t="s">
        <v>23</v>
      </c>
      <c r="F1396" t="s">
        <v>49</v>
      </c>
      <c r="G1396" t="s">
        <v>25</v>
      </c>
      <c r="H1396">
        <v>79.650000000000006</v>
      </c>
      <c r="I1396">
        <v>81.44</v>
      </c>
      <c r="J1396">
        <v>0.4148</v>
      </c>
      <c r="K1396">
        <v>0.31919999999999998</v>
      </c>
      <c r="L1396">
        <v>0.26600000000000001</v>
      </c>
      <c r="M1396">
        <v>1.43</v>
      </c>
      <c r="N1396">
        <v>1.22</v>
      </c>
      <c r="O1396">
        <v>32.200000000000003</v>
      </c>
      <c r="P1396">
        <v>32.4</v>
      </c>
      <c r="Q1396">
        <v>0</v>
      </c>
      <c r="R1396">
        <v>0</v>
      </c>
      <c r="S1396">
        <v>1.17</v>
      </c>
      <c r="T1396">
        <v>0.71</v>
      </c>
      <c r="U1396">
        <v>1.65</v>
      </c>
      <c r="V1396">
        <v>0.69</v>
      </c>
      <c r="W1396">
        <v>0</v>
      </c>
      <c r="X1396">
        <v>0</v>
      </c>
    </row>
    <row r="1397" spans="1:24" x14ac:dyDescent="0.35">
      <c r="A1397" t="str">
        <f t="shared" si="3"/>
        <v>SouthamptonBurnley</v>
      </c>
      <c r="B1397">
        <v>2019</v>
      </c>
      <c r="C1397" s="1">
        <v>43876</v>
      </c>
      <c r="D1397">
        <v>2411</v>
      </c>
      <c r="E1397" t="s">
        <v>23</v>
      </c>
      <c r="F1397" t="s">
        <v>34</v>
      </c>
      <c r="G1397" t="s">
        <v>32</v>
      </c>
      <c r="H1397">
        <v>71.53</v>
      </c>
      <c r="I1397">
        <v>69.06</v>
      </c>
      <c r="J1397">
        <v>0.48880000000000001</v>
      </c>
      <c r="K1397">
        <v>0.25280000000000002</v>
      </c>
      <c r="L1397">
        <v>0.25840000000000002</v>
      </c>
      <c r="M1397">
        <v>1.57</v>
      </c>
      <c r="N1397">
        <v>1.06</v>
      </c>
      <c r="O1397">
        <v>10.5</v>
      </c>
      <c r="P1397">
        <v>9.9</v>
      </c>
      <c r="Q1397">
        <v>1</v>
      </c>
      <c r="R1397">
        <v>2</v>
      </c>
      <c r="S1397">
        <v>0.6</v>
      </c>
      <c r="T1397">
        <v>0.92</v>
      </c>
      <c r="U1397">
        <v>1.78</v>
      </c>
      <c r="V1397">
        <v>0.79</v>
      </c>
      <c r="W1397">
        <v>1.05</v>
      </c>
      <c r="X1397">
        <v>2.1</v>
      </c>
    </row>
    <row r="1398" spans="1:24" x14ac:dyDescent="0.35">
      <c r="A1398" t="str">
        <f t="shared" si="3"/>
        <v>Norwich CityLiverpool</v>
      </c>
      <c r="B1398">
        <v>2019</v>
      </c>
      <c r="C1398" s="1">
        <v>43876</v>
      </c>
      <c r="D1398">
        <v>2411</v>
      </c>
      <c r="E1398" t="s">
        <v>23</v>
      </c>
      <c r="F1398" t="s">
        <v>50</v>
      </c>
      <c r="G1398" t="s">
        <v>41</v>
      </c>
      <c r="H1398">
        <v>61.71</v>
      </c>
      <c r="I1398">
        <v>94.31</v>
      </c>
      <c r="J1398">
        <v>0.1007</v>
      </c>
      <c r="K1398">
        <v>0.74280000000000002</v>
      </c>
      <c r="L1398">
        <v>0.15640000000000001</v>
      </c>
      <c r="M1398">
        <v>0.87</v>
      </c>
      <c r="N1398">
        <v>2.61</v>
      </c>
      <c r="O1398">
        <v>31.6</v>
      </c>
      <c r="P1398">
        <v>1.2</v>
      </c>
      <c r="Q1398">
        <v>0</v>
      </c>
      <c r="R1398">
        <v>1</v>
      </c>
      <c r="S1398">
        <v>0.27</v>
      </c>
      <c r="T1398">
        <v>2.33</v>
      </c>
      <c r="U1398">
        <v>0.68</v>
      </c>
      <c r="V1398">
        <v>2.5099999999999998</v>
      </c>
      <c r="W1398">
        <v>0</v>
      </c>
      <c r="X1398">
        <v>1.05</v>
      </c>
    </row>
    <row r="1399" spans="1:24" x14ac:dyDescent="0.35">
      <c r="A1399" t="str">
        <f t="shared" si="3"/>
        <v>Aston VillaTottenham Hotspur</v>
      </c>
      <c r="B1399">
        <v>2019</v>
      </c>
      <c r="C1399" s="1">
        <v>43877</v>
      </c>
      <c r="D1399">
        <v>2411</v>
      </c>
      <c r="E1399" t="s">
        <v>23</v>
      </c>
      <c r="F1399" t="s">
        <v>52</v>
      </c>
      <c r="G1399" t="s">
        <v>29</v>
      </c>
      <c r="H1399">
        <v>61.75</v>
      </c>
      <c r="I1399">
        <v>79.88</v>
      </c>
      <c r="J1399">
        <v>0.25069999999999998</v>
      </c>
      <c r="K1399">
        <v>0.52539999999999998</v>
      </c>
      <c r="L1399">
        <v>0.22389999999999999</v>
      </c>
      <c r="M1399">
        <v>1.31</v>
      </c>
      <c r="N1399">
        <v>1.98</v>
      </c>
      <c r="O1399">
        <v>58</v>
      </c>
      <c r="P1399">
        <v>75.3</v>
      </c>
      <c r="Q1399">
        <v>2</v>
      </c>
      <c r="R1399">
        <v>3</v>
      </c>
      <c r="S1399">
        <v>1.98</v>
      </c>
      <c r="T1399">
        <v>4.54</v>
      </c>
      <c r="U1399">
        <v>1.76</v>
      </c>
      <c r="V1399">
        <v>1.4</v>
      </c>
      <c r="W1399">
        <v>2.1</v>
      </c>
      <c r="X1399">
        <v>3.15</v>
      </c>
    </row>
    <row r="1400" spans="1:24" x14ac:dyDescent="0.35">
      <c r="A1400" t="str">
        <f t="shared" ref="A1400:A1463" si="4">F1400&amp;G1400</f>
        <v>ArsenalNewcastle</v>
      </c>
      <c r="B1400">
        <v>2019</v>
      </c>
      <c r="C1400" s="1">
        <v>43877</v>
      </c>
      <c r="D1400">
        <v>2411</v>
      </c>
      <c r="E1400" t="s">
        <v>23</v>
      </c>
      <c r="F1400" t="s">
        <v>40</v>
      </c>
      <c r="G1400" t="s">
        <v>46</v>
      </c>
      <c r="H1400">
        <v>75.260000000000005</v>
      </c>
      <c r="I1400">
        <v>61.49</v>
      </c>
      <c r="J1400">
        <v>0.60570000000000002</v>
      </c>
      <c r="K1400">
        <v>0.16500000000000001</v>
      </c>
      <c r="L1400">
        <v>0.2293</v>
      </c>
      <c r="M1400">
        <v>1.84</v>
      </c>
      <c r="N1400">
        <v>0.84</v>
      </c>
      <c r="O1400">
        <v>8.4</v>
      </c>
      <c r="P1400">
        <v>20</v>
      </c>
      <c r="Q1400">
        <v>4</v>
      </c>
      <c r="R1400">
        <v>0</v>
      </c>
      <c r="S1400">
        <v>2.89</v>
      </c>
      <c r="T1400">
        <v>0.97</v>
      </c>
      <c r="U1400">
        <v>2.4300000000000002</v>
      </c>
      <c r="V1400">
        <v>1.08</v>
      </c>
      <c r="W1400">
        <v>3.17</v>
      </c>
      <c r="X1400">
        <v>0</v>
      </c>
    </row>
    <row r="1401" spans="1:24" x14ac:dyDescent="0.35">
      <c r="A1401" t="str">
        <f t="shared" si="4"/>
        <v>ChelseaManchester United</v>
      </c>
      <c r="B1401">
        <v>2019</v>
      </c>
      <c r="C1401" s="1">
        <v>43878</v>
      </c>
      <c r="D1401">
        <v>2411</v>
      </c>
      <c r="E1401" t="s">
        <v>23</v>
      </c>
      <c r="F1401" t="s">
        <v>42</v>
      </c>
      <c r="G1401" t="s">
        <v>39</v>
      </c>
      <c r="H1401">
        <v>85.95</v>
      </c>
      <c r="I1401">
        <v>80.94</v>
      </c>
      <c r="J1401">
        <v>0.5353</v>
      </c>
      <c r="K1401">
        <v>0.22739999999999999</v>
      </c>
      <c r="L1401">
        <v>0.23730000000000001</v>
      </c>
      <c r="M1401">
        <v>1.8</v>
      </c>
      <c r="N1401">
        <v>1.0900000000000001</v>
      </c>
      <c r="O1401">
        <v>74</v>
      </c>
      <c r="P1401">
        <v>75.3</v>
      </c>
      <c r="Q1401">
        <v>0</v>
      </c>
      <c r="R1401">
        <v>2</v>
      </c>
      <c r="S1401">
        <v>1.08</v>
      </c>
      <c r="T1401">
        <v>0.7</v>
      </c>
      <c r="U1401">
        <v>1.54</v>
      </c>
      <c r="V1401">
        <v>0.75</v>
      </c>
      <c r="W1401">
        <v>0</v>
      </c>
      <c r="X1401">
        <v>2.1</v>
      </c>
    </row>
    <row r="1402" spans="1:24" x14ac:dyDescent="0.35">
      <c r="A1402" t="str">
        <f t="shared" si="4"/>
        <v>Manchester CityWest Ham United</v>
      </c>
      <c r="B1402">
        <v>2019</v>
      </c>
      <c r="C1402" s="1">
        <v>43880</v>
      </c>
      <c r="D1402">
        <v>2411</v>
      </c>
      <c r="E1402" t="s">
        <v>23</v>
      </c>
      <c r="F1402" t="s">
        <v>36</v>
      </c>
      <c r="G1402" t="s">
        <v>43</v>
      </c>
      <c r="H1402">
        <v>94.28</v>
      </c>
      <c r="I1402">
        <v>64.849999999999994</v>
      </c>
      <c r="J1402">
        <v>0.86519999999999997</v>
      </c>
      <c r="K1402">
        <v>4.2500000000000003E-2</v>
      </c>
      <c r="L1402">
        <v>9.2299999999999993E-2</v>
      </c>
      <c r="M1402">
        <v>3.32</v>
      </c>
      <c r="N1402">
        <v>0.67</v>
      </c>
      <c r="O1402">
        <v>0.1</v>
      </c>
      <c r="P1402">
        <v>51.7</v>
      </c>
      <c r="Q1402">
        <v>2</v>
      </c>
      <c r="R1402">
        <v>0</v>
      </c>
      <c r="S1402">
        <v>2.31</v>
      </c>
      <c r="T1402">
        <v>0.08</v>
      </c>
      <c r="U1402">
        <v>3.67</v>
      </c>
      <c r="V1402">
        <v>0.28000000000000003</v>
      </c>
      <c r="W1402">
        <v>2.1</v>
      </c>
      <c r="X1402">
        <v>0</v>
      </c>
    </row>
    <row r="1403" spans="1:24" x14ac:dyDescent="0.35">
      <c r="A1403" t="str">
        <f t="shared" si="4"/>
        <v>ChelseaTottenham Hotspur</v>
      </c>
      <c r="B1403">
        <v>2019</v>
      </c>
      <c r="C1403" s="1">
        <v>43883</v>
      </c>
      <c r="D1403">
        <v>2411</v>
      </c>
      <c r="E1403" t="s">
        <v>23</v>
      </c>
      <c r="F1403" t="s">
        <v>42</v>
      </c>
      <c r="G1403" t="s">
        <v>29</v>
      </c>
      <c r="H1403">
        <v>85.34</v>
      </c>
      <c r="I1403">
        <v>79.180000000000007</v>
      </c>
      <c r="J1403">
        <v>0.54110000000000003</v>
      </c>
      <c r="K1403">
        <v>0.2311</v>
      </c>
      <c r="L1403">
        <v>0.2278</v>
      </c>
      <c r="M1403">
        <v>1.92</v>
      </c>
      <c r="N1403">
        <v>1.18</v>
      </c>
      <c r="O1403">
        <v>92.1</v>
      </c>
      <c r="P1403">
        <v>95.9</v>
      </c>
      <c r="Q1403">
        <v>2</v>
      </c>
      <c r="R1403">
        <v>1</v>
      </c>
      <c r="S1403">
        <v>1.61</v>
      </c>
      <c r="T1403">
        <v>0.25</v>
      </c>
      <c r="U1403">
        <v>1.01</v>
      </c>
      <c r="V1403">
        <v>0.74</v>
      </c>
      <c r="W1403">
        <v>2.1</v>
      </c>
      <c r="X1403">
        <v>1.05</v>
      </c>
    </row>
    <row r="1404" spans="1:24" x14ac:dyDescent="0.35">
      <c r="A1404" t="str">
        <f t="shared" si="4"/>
        <v>BurnleyAFC Bournemouth</v>
      </c>
      <c r="B1404">
        <v>2019</v>
      </c>
      <c r="C1404" s="1">
        <v>43883</v>
      </c>
      <c r="D1404">
        <v>2411</v>
      </c>
      <c r="E1404" t="s">
        <v>23</v>
      </c>
      <c r="F1404" t="s">
        <v>32</v>
      </c>
      <c r="G1404" t="s">
        <v>38</v>
      </c>
      <c r="H1404">
        <v>69.78</v>
      </c>
      <c r="I1404">
        <v>63.43</v>
      </c>
      <c r="J1404">
        <v>0.45860000000000001</v>
      </c>
      <c r="K1404">
        <v>0.2767</v>
      </c>
      <c r="L1404">
        <v>0.26479999999999998</v>
      </c>
      <c r="M1404">
        <v>1.5</v>
      </c>
      <c r="N1404">
        <v>1.1000000000000001</v>
      </c>
      <c r="O1404">
        <v>5.3</v>
      </c>
      <c r="P1404">
        <v>58.4</v>
      </c>
      <c r="Q1404">
        <v>3</v>
      </c>
      <c r="R1404">
        <v>0</v>
      </c>
      <c r="S1404">
        <v>3.3</v>
      </c>
      <c r="T1404">
        <v>1.97</v>
      </c>
      <c r="U1404">
        <v>1.1499999999999999</v>
      </c>
      <c r="V1404">
        <v>1.56</v>
      </c>
      <c r="W1404">
        <v>2.71</v>
      </c>
      <c r="X1404">
        <v>0</v>
      </c>
    </row>
    <row r="1405" spans="1:24" x14ac:dyDescent="0.35">
      <c r="A1405" t="str">
        <f t="shared" si="4"/>
        <v>Sheffield UnitedBrighton and Hove Albion</v>
      </c>
      <c r="B1405">
        <v>2019</v>
      </c>
      <c r="C1405" s="1">
        <v>43883</v>
      </c>
      <c r="D1405">
        <v>2411</v>
      </c>
      <c r="E1405" t="s">
        <v>23</v>
      </c>
      <c r="F1405" t="s">
        <v>51</v>
      </c>
      <c r="G1405" t="s">
        <v>45</v>
      </c>
      <c r="H1405">
        <v>73.430000000000007</v>
      </c>
      <c r="I1405">
        <v>70.98</v>
      </c>
      <c r="J1405">
        <v>0.47439999999999999</v>
      </c>
      <c r="K1405">
        <v>0.24709999999999999</v>
      </c>
      <c r="L1405">
        <v>0.27850000000000003</v>
      </c>
      <c r="M1405">
        <v>1.4</v>
      </c>
      <c r="N1405">
        <v>0.93</v>
      </c>
      <c r="O1405">
        <v>48.2</v>
      </c>
      <c r="P1405">
        <v>30.2</v>
      </c>
      <c r="Q1405">
        <v>1</v>
      </c>
      <c r="R1405">
        <v>1</v>
      </c>
      <c r="S1405">
        <v>2.06</v>
      </c>
      <c r="T1405">
        <v>1.08</v>
      </c>
      <c r="U1405">
        <v>1.38</v>
      </c>
      <c r="V1405">
        <v>0.39</v>
      </c>
      <c r="W1405">
        <v>1.05</v>
      </c>
      <c r="X1405">
        <v>1.05</v>
      </c>
    </row>
    <row r="1406" spans="1:24" x14ac:dyDescent="0.35">
      <c r="A1406" t="str">
        <f t="shared" si="4"/>
        <v>Crystal PalaceNewcastle</v>
      </c>
      <c r="B1406">
        <v>2019</v>
      </c>
      <c r="C1406" s="1">
        <v>43883</v>
      </c>
      <c r="D1406">
        <v>2411</v>
      </c>
      <c r="E1406" t="s">
        <v>23</v>
      </c>
      <c r="F1406" t="s">
        <v>30</v>
      </c>
      <c r="G1406" t="s">
        <v>46</v>
      </c>
      <c r="H1406">
        <v>67.989999999999995</v>
      </c>
      <c r="I1406">
        <v>60.2</v>
      </c>
      <c r="J1406">
        <v>0.52439999999999998</v>
      </c>
      <c r="K1406">
        <v>0.2084</v>
      </c>
      <c r="L1406">
        <v>0.26719999999999999</v>
      </c>
      <c r="M1406">
        <v>1.51</v>
      </c>
      <c r="N1406">
        <v>0.85</v>
      </c>
      <c r="O1406">
        <v>27.2</v>
      </c>
      <c r="P1406">
        <v>26.1</v>
      </c>
      <c r="Q1406">
        <v>1</v>
      </c>
      <c r="R1406">
        <v>0</v>
      </c>
      <c r="S1406">
        <v>1.84</v>
      </c>
      <c r="T1406">
        <v>0.22</v>
      </c>
      <c r="U1406">
        <v>2.0099999999999998</v>
      </c>
      <c r="V1406">
        <v>0.67</v>
      </c>
      <c r="W1406">
        <v>1.05</v>
      </c>
      <c r="X1406">
        <v>0</v>
      </c>
    </row>
    <row r="1407" spans="1:24" x14ac:dyDescent="0.35">
      <c r="A1407" t="str">
        <f t="shared" si="4"/>
        <v>SouthamptonAston Villa</v>
      </c>
      <c r="B1407">
        <v>2019</v>
      </c>
      <c r="C1407" s="1">
        <v>43883</v>
      </c>
      <c r="D1407">
        <v>2411</v>
      </c>
      <c r="E1407" t="s">
        <v>23</v>
      </c>
      <c r="F1407" t="s">
        <v>34</v>
      </c>
      <c r="G1407" t="s">
        <v>52</v>
      </c>
      <c r="H1407">
        <v>70.89</v>
      </c>
      <c r="I1407">
        <v>61.28</v>
      </c>
      <c r="J1407">
        <v>0.50939999999999996</v>
      </c>
      <c r="K1407">
        <v>0.25890000000000002</v>
      </c>
      <c r="L1407">
        <v>0.23169999999999999</v>
      </c>
      <c r="M1407">
        <v>1.87</v>
      </c>
      <c r="N1407">
        <v>1.28</v>
      </c>
      <c r="O1407">
        <v>11.8</v>
      </c>
      <c r="P1407">
        <v>58</v>
      </c>
      <c r="Q1407">
        <v>2</v>
      </c>
      <c r="R1407">
        <v>0</v>
      </c>
      <c r="S1407">
        <v>2.58</v>
      </c>
      <c r="T1407">
        <v>0.31</v>
      </c>
      <c r="U1407">
        <v>1.48</v>
      </c>
      <c r="V1407">
        <v>0.56999999999999995</v>
      </c>
      <c r="W1407">
        <v>1.58</v>
      </c>
      <c r="X1407">
        <v>0</v>
      </c>
    </row>
    <row r="1408" spans="1:24" x14ac:dyDescent="0.35">
      <c r="A1408" t="str">
        <f t="shared" si="4"/>
        <v>Leicester CityManchester City</v>
      </c>
      <c r="B1408">
        <v>2019</v>
      </c>
      <c r="C1408" s="1">
        <v>43883</v>
      </c>
      <c r="D1408">
        <v>2411</v>
      </c>
      <c r="E1408" t="s">
        <v>23</v>
      </c>
      <c r="F1408" t="s">
        <v>25</v>
      </c>
      <c r="G1408" t="s">
        <v>36</v>
      </c>
      <c r="H1408">
        <v>81.41</v>
      </c>
      <c r="I1408">
        <v>94.51</v>
      </c>
      <c r="J1408">
        <v>0.22459999999999999</v>
      </c>
      <c r="K1408">
        <v>0.56189999999999996</v>
      </c>
      <c r="L1408">
        <v>0.2135</v>
      </c>
      <c r="M1408">
        <v>1.28</v>
      </c>
      <c r="N1408">
        <v>2.12</v>
      </c>
      <c r="O1408">
        <v>9.6</v>
      </c>
      <c r="P1408">
        <v>0.2</v>
      </c>
      <c r="Q1408">
        <v>0</v>
      </c>
      <c r="R1408">
        <v>1</v>
      </c>
      <c r="S1408">
        <v>0.78</v>
      </c>
      <c r="T1408">
        <v>2.4</v>
      </c>
      <c r="U1408">
        <v>0.51</v>
      </c>
      <c r="V1408">
        <v>1.8</v>
      </c>
      <c r="W1408">
        <v>0</v>
      </c>
      <c r="X1408">
        <v>1.05</v>
      </c>
    </row>
    <row r="1409" spans="1:24" x14ac:dyDescent="0.35">
      <c r="A1409" t="str">
        <f t="shared" si="4"/>
        <v>WolverhamptonNorwich City</v>
      </c>
      <c r="B1409">
        <v>2019</v>
      </c>
      <c r="C1409" s="1">
        <v>43884</v>
      </c>
      <c r="D1409">
        <v>2411</v>
      </c>
      <c r="E1409" t="s">
        <v>23</v>
      </c>
      <c r="F1409" t="s">
        <v>49</v>
      </c>
      <c r="G1409" t="s">
        <v>50</v>
      </c>
      <c r="H1409">
        <v>80.489999999999995</v>
      </c>
      <c r="I1409">
        <v>61.57</v>
      </c>
      <c r="J1409">
        <v>0.67290000000000005</v>
      </c>
      <c r="K1409">
        <v>0.1132</v>
      </c>
      <c r="L1409">
        <v>0.21390000000000001</v>
      </c>
      <c r="M1409">
        <v>1.89</v>
      </c>
      <c r="N1409">
        <v>0.62</v>
      </c>
      <c r="O1409">
        <v>50.2</v>
      </c>
      <c r="P1409">
        <v>28.6</v>
      </c>
      <c r="Q1409">
        <v>3</v>
      </c>
      <c r="R1409">
        <v>0</v>
      </c>
      <c r="S1409">
        <v>3.18</v>
      </c>
      <c r="T1409">
        <v>0.36</v>
      </c>
      <c r="U1409">
        <v>1.03</v>
      </c>
      <c r="V1409">
        <v>0.59</v>
      </c>
      <c r="W1409">
        <v>3.15</v>
      </c>
      <c r="X1409">
        <v>0</v>
      </c>
    </row>
    <row r="1410" spans="1:24" x14ac:dyDescent="0.35">
      <c r="A1410" t="str">
        <f t="shared" si="4"/>
        <v>Manchester UnitedWatford</v>
      </c>
      <c r="B1410">
        <v>2019</v>
      </c>
      <c r="C1410" s="1">
        <v>43884</v>
      </c>
      <c r="D1410">
        <v>2411</v>
      </c>
      <c r="E1410" t="s">
        <v>23</v>
      </c>
      <c r="F1410" t="s">
        <v>39</v>
      </c>
      <c r="G1410" t="s">
        <v>35</v>
      </c>
      <c r="H1410">
        <v>81.739999999999995</v>
      </c>
      <c r="I1410">
        <v>71.06</v>
      </c>
      <c r="J1410">
        <v>0.60580000000000001</v>
      </c>
      <c r="K1410">
        <v>0.1628</v>
      </c>
      <c r="L1410">
        <v>0.23139999999999999</v>
      </c>
      <c r="M1410">
        <v>1.81</v>
      </c>
      <c r="N1410">
        <v>0.82</v>
      </c>
      <c r="O1410">
        <v>74.7</v>
      </c>
      <c r="P1410">
        <v>49.1</v>
      </c>
      <c r="Q1410">
        <v>3</v>
      </c>
      <c r="R1410">
        <v>0</v>
      </c>
      <c r="S1410">
        <v>1.99</v>
      </c>
      <c r="T1410">
        <v>0.31</v>
      </c>
      <c r="U1410">
        <v>1.52</v>
      </c>
      <c r="V1410">
        <v>0.75</v>
      </c>
      <c r="W1410">
        <v>3.04</v>
      </c>
      <c r="X1410">
        <v>0</v>
      </c>
    </row>
    <row r="1411" spans="1:24" x14ac:dyDescent="0.35">
      <c r="A1411" t="str">
        <f t="shared" si="4"/>
        <v>ArsenalEverton</v>
      </c>
      <c r="B1411">
        <v>2019</v>
      </c>
      <c r="C1411" s="1">
        <v>43884</v>
      </c>
      <c r="D1411">
        <v>2411</v>
      </c>
      <c r="E1411" t="s">
        <v>23</v>
      </c>
      <c r="F1411" t="s">
        <v>40</v>
      </c>
      <c r="G1411" t="s">
        <v>28</v>
      </c>
      <c r="H1411">
        <v>77.44</v>
      </c>
      <c r="I1411">
        <v>78.83</v>
      </c>
      <c r="J1411">
        <v>0.42109999999999997</v>
      </c>
      <c r="K1411">
        <v>0.32290000000000002</v>
      </c>
      <c r="L1411">
        <v>0.25600000000000001</v>
      </c>
      <c r="M1411">
        <v>1.53</v>
      </c>
      <c r="N1411">
        <v>1.31</v>
      </c>
      <c r="O1411">
        <v>15</v>
      </c>
      <c r="P1411">
        <v>36.6</v>
      </c>
      <c r="Q1411">
        <v>3</v>
      </c>
      <c r="R1411">
        <v>2</v>
      </c>
      <c r="S1411">
        <v>1.29</v>
      </c>
      <c r="T1411">
        <v>2.06</v>
      </c>
      <c r="U1411">
        <v>1.1000000000000001</v>
      </c>
      <c r="V1411">
        <v>1.28</v>
      </c>
      <c r="W1411">
        <v>3.15</v>
      </c>
      <c r="X1411">
        <v>2.1</v>
      </c>
    </row>
    <row r="1412" spans="1:24" x14ac:dyDescent="0.35">
      <c r="A1412" t="str">
        <f t="shared" si="4"/>
        <v>LiverpoolWest Ham United</v>
      </c>
      <c r="B1412">
        <v>2019</v>
      </c>
      <c r="C1412" s="1">
        <v>43885</v>
      </c>
      <c r="D1412">
        <v>2411</v>
      </c>
      <c r="E1412" t="s">
        <v>23</v>
      </c>
      <c r="F1412" t="s">
        <v>41</v>
      </c>
      <c r="G1412" t="s">
        <v>43</v>
      </c>
      <c r="H1412">
        <v>93.97</v>
      </c>
      <c r="I1412">
        <v>64.61</v>
      </c>
      <c r="J1412">
        <v>0.86119999999999997</v>
      </c>
      <c r="K1412">
        <v>3.7600000000000001E-2</v>
      </c>
      <c r="L1412">
        <v>0.1013</v>
      </c>
      <c r="M1412">
        <v>2.96</v>
      </c>
      <c r="N1412">
        <v>0.5</v>
      </c>
      <c r="O1412">
        <v>1</v>
      </c>
      <c r="P1412">
        <v>41.6</v>
      </c>
      <c r="Q1412">
        <v>3</v>
      </c>
      <c r="R1412">
        <v>2</v>
      </c>
      <c r="S1412">
        <v>2.74</v>
      </c>
      <c r="T1412">
        <v>0.57999999999999996</v>
      </c>
      <c r="U1412">
        <v>3.08</v>
      </c>
      <c r="V1412">
        <v>1</v>
      </c>
      <c r="W1412">
        <v>3.15</v>
      </c>
      <c r="X1412">
        <v>2.1</v>
      </c>
    </row>
    <row r="1413" spans="1:24" x14ac:dyDescent="0.35">
      <c r="A1413" t="str">
        <f t="shared" si="4"/>
        <v>Norwich CityLeicester City</v>
      </c>
      <c r="B1413">
        <v>2019</v>
      </c>
      <c r="C1413" s="1">
        <v>43889</v>
      </c>
      <c r="D1413">
        <v>2411</v>
      </c>
      <c r="E1413" t="s">
        <v>23</v>
      </c>
      <c r="F1413" t="s">
        <v>50</v>
      </c>
      <c r="G1413" t="s">
        <v>25</v>
      </c>
      <c r="H1413">
        <v>60.42</v>
      </c>
      <c r="I1413">
        <v>80.959999999999994</v>
      </c>
      <c r="J1413">
        <v>0.23200000000000001</v>
      </c>
      <c r="K1413">
        <v>0.52200000000000002</v>
      </c>
      <c r="L1413">
        <v>0.246</v>
      </c>
      <c r="M1413">
        <v>1.06</v>
      </c>
      <c r="N1413">
        <v>1.71</v>
      </c>
      <c r="O1413">
        <v>19.7</v>
      </c>
      <c r="P1413">
        <v>22.2</v>
      </c>
      <c r="Q1413">
        <v>1</v>
      </c>
      <c r="R1413">
        <v>0</v>
      </c>
      <c r="S1413">
        <v>0.6</v>
      </c>
      <c r="T1413">
        <v>1.4</v>
      </c>
      <c r="U1413">
        <v>0.95</v>
      </c>
      <c r="V1413">
        <v>1.46</v>
      </c>
      <c r="W1413">
        <v>1.05</v>
      </c>
      <c r="X1413">
        <v>0</v>
      </c>
    </row>
    <row r="1414" spans="1:24" x14ac:dyDescent="0.35">
      <c r="A1414" t="str">
        <f t="shared" si="4"/>
        <v>Brighton and Hove AlbionCrystal Palace</v>
      </c>
      <c r="B1414">
        <v>2019</v>
      </c>
      <c r="C1414" s="1">
        <v>43890</v>
      </c>
      <c r="D1414">
        <v>2411</v>
      </c>
      <c r="E1414" t="s">
        <v>23</v>
      </c>
      <c r="F1414" t="s">
        <v>45</v>
      </c>
      <c r="G1414" t="s">
        <v>30</v>
      </c>
      <c r="H1414">
        <v>70.680000000000007</v>
      </c>
      <c r="I1414">
        <v>68.959999999999994</v>
      </c>
      <c r="J1414">
        <v>0.5</v>
      </c>
      <c r="K1414">
        <v>0.23269999999999999</v>
      </c>
      <c r="L1414">
        <v>0.26740000000000003</v>
      </c>
      <c r="M1414">
        <v>1.5</v>
      </c>
      <c r="N1414">
        <v>0.93</v>
      </c>
      <c r="O1414">
        <v>32.1</v>
      </c>
      <c r="P1414">
        <v>7.7</v>
      </c>
      <c r="Q1414">
        <v>0</v>
      </c>
      <c r="R1414">
        <v>1</v>
      </c>
      <c r="S1414">
        <v>2.06</v>
      </c>
      <c r="T1414">
        <v>2.41</v>
      </c>
      <c r="U1414">
        <v>1.8</v>
      </c>
      <c r="V1414">
        <v>1.49</v>
      </c>
      <c r="W1414">
        <v>0</v>
      </c>
      <c r="X1414">
        <v>1.05</v>
      </c>
    </row>
    <row r="1415" spans="1:24" x14ac:dyDescent="0.35">
      <c r="A1415" t="str">
        <f t="shared" si="4"/>
        <v>NewcastleBurnley</v>
      </c>
      <c r="B1415">
        <v>2019</v>
      </c>
      <c r="C1415" s="1">
        <v>43890</v>
      </c>
      <c r="D1415">
        <v>2411</v>
      </c>
      <c r="E1415" t="s">
        <v>23</v>
      </c>
      <c r="F1415" t="s">
        <v>46</v>
      </c>
      <c r="G1415" t="s">
        <v>32</v>
      </c>
      <c r="H1415">
        <v>59.44</v>
      </c>
      <c r="I1415">
        <v>70.180000000000007</v>
      </c>
      <c r="J1415">
        <v>0.35199999999999998</v>
      </c>
      <c r="K1415">
        <v>0.3679</v>
      </c>
      <c r="L1415">
        <v>0.28010000000000002</v>
      </c>
      <c r="M1415">
        <v>1.21</v>
      </c>
      <c r="N1415">
        <v>1.24</v>
      </c>
      <c r="O1415">
        <v>28.3</v>
      </c>
      <c r="P1415">
        <v>8.3000000000000007</v>
      </c>
      <c r="Q1415">
        <v>0</v>
      </c>
      <c r="R1415">
        <v>0</v>
      </c>
      <c r="S1415">
        <v>1.45</v>
      </c>
      <c r="T1415">
        <v>0.66</v>
      </c>
      <c r="U1415">
        <v>1.1100000000000001</v>
      </c>
      <c r="V1415">
        <v>0.81</v>
      </c>
      <c r="W1415">
        <v>0</v>
      </c>
      <c r="X1415">
        <v>0</v>
      </c>
    </row>
    <row r="1416" spans="1:24" x14ac:dyDescent="0.35">
      <c r="A1416" t="str">
        <f t="shared" si="4"/>
        <v>AFC BournemouthChelsea</v>
      </c>
      <c r="B1416">
        <v>2019</v>
      </c>
      <c r="C1416" s="1">
        <v>43890</v>
      </c>
      <c r="D1416">
        <v>2411</v>
      </c>
      <c r="E1416" t="s">
        <v>23</v>
      </c>
      <c r="F1416" t="s">
        <v>38</v>
      </c>
      <c r="G1416" t="s">
        <v>42</v>
      </c>
      <c r="H1416">
        <v>62.54</v>
      </c>
      <c r="I1416">
        <v>84.59</v>
      </c>
      <c r="J1416">
        <v>0.20469999999999999</v>
      </c>
      <c r="K1416">
        <v>0.57330000000000003</v>
      </c>
      <c r="L1416">
        <v>0.222</v>
      </c>
      <c r="M1416">
        <v>1.1000000000000001</v>
      </c>
      <c r="N1416">
        <v>1.98</v>
      </c>
      <c r="O1416">
        <v>66.599999999999994</v>
      </c>
      <c r="P1416">
        <v>78.8</v>
      </c>
      <c r="Q1416">
        <v>2</v>
      </c>
      <c r="R1416">
        <v>2</v>
      </c>
      <c r="S1416">
        <v>1.55</v>
      </c>
      <c r="T1416">
        <v>2.11</v>
      </c>
      <c r="U1416">
        <v>1.08</v>
      </c>
      <c r="V1416">
        <v>2.61</v>
      </c>
      <c r="W1416">
        <v>2.1</v>
      </c>
      <c r="X1416">
        <v>2.1</v>
      </c>
    </row>
    <row r="1417" spans="1:24" x14ac:dyDescent="0.35">
      <c r="A1417" t="str">
        <f t="shared" si="4"/>
        <v>West Ham UnitedSouthampton</v>
      </c>
      <c r="B1417">
        <v>2019</v>
      </c>
      <c r="C1417" s="1">
        <v>43890</v>
      </c>
      <c r="D1417">
        <v>2411</v>
      </c>
      <c r="E1417" t="s">
        <v>23</v>
      </c>
      <c r="F1417" t="s">
        <v>43</v>
      </c>
      <c r="G1417" t="s">
        <v>34</v>
      </c>
      <c r="H1417">
        <v>65.53</v>
      </c>
      <c r="I1417">
        <v>71.959999999999994</v>
      </c>
      <c r="J1417">
        <v>0.4304</v>
      </c>
      <c r="K1417">
        <v>0.31900000000000001</v>
      </c>
      <c r="L1417">
        <v>0.25069999999999998</v>
      </c>
      <c r="M1417">
        <v>1.59</v>
      </c>
      <c r="N1417">
        <v>1.34</v>
      </c>
      <c r="O1417">
        <v>50.3</v>
      </c>
      <c r="P1417">
        <v>4.9000000000000004</v>
      </c>
      <c r="Q1417">
        <v>3</v>
      </c>
      <c r="R1417">
        <v>1</v>
      </c>
      <c r="S1417">
        <v>2.63</v>
      </c>
      <c r="T1417">
        <v>0.9</v>
      </c>
      <c r="U1417">
        <v>1.1499999999999999</v>
      </c>
      <c r="V1417">
        <v>1.28</v>
      </c>
      <c r="W1417">
        <v>3.15</v>
      </c>
      <c r="X1417">
        <v>1.05</v>
      </c>
    </row>
    <row r="1418" spans="1:24" x14ac:dyDescent="0.35">
      <c r="A1418" t="str">
        <f t="shared" si="4"/>
        <v>WatfordLiverpool</v>
      </c>
      <c r="B1418">
        <v>2019</v>
      </c>
      <c r="C1418" s="1">
        <v>43890</v>
      </c>
      <c r="D1418">
        <v>2411</v>
      </c>
      <c r="E1418" t="s">
        <v>23</v>
      </c>
      <c r="F1418" t="s">
        <v>35</v>
      </c>
      <c r="G1418" t="s">
        <v>41</v>
      </c>
      <c r="H1418">
        <v>70.069999999999993</v>
      </c>
      <c r="I1418">
        <v>93.98</v>
      </c>
      <c r="J1418">
        <v>0.1706</v>
      </c>
      <c r="K1418">
        <v>0.62339999999999995</v>
      </c>
      <c r="L1418">
        <v>0.20610000000000001</v>
      </c>
      <c r="M1418">
        <v>1.02</v>
      </c>
      <c r="N1418">
        <v>2.13</v>
      </c>
      <c r="O1418">
        <v>57.7</v>
      </c>
      <c r="P1418">
        <v>0</v>
      </c>
      <c r="Q1418">
        <v>3</v>
      </c>
      <c r="R1418">
        <v>0</v>
      </c>
      <c r="S1418">
        <v>2.31</v>
      </c>
      <c r="T1418">
        <v>0.27</v>
      </c>
      <c r="U1418">
        <v>1.04</v>
      </c>
      <c r="V1418">
        <v>1.36</v>
      </c>
      <c r="W1418">
        <v>3.1</v>
      </c>
      <c r="X1418">
        <v>0</v>
      </c>
    </row>
    <row r="1419" spans="1:24" x14ac:dyDescent="0.35">
      <c r="A1419" t="str">
        <f t="shared" si="4"/>
        <v>Tottenham HotspurWolverhampton</v>
      </c>
      <c r="B1419">
        <v>2019</v>
      </c>
      <c r="C1419" s="1">
        <v>43891</v>
      </c>
      <c r="D1419">
        <v>2411</v>
      </c>
      <c r="E1419" t="s">
        <v>23</v>
      </c>
      <c r="F1419" t="s">
        <v>29</v>
      </c>
      <c r="G1419" t="s">
        <v>49</v>
      </c>
      <c r="H1419">
        <v>79.11</v>
      </c>
      <c r="I1419">
        <v>80.36</v>
      </c>
      <c r="J1419">
        <v>0.45650000000000002</v>
      </c>
      <c r="K1419">
        <v>0.28399999999999997</v>
      </c>
      <c r="L1419">
        <v>0.25950000000000001</v>
      </c>
      <c r="M1419">
        <v>1.54</v>
      </c>
      <c r="N1419">
        <v>1.1599999999999999</v>
      </c>
      <c r="O1419">
        <v>92.3</v>
      </c>
      <c r="P1419">
        <v>82.7</v>
      </c>
      <c r="Q1419">
        <v>2</v>
      </c>
      <c r="R1419">
        <v>3</v>
      </c>
      <c r="S1419">
        <v>2.08</v>
      </c>
      <c r="T1419">
        <v>2.52</v>
      </c>
      <c r="U1419">
        <v>1.21</v>
      </c>
      <c r="V1419">
        <v>1.45</v>
      </c>
      <c r="W1419">
        <v>2.1</v>
      </c>
      <c r="X1419">
        <v>3.15</v>
      </c>
    </row>
    <row r="1420" spans="1:24" x14ac:dyDescent="0.35">
      <c r="A1420" t="str">
        <f t="shared" si="4"/>
        <v>EvertonManchester United</v>
      </c>
      <c r="B1420">
        <v>2019</v>
      </c>
      <c r="C1420" s="1">
        <v>43891</v>
      </c>
      <c r="D1420">
        <v>2411</v>
      </c>
      <c r="E1420" t="s">
        <v>23</v>
      </c>
      <c r="F1420" t="s">
        <v>28</v>
      </c>
      <c r="G1420" t="s">
        <v>39</v>
      </c>
      <c r="H1420">
        <v>78.94</v>
      </c>
      <c r="I1420">
        <v>84.18</v>
      </c>
      <c r="J1420">
        <v>0.32940000000000003</v>
      </c>
      <c r="K1420">
        <v>0.41049999999999998</v>
      </c>
      <c r="L1420">
        <v>0.2601</v>
      </c>
      <c r="M1420">
        <v>1.29</v>
      </c>
      <c r="N1420">
        <v>1.47</v>
      </c>
      <c r="O1420">
        <v>29.4</v>
      </c>
      <c r="P1420">
        <v>89.7</v>
      </c>
      <c r="Q1420">
        <v>1</v>
      </c>
      <c r="R1420">
        <v>1</v>
      </c>
      <c r="S1420">
        <v>2.17</v>
      </c>
      <c r="T1420">
        <v>1.08</v>
      </c>
      <c r="U1420">
        <v>1.26</v>
      </c>
      <c r="V1420">
        <v>1.1599999999999999</v>
      </c>
      <c r="W1420">
        <v>1.05</v>
      </c>
      <c r="X1420">
        <v>1.05</v>
      </c>
    </row>
    <row r="1421" spans="1:24" x14ac:dyDescent="0.35">
      <c r="A1421" t="str">
        <f t="shared" si="4"/>
        <v>LiverpoolAFC Bournemouth</v>
      </c>
      <c r="B1421">
        <v>2019</v>
      </c>
      <c r="C1421" s="1">
        <v>43897</v>
      </c>
      <c r="D1421">
        <v>2411</v>
      </c>
      <c r="E1421" t="s">
        <v>23</v>
      </c>
      <c r="F1421" t="s">
        <v>41</v>
      </c>
      <c r="G1421" t="s">
        <v>38</v>
      </c>
      <c r="H1421">
        <v>92.67</v>
      </c>
      <c r="I1421">
        <v>62.75</v>
      </c>
      <c r="J1421">
        <v>0.82989999999999997</v>
      </c>
      <c r="K1421">
        <v>5.2999999999999999E-2</v>
      </c>
      <c r="L1421">
        <v>0.1171</v>
      </c>
      <c r="M1421">
        <v>2.88</v>
      </c>
      <c r="N1421">
        <v>0.62</v>
      </c>
      <c r="O1421">
        <v>0.9</v>
      </c>
      <c r="P1421">
        <v>69.900000000000006</v>
      </c>
      <c r="Q1421">
        <v>2</v>
      </c>
      <c r="R1421">
        <v>1</v>
      </c>
      <c r="S1421">
        <v>2.17</v>
      </c>
      <c r="T1421">
        <v>1.42</v>
      </c>
      <c r="U1421">
        <v>1.83</v>
      </c>
      <c r="V1421">
        <v>0.66</v>
      </c>
      <c r="W1421">
        <v>2.1</v>
      </c>
      <c r="X1421">
        <v>1.05</v>
      </c>
    </row>
    <row r="1422" spans="1:24" x14ac:dyDescent="0.35">
      <c r="A1422" t="str">
        <f t="shared" si="4"/>
        <v>WolverhamptonBrighton and Hove Albion</v>
      </c>
      <c r="B1422">
        <v>2019</v>
      </c>
      <c r="C1422" s="1">
        <v>43897</v>
      </c>
      <c r="D1422">
        <v>2411</v>
      </c>
      <c r="E1422" t="s">
        <v>23</v>
      </c>
      <c r="F1422" t="s">
        <v>49</v>
      </c>
      <c r="G1422" t="s">
        <v>45</v>
      </c>
      <c r="H1422">
        <v>80.930000000000007</v>
      </c>
      <c r="I1422">
        <v>69.59</v>
      </c>
      <c r="J1422">
        <v>0.61839999999999995</v>
      </c>
      <c r="K1422">
        <v>0.1547</v>
      </c>
      <c r="L1422">
        <v>0.22700000000000001</v>
      </c>
      <c r="M1422">
        <v>1.85</v>
      </c>
      <c r="N1422">
        <v>0.8</v>
      </c>
      <c r="O1422">
        <v>82.2</v>
      </c>
      <c r="P1422">
        <v>44</v>
      </c>
      <c r="Q1422">
        <v>0</v>
      </c>
      <c r="R1422">
        <v>0</v>
      </c>
      <c r="S1422">
        <v>0.77</v>
      </c>
      <c r="T1422">
        <v>0.28999999999999998</v>
      </c>
      <c r="U1422">
        <v>0.8</v>
      </c>
      <c r="V1422">
        <v>1.1399999999999999</v>
      </c>
      <c r="W1422">
        <v>0</v>
      </c>
      <c r="X1422">
        <v>0</v>
      </c>
    </row>
    <row r="1423" spans="1:24" x14ac:dyDescent="0.35">
      <c r="A1423" t="str">
        <f t="shared" si="4"/>
        <v>SouthamptonNewcastle</v>
      </c>
      <c r="B1423">
        <v>2019</v>
      </c>
      <c r="C1423" s="1">
        <v>43897</v>
      </c>
      <c r="D1423">
        <v>2411</v>
      </c>
      <c r="E1423" t="s">
        <v>23</v>
      </c>
      <c r="F1423" t="s">
        <v>34</v>
      </c>
      <c r="G1423" t="s">
        <v>46</v>
      </c>
      <c r="H1423">
        <v>70.680000000000007</v>
      </c>
      <c r="I1423">
        <v>60.18</v>
      </c>
      <c r="J1423">
        <v>0.55149999999999999</v>
      </c>
      <c r="K1423">
        <v>0.19819999999999999</v>
      </c>
      <c r="L1423">
        <v>0.25030000000000002</v>
      </c>
      <c r="M1423">
        <v>1.66</v>
      </c>
      <c r="N1423">
        <v>0.89</v>
      </c>
      <c r="O1423">
        <v>8.1</v>
      </c>
      <c r="P1423">
        <v>33.299999999999997</v>
      </c>
      <c r="Q1423">
        <v>0</v>
      </c>
      <c r="R1423">
        <v>1</v>
      </c>
      <c r="S1423">
        <v>0.35</v>
      </c>
      <c r="T1423">
        <v>3.43</v>
      </c>
      <c r="U1423">
        <v>0.98</v>
      </c>
      <c r="V1423">
        <v>0.89</v>
      </c>
      <c r="W1423">
        <v>0</v>
      </c>
      <c r="X1423">
        <v>0.84</v>
      </c>
    </row>
    <row r="1424" spans="1:24" x14ac:dyDescent="0.35">
      <c r="A1424" t="str">
        <f t="shared" si="4"/>
        <v>Sheffield UnitedNorwich City</v>
      </c>
      <c r="B1424">
        <v>2019</v>
      </c>
      <c r="C1424" s="1">
        <v>43897</v>
      </c>
      <c r="D1424">
        <v>2411</v>
      </c>
      <c r="E1424" t="s">
        <v>23</v>
      </c>
      <c r="F1424" t="s">
        <v>51</v>
      </c>
      <c r="G1424" t="s">
        <v>50</v>
      </c>
      <c r="H1424">
        <v>73.709999999999994</v>
      </c>
      <c r="I1424">
        <v>61.04</v>
      </c>
      <c r="J1424">
        <v>0.57830000000000004</v>
      </c>
      <c r="K1424">
        <v>0.16439999999999999</v>
      </c>
      <c r="L1424">
        <v>0.25729999999999997</v>
      </c>
      <c r="M1424">
        <v>1.58</v>
      </c>
      <c r="N1424">
        <v>0.71</v>
      </c>
      <c r="O1424">
        <v>36.9</v>
      </c>
      <c r="P1424">
        <v>25.6</v>
      </c>
      <c r="Q1424">
        <v>1</v>
      </c>
      <c r="R1424">
        <v>0</v>
      </c>
      <c r="S1424">
        <v>1.2</v>
      </c>
      <c r="T1424">
        <v>1.52</v>
      </c>
      <c r="U1424">
        <v>1.3</v>
      </c>
      <c r="V1424">
        <v>0.86</v>
      </c>
      <c r="W1424">
        <v>1.05</v>
      </c>
      <c r="X1424">
        <v>0</v>
      </c>
    </row>
    <row r="1425" spans="1:24" x14ac:dyDescent="0.35">
      <c r="A1425" t="str">
        <f t="shared" si="4"/>
        <v>ArsenalWest Ham United</v>
      </c>
      <c r="B1425">
        <v>2019</v>
      </c>
      <c r="C1425" s="1">
        <v>43897</v>
      </c>
      <c r="D1425">
        <v>2411</v>
      </c>
      <c r="E1425" t="s">
        <v>23</v>
      </c>
      <c r="F1425" t="s">
        <v>40</v>
      </c>
      <c r="G1425" t="s">
        <v>43</v>
      </c>
      <c r="H1425">
        <v>77.040000000000006</v>
      </c>
      <c r="I1425">
        <v>66.680000000000007</v>
      </c>
      <c r="J1425">
        <v>0.5585</v>
      </c>
      <c r="K1425">
        <v>0.2185</v>
      </c>
      <c r="L1425">
        <v>0.22289999999999999</v>
      </c>
      <c r="M1425">
        <v>1.98</v>
      </c>
      <c r="N1425">
        <v>1.1599999999999999</v>
      </c>
      <c r="O1425">
        <v>21.2</v>
      </c>
      <c r="P1425">
        <v>41.7</v>
      </c>
      <c r="Q1425">
        <v>1</v>
      </c>
      <c r="R1425">
        <v>0</v>
      </c>
      <c r="S1425">
        <v>1.74</v>
      </c>
      <c r="T1425">
        <v>1.59</v>
      </c>
      <c r="U1425">
        <v>1.25</v>
      </c>
      <c r="V1425">
        <v>1.36</v>
      </c>
      <c r="W1425">
        <v>1.05</v>
      </c>
      <c r="X1425">
        <v>0</v>
      </c>
    </row>
    <row r="1426" spans="1:24" x14ac:dyDescent="0.35">
      <c r="A1426" t="str">
        <f t="shared" si="4"/>
        <v>Crystal PalaceWatford</v>
      </c>
      <c r="B1426">
        <v>2019</v>
      </c>
      <c r="C1426" s="1">
        <v>43897</v>
      </c>
      <c r="D1426">
        <v>2411</v>
      </c>
      <c r="E1426" t="s">
        <v>23</v>
      </c>
      <c r="F1426" t="s">
        <v>30</v>
      </c>
      <c r="G1426" t="s">
        <v>35</v>
      </c>
      <c r="H1426">
        <v>69.8</v>
      </c>
      <c r="I1426">
        <v>72.94</v>
      </c>
      <c r="J1426">
        <v>0.36870000000000003</v>
      </c>
      <c r="K1426">
        <v>0.35189999999999999</v>
      </c>
      <c r="L1426">
        <v>0.27939999999999998</v>
      </c>
      <c r="M1426">
        <v>1.25</v>
      </c>
      <c r="N1426">
        <v>1.21</v>
      </c>
      <c r="O1426">
        <v>3.3</v>
      </c>
      <c r="P1426">
        <v>41.1</v>
      </c>
      <c r="Q1426">
        <v>1</v>
      </c>
      <c r="R1426">
        <v>0</v>
      </c>
      <c r="S1426">
        <v>0.67</v>
      </c>
      <c r="T1426">
        <v>0.55000000000000004</v>
      </c>
      <c r="U1426">
        <v>1.59</v>
      </c>
      <c r="V1426">
        <v>1.34</v>
      </c>
      <c r="W1426">
        <v>1.05</v>
      </c>
      <c r="X1426">
        <v>0</v>
      </c>
    </row>
    <row r="1427" spans="1:24" x14ac:dyDescent="0.35">
      <c r="A1427" t="str">
        <f t="shared" si="4"/>
        <v>BurnleyTottenham Hotspur</v>
      </c>
      <c r="B1427">
        <v>2019</v>
      </c>
      <c r="C1427" s="1">
        <v>43897</v>
      </c>
      <c r="D1427">
        <v>2411</v>
      </c>
      <c r="E1427" t="s">
        <v>23</v>
      </c>
      <c r="F1427" t="s">
        <v>32</v>
      </c>
      <c r="G1427" t="s">
        <v>29</v>
      </c>
      <c r="H1427">
        <v>70.05</v>
      </c>
      <c r="I1427">
        <v>78.06</v>
      </c>
      <c r="J1427">
        <v>0.29210000000000003</v>
      </c>
      <c r="K1427">
        <v>0.4536</v>
      </c>
      <c r="L1427">
        <v>0.25430000000000003</v>
      </c>
      <c r="M1427">
        <v>1.22</v>
      </c>
      <c r="N1427">
        <v>1.58</v>
      </c>
      <c r="O1427">
        <v>6.4</v>
      </c>
      <c r="P1427">
        <v>68.099999999999994</v>
      </c>
      <c r="Q1427">
        <v>1</v>
      </c>
      <c r="R1427">
        <v>1</v>
      </c>
      <c r="S1427">
        <v>3.28</v>
      </c>
      <c r="T1427">
        <v>1.19</v>
      </c>
      <c r="U1427">
        <v>1.96</v>
      </c>
      <c r="V1427">
        <v>0.98</v>
      </c>
      <c r="W1427">
        <v>1.05</v>
      </c>
      <c r="X1427">
        <v>1.05</v>
      </c>
    </row>
    <row r="1428" spans="1:24" x14ac:dyDescent="0.35">
      <c r="A1428" t="str">
        <f t="shared" si="4"/>
        <v>ChelseaEverton</v>
      </c>
      <c r="B1428">
        <v>2019</v>
      </c>
      <c r="C1428" s="1">
        <v>43898</v>
      </c>
      <c r="D1428">
        <v>2411</v>
      </c>
      <c r="E1428" t="s">
        <v>23</v>
      </c>
      <c r="F1428" t="s">
        <v>42</v>
      </c>
      <c r="G1428" t="s">
        <v>28</v>
      </c>
      <c r="H1428">
        <v>84.22</v>
      </c>
      <c r="I1428">
        <v>79.260000000000005</v>
      </c>
      <c r="J1428">
        <v>0.57120000000000004</v>
      </c>
      <c r="K1428">
        <v>0.1993</v>
      </c>
      <c r="L1428">
        <v>0.22950000000000001</v>
      </c>
      <c r="M1428">
        <v>1.88</v>
      </c>
      <c r="N1428">
        <v>1.01</v>
      </c>
      <c r="O1428">
        <v>84.8</v>
      </c>
      <c r="P1428">
        <v>36.200000000000003</v>
      </c>
      <c r="Q1428">
        <v>4</v>
      </c>
      <c r="R1428">
        <v>0</v>
      </c>
      <c r="S1428">
        <v>2.2999999999999998</v>
      </c>
      <c r="T1428">
        <v>0.46</v>
      </c>
      <c r="U1428">
        <v>1.55</v>
      </c>
      <c r="V1428">
        <v>0.28000000000000003</v>
      </c>
      <c r="W1428">
        <v>4.2</v>
      </c>
      <c r="X1428">
        <v>0</v>
      </c>
    </row>
    <row r="1429" spans="1:24" x14ac:dyDescent="0.35">
      <c r="A1429" t="str">
        <f t="shared" si="4"/>
        <v>Manchester UnitedManchester City</v>
      </c>
      <c r="B1429">
        <v>2019</v>
      </c>
      <c r="C1429" s="1">
        <v>43898</v>
      </c>
      <c r="D1429">
        <v>2411</v>
      </c>
      <c r="E1429" t="s">
        <v>23</v>
      </c>
      <c r="F1429" t="s">
        <v>39</v>
      </c>
      <c r="G1429" t="s">
        <v>36</v>
      </c>
      <c r="H1429">
        <v>83.94</v>
      </c>
      <c r="I1429">
        <v>95.12</v>
      </c>
      <c r="J1429">
        <v>0.29599999999999999</v>
      </c>
      <c r="K1429">
        <v>0.4708</v>
      </c>
      <c r="L1429">
        <v>0.23319999999999999</v>
      </c>
      <c r="M1429">
        <v>1.42</v>
      </c>
      <c r="N1429">
        <v>1.83</v>
      </c>
      <c r="O1429">
        <v>89.2</v>
      </c>
      <c r="P1429">
        <v>0.1</v>
      </c>
      <c r="Q1429">
        <v>2</v>
      </c>
      <c r="R1429">
        <v>0</v>
      </c>
      <c r="S1429">
        <v>1.3</v>
      </c>
      <c r="T1429">
        <v>0.78</v>
      </c>
      <c r="U1429">
        <v>0.72</v>
      </c>
      <c r="V1429">
        <v>1.08</v>
      </c>
      <c r="W1429">
        <v>1.58</v>
      </c>
      <c r="X1429">
        <v>0</v>
      </c>
    </row>
    <row r="1430" spans="1:24" x14ac:dyDescent="0.35">
      <c r="A1430" t="str">
        <f t="shared" si="4"/>
        <v>Leicester CityAston Villa</v>
      </c>
      <c r="B1430">
        <v>2019</v>
      </c>
      <c r="C1430" s="1">
        <v>43899</v>
      </c>
      <c r="D1430">
        <v>2411</v>
      </c>
      <c r="E1430" t="s">
        <v>23</v>
      </c>
      <c r="F1430" t="s">
        <v>25</v>
      </c>
      <c r="G1430" t="s">
        <v>52</v>
      </c>
      <c r="H1430">
        <v>80.78</v>
      </c>
      <c r="I1430">
        <v>60.54</v>
      </c>
      <c r="J1430">
        <v>0.65349999999999997</v>
      </c>
      <c r="K1430">
        <v>0.1469</v>
      </c>
      <c r="L1430">
        <v>0.19950000000000001</v>
      </c>
      <c r="M1430">
        <v>2.16</v>
      </c>
      <c r="N1430">
        <v>0.91</v>
      </c>
      <c r="O1430">
        <v>37.799999999999997</v>
      </c>
      <c r="P1430">
        <v>60.6</v>
      </c>
      <c r="Q1430">
        <v>4</v>
      </c>
      <c r="R1430">
        <v>0</v>
      </c>
      <c r="S1430">
        <v>2.13</v>
      </c>
      <c r="T1430">
        <v>0.74</v>
      </c>
      <c r="U1430">
        <v>1.81</v>
      </c>
      <c r="V1430">
        <v>0.31</v>
      </c>
      <c r="W1430">
        <v>3.6</v>
      </c>
      <c r="X1430">
        <v>0</v>
      </c>
    </row>
    <row r="1431" spans="1:24" x14ac:dyDescent="0.35">
      <c r="A1431" t="str">
        <f t="shared" si="4"/>
        <v>Aston VillaSheffield United</v>
      </c>
      <c r="B1431">
        <v>2019</v>
      </c>
      <c r="C1431" s="1">
        <v>43999</v>
      </c>
      <c r="D1431">
        <v>2411</v>
      </c>
      <c r="E1431" t="s">
        <v>23</v>
      </c>
      <c r="F1431" t="s">
        <v>52</v>
      </c>
      <c r="G1431" t="s">
        <v>51</v>
      </c>
      <c r="H1431">
        <v>59.63</v>
      </c>
      <c r="I1431">
        <v>73.319999999999993</v>
      </c>
      <c r="J1431">
        <v>0.34549999999999997</v>
      </c>
      <c r="K1431">
        <v>0.38590000000000002</v>
      </c>
      <c r="L1431">
        <v>0.26869999999999999</v>
      </c>
      <c r="M1431">
        <v>1.27</v>
      </c>
      <c r="N1431">
        <v>1.36</v>
      </c>
      <c r="O1431">
        <v>56.3</v>
      </c>
      <c r="P1431">
        <v>39.1</v>
      </c>
      <c r="Q1431">
        <v>0</v>
      </c>
      <c r="R1431">
        <v>0</v>
      </c>
      <c r="S1431">
        <v>1.36</v>
      </c>
      <c r="T1431">
        <v>0.36</v>
      </c>
      <c r="U1431">
        <v>1.55</v>
      </c>
      <c r="V1431">
        <v>0.68</v>
      </c>
      <c r="W1431">
        <v>0</v>
      </c>
      <c r="X1431">
        <v>0</v>
      </c>
    </row>
    <row r="1432" spans="1:24" x14ac:dyDescent="0.35">
      <c r="A1432" t="str">
        <f t="shared" si="4"/>
        <v>Manchester CityArsenal</v>
      </c>
      <c r="B1432">
        <v>2019</v>
      </c>
      <c r="C1432" s="1">
        <v>43999</v>
      </c>
      <c r="D1432">
        <v>2411</v>
      </c>
      <c r="E1432" t="s">
        <v>23</v>
      </c>
      <c r="F1432" t="s">
        <v>36</v>
      </c>
      <c r="G1432" t="s">
        <v>40</v>
      </c>
      <c r="H1432">
        <v>94.8</v>
      </c>
      <c r="I1432">
        <v>76.77</v>
      </c>
      <c r="J1432">
        <v>0.77270000000000005</v>
      </c>
      <c r="K1432">
        <v>8.2799999999999999E-2</v>
      </c>
      <c r="L1432">
        <v>0.14449999999999999</v>
      </c>
      <c r="M1432">
        <v>2.68</v>
      </c>
      <c r="N1432">
        <v>0.77</v>
      </c>
      <c r="O1432">
        <v>0</v>
      </c>
      <c r="P1432">
        <v>40.200000000000003</v>
      </c>
      <c r="Q1432">
        <v>3</v>
      </c>
      <c r="R1432">
        <v>0</v>
      </c>
      <c r="S1432">
        <v>2.92</v>
      </c>
      <c r="T1432">
        <v>0.67</v>
      </c>
      <c r="U1432">
        <v>2.2799999999999998</v>
      </c>
      <c r="V1432">
        <v>0.63</v>
      </c>
      <c r="W1432">
        <v>2.31</v>
      </c>
      <c r="X1432">
        <v>0</v>
      </c>
    </row>
    <row r="1433" spans="1:24" x14ac:dyDescent="0.35">
      <c r="A1433" t="str">
        <f t="shared" si="4"/>
        <v>Norwich CitySouthampton</v>
      </c>
      <c r="B1433">
        <v>2019</v>
      </c>
      <c r="C1433" s="1">
        <v>44001</v>
      </c>
      <c r="D1433">
        <v>2411</v>
      </c>
      <c r="E1433" t="s">
        <v>23</v>
      </c>
      <c r="F1433" t="s">
        <v>50</v>
      </c>
      <c r="G1433" t="s">
        <v>34</v>
      </c>
      <c r="H1433">
        <v>61.63</v>
      </c>
      <c r="I1433">
        <v>68.31</v>
      </c>
      <c r="J1433">
        <v>0.36990000000000001</v>
      </c>
      <c r="K1433">
        <v>0.36109999999999998</v>
      </c>
      <c r="L1433">
        <v>0.26900000000000002</v>
      </c>
      <c r="M1433">
        <v>1.32</v>
      </c>
      <c r="N1433">
        <v>1.31</v>
      </c>
      <c r="O1433">
        <v>18.5</v>
      </c>
      <c r="P1433">
        <v>11.9</v>
      </c>
      <c r="Q1433">
        <v>0</v>
      </c>
      <c r="R1433">
        <v>3</v>
      </c>
      <c r="S1433">
        <v>0.67</v>
      </c>
      <c r="T1433">
        <v>1.69</v>
      </c>
      <c r="U1433">
        <v>1.18</v>
      </c>
      <c r="V1433">
        <v>1.91</v>
      </c>
      <c r="W1433">
        <v>0</v>
      </c>
      <c r="X1433">
        <v>2.93</v>
      </c>
    </row>
    <row r="1434" spans="1:24" x14ac:dyDescent="0.35">
      <c r="A1434" t="str">
        <f t="shared" si="4"/>
        <v>Tottenham HotspurManchester United</v>
      </c>
      <c r="B1434">
        <v>2019</v>
      </c>
      <c r="C1434" s="1">
        <v>44001</v>
      </c>
      <c r="D1434">
        <v>2411</v>
      </c>
      <c r="E1434" t="s">
        <v>23</v>
      </c>
      <c r="F1434" t="s">
        <v>29</v>
      </c>
      <c r="G1434" t="s">
        <v>39</v>
      </c>
      <c r="H1434">
        <v>76.59</v>
      </c>
      <c r="I1434">
        <v>86.23</v>
      </c>
      <c r="J1434">
        <v>0.30109999999999998</v>
      </c>
      <c r="K1434">
        <v>0.4531</v>
      </c>
      <c r="L1434">
        <v>0.24579999999999999</v>
      </c>
      <c r="M1434">
        <v>1.32</v>
      </c>
      <c r="N1434">
        <v>1.67</v>
      </c>
      <c r="O1434">
        <v>60.8</v>
      </c>
      <c r="P1434">
        <v>88</v>
      </c>
      <c r="Q1434">
        <v>1</v>
      </c>
      <c r="R1434">
        <v>1</v>
      </c>
      <c r="S1434">
        <v>0.62</v>
      </c>
      <c r="T1434">
        <v>1.87</v>
      </c>
      <c r="U1434">
        <v>0.34</v>
      </c>
      <c r="V1434">
        <v>1.03</v>
      </c>
      <c r="W1434">
        <v>1.05</v>
      </c>
      <c r="X1434">
        <v>1.05</v>
      </c>
    </row>
    <row r="1435" spans="1:24" x14ac:dyDescent="0.35">
      <c r="A1435" t="str">
        <f t="shared" si="4"/>
        <v>WatfordLeicester City</v>
      </c>
      <c r="B1435">
        <v>2019</v>
      </c>
      <c r="C1435" s="1">
        <v>44002</v>
      </c>
      <c r="D1435">
        <v>2411</v>
      </c>
      <c r="E1435" t="s">
        <v>23</v>
      </c>
      <c r="F1435" t="s">
        <v>35</v>
      </c>
      <c r="G1435" t="s">
        <v>25</v>
      </c>
      <c r="H1435">
        <v>72.81</v>
      </c>
      <c r="I1435">
        <v>81.58</v>
      </c>
      <c r="J1435">
        <v>0.36030000000000001</v>
      </c>
      <c r="K1435">
        <v>0.36870000000000003</v>
      </c>
      <c r="L1435">
        <v>0.27100000000000002</v>
      </c>
      <c r="M1435">
        <v>1.29</v>
      </c>
      <c r="N1435">
        <v>1.31</v>
      </c>
      <c r="O1435">
        <v>49</v>
      </c>
      <c r="P1435">
        <v>19.5</v>
      </c>
      <c r="Q1435">
        <v>1</v>
      </c>
      <c r="R1435">
        <v>1</v>
      </c>
      <c r="S1435">
        <v>1.44</v>
      </c>
      <c r="T1435">
        <v>1.23</v>
      </c>
      <c r="U1435">
        <v>1.47</v>
      </c>
      <c r="V1435">
        <v>0.99</v>
      </c>
      <c r="W1435">
        <v>1.05</v>
      </c>
      <c r="X1435">
        <v>1.05</v>
      </c>
    </row>
    <row r="1436" spans="1:24" x14ac:dyDescent="0.35">
      <c r="A1436" t="str">
        <f t="shared" si="4"/>
        <v>Brighton and Hove AlbionArsenal</v>
      </c>
      <c r="B1436">
        <v>2019</v>
      </c>
      <c r="C1436" s="1">
        <v>44002</v>
      </c>
      <c r="D1436">
        <v>2411</v>
      </c>
      <c r="E1436" t="s">
        <v>23</v>
      </c>
      <c r="F1436" t="s">
        <v>45</v>
      </c>
      <c r="G1436" t="s">
        <v>40</v>
      </c>
      <c r="H1436">
        <v>70.62</v>
      </c>
      <c r="I1436">
        <v>76.5</v>
      </c>
      <c r="J1436">
        <v>0.3886</v>
      </c>
      <c r="K1436">
        <v>0.34889999999999999</v>
      </c>
      <c r="L1436">
        <v>0.2626</v>
      </c>
      <c r="M1436">
        <v>1.41</v>
      </c>
      <c r="N1436">
        <v>1.32</v>
      </c>
      <c r="O1436">
        <v>42.9</v>
      </c>
      <c r="P1436">
        <v>18.7</v>
      </c>
      <c r="Q1436">
        <v>2</v>
      </c>
      <c r="R1436">
        <v>1</v>
      </c>
      <c r="S1436">
        <v>0.65</v>
      </c>
      <c r="T1436">
        <v>0.79</v>
      </c>
      <c r="U1436">
        <v>0.8</v>
      </c>
      <c r="V1436">
        <v>1.0900000000000001</v>
      </c>
      <c r="W1436">
        <v>2.1</v>
      </c>
      <c r="X1436">
        <v>1.05</v>
      </c>
    </row>
    <row r="1437" spans="1:24" x14ac:dyDescent="0.35">
      <c r="A1437" t="str">
        <f t="shared" si="4"/>
        <v>West Ham UnitedWolverhampton</v>
      </c>
      <c r="B1437">
        <v>2019</v>
      </c>
      <c r="C1437" s="1">
        <v>44002</v>
      </c>
      <c r="D1437">
        <v>2411</v>
      </c>
      <c r="E1437" t="s">
        <v>23</v>
      </c>
      <c r="F1437" t="s">
        <v>43</v>
      </c>
      <c r="G1437" t="s">
        <v>49</v>
      </c>
      <c r="H1437">
        <v>67.27</v>
      </c>
      <c r="I1437">
        <v>80.53</v>
      </c>
      <c r="J1437">
        <v>0.29749999999999999</v>
      </c>
      <c r="K1437">
        <v>0.44240000000000002</v>
      </c>
      <c r="L1437">
        <v>0.2601</v>
      </c>
      <c r="M1437">
        <v>1.2</v>
      </c>
      <c r="N1437">
        <v>1.52</v>
      </c>
      <c r="O1437">
        <v>51.7</v>
      </c>
      <c r="P1437">
        <v>65.5</v>
      </c>
      <c r="Q1437">
        <v>0</v>
      </c>
      <c r="R1437">
        <v>2</v>
      </c>
      <c r="S1437">
        <v>0.44</v>
      </c>
      <c r="T1437">
        <v>0.96</v>
      </c>
      <c r="U1437">
        <v>0.45</v>
      </c>
      <c r="V1437">
        <v>1.45</v>
      </c>
      <c r="W1437">
        <v>0</v>
      </c>
      <c r="X1437">
        <v>1.73</v>
      </c>
    </row>
    <row r="1438" spans="1:24" x14ac:dyDescent="0.35">
      <c r="A1438" t="str">
        <f t="shared" si="4"/>
        <v>AFC BournemouthCrystal Palace</v>
      </c>
      <c r="B1438">
        <v>2019</v>
      </c>
      <c r="C1438" s="1">
        <v>44002</v>
      </c>
      <c r="D1438">
        <v>2411</v>
      </c>
      <c r="E1438" t="s">
        <v>23</v>
      </c>
      <c r="F1438" t="s">
        <v>38</v>
      </c>
      <c r="G1438" t="s">
        <v>30</v>
      </c>
      <c r="H1438">
        <v>64.05</v>
      </c>
      <c r="I1438">
        <v>70.27</v>
      </c>
      <c r="J1438">
        <v>0.45829999999999999</v>
      </c>
      <c r="K1438">
        <v>0.27639999999999998</v>
      </c>
      <c r="L1438">
        <v>0.26529999999999998</v>
      </c>
      <c r="M1438">
        <v>1.49</v>
      </c>
      <c r="N1438">
        <v>1.1000000000000001</v>
      </c>
      <c r="O1438">
        <v>72.099999999999994</v>
      </c>
      <c r="P1438">
        <v>2</v>
      </c>
      <c r="Q1438">
        <v>0</v>
      </c>
      <c r="R1438">
        <v>2</v>
      </c>
      <c r="S1438">
        <v>0.46</v>
      </c>
      <c r="T1438">
        <v>0.88</v>
      </c>
      <c r="U1438">
        <v>1.5</v>
      </c>
      <c r="V1438">
        <v>0.73</v>
      </c>
      <c r="W1438">
        <v>0</v>
      </c>
      <c r="X1438">
        <v>2.1</v>
      </c>
    </row>
    <row r="1439" spans="1:24" x14ac:dyDescent="0.35">
      <c r="A1439" t="str">
        <f t="shared" si="4"/>
        <v>NewcastleSheffield United</v>
      </c>
      <c r="B1439">
        <v>2019</v>
      </c>
      <c r="C1439" s="1">
        <v>44003</v>
      </c>
      <c r="D1439">
        <v>2411</v>
      </c>
      <c r="E1439" t="s">
        <v>23</v>
      </c>
      <c r="F1439" t="s">
        <v>46</v>
      </c>
      <c r="G1439" t="s">
        <v>51</v>
      </c>
      <c r="H1439">
        <v>62.72</v>
      </c>
      <c r="I1439">
        <v>72.95</v>
      </c>
      <c r="J1439">
        <v>0.31759999999999999</v>
      </c>
      <c r="K1439">
        <v>0.37569999999999998</v>
      </c>
      <c r="L1439">
        <v>0.30669999999999997</v>
      </c>
      <c r="M1439">
        <v>0.99</v>
      </c>
      <c r="N1439">
        <v>1.1000000000000001</v>
      </c>
      <c r="O1439">
        <v>9.4</v>
      </c>
      <c r="P1439">
        <v>27.5</v>
      </c>
      <c r="Q1439">
        <v>3</v>
      </c>
      <c r="R1439">
        <v>0</v>
      </c>
      <c r="S1439">
        <v>2.0299999999999998</v>
      </c>
      <c r="T1439">
        <v>0.7</v>
      </c>
      <c r="U1439">
        <v>0.92</v>
      </c>
      <c r="V1439">
        <v>0.8</v>
      </c>
      <c r="W1439">
        <v>2.37</v>
      </c>
      <c r="X1439">
        <v>0</v>
      </c>
    </row>
    <row r="1440" spans="1:24" x14ac:dyDescent="0.35">
      <c r="A1440" t="str">
        <f t="shared" si="4"/>
        <v>Aston VillaChelsea</v>
      </c>
      <c r="B1440">
        <v>2019</v>
      </c>
      <c r="C1440" s="1">
        <v>44003</v>
      </c>
      <c r="D1440">
        <v>2411</v>
      </c>
      <c r="E1440" t="s">
        <v>23</v>
      </c>
      <c r="F1440" t="s">
        <v>52</v>
      </c>
      <c r="G1440" t="s">
        <v>42</v>
      </c>
      <c r="H1440">
        <v>60.72</v>
      </c>
      <c r="I1440">
        <v>85.54</v>
      </c>
      <c r="J1440">
        <v>0.17780000000000001</v>
      </c>
      <c r="K1440">
        <v>0.61919999999999997</v>
      </c>
      <c r="L1440">
        <v>0.20300000000000001</v>
      </c>
      <c r="M1440">
        <v>1.0900000000000001</v>
      </c>
      <c r="N1440">
        <v>2.19</v>
      </c>
      <c r="O1440">
        <v>57.5</v>
      </c>
      <c r="P1440">
        <v>69.7</v>
      </c>
      <c r="Q1440">
        <v>1</v>
      </c>
      <c r="R1440">
        <v>2</v>
      </c>
      <c r="S1440">
        <v>1.83</v>
      </c>
      <c r="T1440">
        <v>1.38</v>
      </c>
      <c r="U1440">
        <v>0.48</v>
      </c>
      <c r="V1440">
        <v>2.2999999999999998</v>
      </c>
      <c r="W1440">
        <v>1.05</v>
      </c>
      <c r="X1440">
        <v>2.1</v>
      </c>
    </row>
    <row r="1441" spans="1:24" x14ac:dyDescent="0.35">
      <c r="A1441" t="str">
        <f t="shared" si="4"/>
        <v>EvertonLiverpool</v>
      </c>
      <c r="B1441">
        <v>2019</v>
      </c>
      <c r="C1441" s="1">
        <v>44003</v>
      </c>
      <c r="D1441">
        <v>2411</v>
      </c>
      <c r="E1441" t="s">
        <v>23</v>
      </c>
      <c r="F1441" t="s">
        <v>28</v>
      </c>
      <c r="G1441" t="s">
        <v>41</v>
      </c>
      <c r="H1441">
        <v>77.72</v>
      </c>
      <c r="I1441">
        <v>91.91</v>
      </c>
      <c r="J1441">
        <v>0.23549999999999999</v>
      </c>
      <c r="K1441">
        <v>0.53749999999999998</v>
      </c>
      <c r="L1441">
        <v>0.22700000000000001</v>
      </c>
      <c r="M1441">
        <v>1.21</v>
      </c>
      <c r="N1441">
        <v>1.93</v>
      </c>
      <c r="O1441">
        <v>9.3000000000000007</v>
      </c>
      <c r="P1441">
        <v>0</v>
      </c>
      <c r="Q1441">
        <v>0</v>
      </c>
      <c r="R1441">
        <v>0</v>
      </c>
      <c r="S1441">
        <v>0.73</v>
      </c>
      <c r="T1441">
        <v>0.68</v>
      </c>
      <c r="U1441">
        <v>0.56999999999999995</v>
      </c>
      <c r="V1441">
        <v>1.37</v>
      </c>
      <c r="W1441">
        <v>0</v>
      </c>
      <c r="X1441">
        <v>0</v>
      </c>
    </row>
    <row r="1442" spans="1:24" x14ac:dyDescent="0.35">
      <c r="A1442" t="str">
        <f t="shared" si="4"/>
        <v>Manchester CityBurnley</v>
      </c>
      <c r="B1442">
        <v>2019</v>
      </c>
      <c r="C1442" s="1">
        <v>44004</v>
      </c>
      <c r="D1442">
        <v>2411</v>
      </c>
      <c r="E1442" t="s">
        <v>23</v>
      </c>
      <c r="F1442" t="s">
        <v>36</v>
      </c>
      <c r="G1442" t="s">
        <v>32</v>
      </c>
      <c r="H1442">
        <v>94.93</v>
      </c>
      <c r="I1442">
        <v>71.17</v>
      </c>
      <c r="J1442">
        <v>0.82</v>
      </c>
      <c r="K1442">
        <v>5.3600000000000002E-2</v>
      </c>
      <c r="L1442">
        <v>0.1263</v>
      </c>
      <c r="M1442">
        <v>2.7</v>
      </c>
      <c r="N1442">
        <v>0.56000000000000005</v>
      </c>
      <c r="O1442">
        <v>0</v>
      </c>
      <c r="P1442">
        <v>3.8</v>
      </c>
      <c r="Q1442">
        <v>5</v>
      </c>
      <c r="R1442">
        <v>0</v>
      </c>
      <c r="S1442">
        <v>2.69</v>
      </c>
      <c r="T1442">
        <v>0.04</v>
      </c>
      <c r="U1442">
        <v>1.98</v>
      </c>
      <c r="V1442">
        <v>0.06</v>
      </c>
      <c r="W1442">
        <v>5.25</v>
      </c>
      <c r="X1442">
        <v>0</v>
      </c>
    </row>
    <row r="1443" spans="1:24" x14ac:dyDescent="0.35">
      <c r="A1443" t="str">
        <f t="shared" si="4"/>
        <v>Leicester CityBrighton and Hove Albion</v>
      </c>
      <c r="B1443">
        <v>2019</v>
      </c>
      <c r="C1443" s="1">
        <v>44005</v>
      </c>
      <c r="D1443">
        <v>2411</v>
      </c>
      <c r="E1443" t="s">
        <v>23</v>
      </c>
      <c r="F1443" t="s">
        <v>25</v>
      </c>
      <c r="G1443" t="s">
        <v>45</v>
      </c>
      <c r="H1443">
        <v>81.3</v>
      </c>
      <c r="I1443">
        <v>70.91</v>
      </c>
      <c r="J1443">
        <v>0.53810000000000002</v>
      </c>
      <c r="K1443">
        <v>0.2094</v>
      </c>
      <c r="L1443">
        <v>0.2525</v>
      </c>
      <c r="M1443">
        <v>1.64</v>
      </c>
      <c r="N1443">
        <v>0.92</v>
      </c>
      <c r="O1443">
        <v>27.1</v>
      </c>
      <c r="P1443">
        <v>13.5</v>
      </c>
      <c r="Q1443">
        <v>0</v>
      </c>
      <c r="R1443">
        <v>0</v>
      </c>
      <c r="S1443">
        <v>0.67</v>
      </c>
      <c r="T1443">
        <v>1.1100000000000001</v>
      </c>
      <c r="U1443">
        <v>1.4</v>
      </c>
      <c r="V1443">
        <v>0.19</v>
      </c>
      <c r="W1443">
        <v>0</v>
      </c>
      <c r="X1443">
        <v>0</v>
      </c>
    </row>
    <row r="1444" spans="1:24" x14ac:dyDescent="0.35">
      <c r="A1444" t="str">
        <f t="shared" si="4"/>
        <v>Tottenham HotspurWest Ham United</v>
      </c>
      <c r="B1444">
        <v>2019</v>
      </c>
      <c r="C1444" s="1">
        <v>44005</v>
      </c>
      <c r="D1444">
        <v>2411</v>
      </c>
      <c r="E1444" t="s">
        <v>23</v>
      </c>
      <c r="F1444" t="s">
        <v>29</v>
      </c>
      <c r="G1444" t="s">
        <v>43</v>
      </c>
      <c r="H1444">
        <v>76.239999999999995</v>
      </c>
      <c r="I1444">
        <v>66.400000000000006</v>
      </c>
      <c r="J1444">
        <v>0.50090000000000001</v>
      </c>
      <c r="K1444">
        <v>0.26200000000000001</v>
      </c>
      <c r="L1444">
        <v>0.23710000000000001</v>
      </c>
      <c r="M1444">
        <v>1.8</v>
      </c>
      <c r="N1444">
        <v>1.25</v>
      </c>
      <c r="O1444">
        <v>28.5</v>
      </c>
      <c r="P1444">
        <v>55.1</v>
      </c>
      <c r="Q1444">
        <v>2</v>
      </c>
      <c r="R1444">
        <v>0</v>
      </c>
      <c r="S1444">
        <v>2.4700000000000002</v>
      </c>
      <c r="T1444">
        <v>0.85</v>
      </c>
      <c r="U1444">
        <v>1.7</v>
      </c>
      <c r="V1444">
        <v>1.21</v>
      </c>
      <c r="W1444">
        <v>1.79</v>
      </c>
      <c r="X1444">
        <v>0</v>
      </c>
    </row>
    <row r="1445" spans="1:24" x14ac:dyDescent="0.35">
      <c r="A1445" t="str">
        <f t="shared" si="4"/>
        <v>WolverhamptonAFC Bournemouth</v>
      </c>
      <c r="B1445">
        <v>2019</v>
      </c>
      <c r="C1445" s="1">
        <v>44006</v>
      </c>
      <c r="D1445">
        <v>2411</v>
      </c>
      <c r="E1445" t="s">
        <v>23</v>
      </c>
      <c r="F1445" t="s">
        <v>49</v>
      </c>
      <c r="G1445" t="s">
        <v>38</v>
      </c>
      <c r="H1445">
        <v>81.59</v>
      </c>
      <c r="I1445">
        <v>63.35</v>
      </c>
      <c r="J1445">
        <v>0.60319999999999996</v>
      </c>
      <c r="K1445">
        <v>0.16389999999999999</v>
      </c>
      <c r="L1445">
        <v>0.2329</v>
      </c>
      <c r="M1445">
        <v>1.8</v>
      </c>
      <c r="N1445">
        <v>0.81</v>
      </c>
      <c r="O1445">
        <v>78.599999999999994</v>
      </c>
      <c r="P1445">
        <v>66.900000000000006</v>
      </c>
      <c r="Q1445">
        <v>1</v>
      </c>
      <c r="R1445">
        <v>0</v>
      </c>
      <c r="S1445">
        <v>0.75</v>
      </c>
      <c r="T1445">
        <v>0.1</v>
      </c>
      <c r="U1445">
        <v>0.69</v>
      </c>
      <c r="V1445">
        <v>0.32</v>
      </c>
      <c r="W1445">
        <v>1.05</v>
      </c>
      <c r="X1445">
        <v>0</v>
      </c>
    </row>
    <row r="1446" spans="1:24" x14ac:dyDescent="0.35">
      <c r="A1446" t="str">
        <f t="shared" si="4"/>
        <v>Norwich CityEverton</v>
      </c>
      <c r="B1446">
        <v>2019</v>
      </c>
      <c r="C1446" s="1">
        <v>44006</v>
      </c>
      <c r="D1446">
        <v>2411</v>
      </c>
      <c r="E1446" t="s">
        <v>23</v>
      </c>
      <c r="F1446" t="s">
        <v>50</v>
      </c>
      <c r="G1446" t="s">
        <v>28</v>
      </c>
      <c r="H1446">
        <v>59.83</v>
      </c>
      <c r="I1446">
        <v>78.010000000000005</v>
      </c>
      <c r="J1446">
        <v>0.2238</v>
      </c>
      <c r="K1446">
        <v>0.52300000000000002</v>
      </c>
      <c r="L1446">
        <v>0.25319999999999998</v>
      </c>
      <c r="M1446">
        <v>0.98</v>
      </c>
      <c r="N1446">
        <v>1.63</v>
      </c>
      <c r="O1446">
        <v>12.8</v>
      </c>
      <c r="P1446">
        <v>3.1</v>
      </c>
      <c r="Q1446">
        <v>0</v>
      </c>
      <c r="R1446">
        <v>1</v>
      </c>
      <c r="S1446">
        <v>0.46</v>
      </c>
      <c r="T1446">
        <v>0.73</v>
      </c>
      <c r="U1446">
        <v>0.74</v>
      </c>
      <c r="V1446">
        <v>1.31</v>
      </c>
      <c r="W1446">
        <v>0</v>
      </c>
      <c r="X1446">
        <v>1.05</v>
      </c>
    </row>
    <row r="1447" spans="1:24" x14ac:dyDescent="0.35">
      <c r="A1447" t="str">
        <f t="shared" si="4"/>
        <v>Manchester UnitedSheffield United</v>
      </c>
      <c r="B1447">
        <v>2019</v>
      </c>
      <c r="C1447" s="1">
        <v>44006</v>
      </c>
      <c r="D1447">
        <v>2411</v>
      </c>
      <c r="E1447" t="s">
        <v>23</v>
      </c>
      <c r="F1447" t="s">
        <v>39</v>
      </c>
      <c r="G1447" t="s">
        <v>51</v>
      </c>
      <c r="H1447">
        <v>86.71</v>
      </c>
      <c r="I1447">
        <v>71.239999999999995</v>
      </c>
      <c r="J1447">
        <v>0.67390000000000005</v>
      </c>
      <c r="K1447">
        <v>0.1061</v>
      </c>
      <c r="L1447">
        <v>0.22</v>
      </c>
      <c r="M1447">
        <v>1.82</v>
      </c>
      <c r="N1447">
        <v>0.56000000000000005</v>
      </c>
      <c r="O1447">
        <v>98.5</v>
      </c>
      <c r="P1447">
        <v>27.8</v>
      </c>
      <c r="Q1447">
        <v>3</v>
      </c>
      <c r="R1447">
        <v>0</v>
      </c>
      <c r="S1447">
        <v>3</v>
      </c>
      <c r="T1447">
        <v>0.12</v>
      </c>
      <c r="U1447">
        <v>2.87</v>
      </c>
      <c r="V1447">
        <v>0.31</v>
      </c>
      <c r="W1447">
        <v>3.06</v>
      </c>
      <c r="X1447">
        <v>0</v>
      </c>
    </row>
    <row r="1448" spans="1:24" x14ac:dyDescent="0.35">
      <c r="A1448" t="str">
        <f t="shared" si="4"/>
        <v>NewcastleAston Villa</v>
      </c>
      <c r="B1448">
        <v>2019</v>
      </c>
      <c r="C1448" s="1">
        <v>44006</v>
      </c>
      <c r="D1448">
        <v>2411</v>
      </c>
      <c r="E1448" t="s">
        <v>23</v>
      </c>
      <c r="F1448" t="s">
        <v>46</v>
      </c>
      <c r="G1448" t="s">
        <v>52</v>
      </c>
      <c r="H1448">
        <v>64.41</v>
      </c>
      <c r="I1448">
        <v>60.95</v>
      </c>
      <c r="J1448">
        <v>0.3669</v>
      </c>
      <c r="K1448">
        <v>0.36699999999999999</v>
      </c>
      <c r="L1448">
        <v>0.26619999999999999</v>
      </c>
      <c r="M1448">
        <v>1.34</v>
      </c>
      <c r="N1448">
        <v>1.34</v>
      </c>
      <c r="O1448">
        <v>1.3</v>
      </c>
      <c r="P1448">
        <v>53.3</v>
      </c>
      <c r="Q1448">
        <v>1</v>
      </c>
      <c r="R1448">
        <v>1</v>
      </c>
      <c r="S1448">
        <v>0.71</v>
      </c>
      <c r="T1448">
        <v>1.33</v>
      </c>
      <c r="U1448">
        <v>0.79</v>
      </c>
      <c r="V1448">
        <v>1.86</v>
      </c>
      <c r="W1448">
        <v>1.05</v>
      </c>
      <c r="X1448">
        <v>1.05</v>
      </c>
    </row>
    <row r="1449" spans="1:24" x14ac:dyDescent="0.35">
      <c r="A1449" t="str">
        <f t="shared" si="4"/>
        <v>LiverpoolCrystal Palace</v>
      </c>
      <c r="B1449">
        <v>2019</v>
      </c>
      <c r="C1449" s="1">
        <v>44006</v>
      </c>
      <c r="D1449">
        <v>2411</v>
      </c>
      <c r="E1449" t="s">
        <v>23</v>
      </c>
      <c r="F1449" t="s">
        <v>41</v>
      </c>
      <c r="G1449" t="s">
        <v>30</v>
      </c>
      <c r="H1449">
        <v>92.03</v>
      </c>
      <c r="I1449">
        <v>71.25</v>
      </c>
      <c r="J1449">
        <v>0.73299999999999998</v>
      </c>
      <c r="K1449">
        <v>8.9300000000000004E-2</v>
      </c>
      <c r="L1449">
        <v>0.17780000000000001</v>
      </c>
      <c r="M1449">
        <v>2.2000000000000002</v>
      </c>
      <c r="N1449">
        <v>0.62</v>
      </c>
      <c r="O1449">
        <v>0.4</v>
      </c>
      <c r="P1449">
        <v>7.9</v>
      </c>
      <c r="Q1449">
        <v>4</v>
      </c>
      <c r="R1449">
        <v>0</v>
      </c>
      <c r="S1449">
        <v>2.92</v>
      </c>
      <c r="T1449">
        <v>0.1</v>
      </c>
      <c r="U1449">
        <v>2.23</v>
      </c>
      <c r="V1449">
        <v>0.17</v>
      </c>
      <c r="W1449">
        <v>4.2</v>
      </c>
      <c r="X1449">
        <v>0</v>
      </c>
    </row>
    <row r="1450" spans="1:24" x14ac:dyDescent="0.35">
      <c r="A1450" t="str">
        <f t="shared" si="4"/>
        <v>SouthamptonArsenal</v>
      </c>
      <c r="B1450">
        <v>2019</v>
      </c>
      <c r="C1450" s="1">
        <v>44007</v>
      </c>
      <c r="D1450">
        <v>2411</v>
      </c>
      <c r="E1450" t="s">
        <v>23</v>
      </c>
      <c r="F1450" t="s">
        <v>34</v>
      </c>
      <c r="G1450" t="s">
        <v>40</v>
      </c>
      <c r="H1450">
        <v>70.010000000000005</v>
      </c>
      <c r="I1450">
        <v>76.44</v>
      </c>
      <c r="J1450">
        <v>0.32669999999999999</v>
      </c>
      <c r="K1450">
        <v>0.41670000000000001</v>
      </c>
      <c r="L1450">
        <v>0.25659999999999999</v>
      </c>
      <c r="M1450">
        <v>1.31</v>
      </c>
      <c r="N1450">
        <v>1.51</v>
      </c>
      <c r="O1450">
        <v>0.5</v>
      </c>
      <c r="P1450">
        <v>4</v>
      </c>
      <c r="Q1450">
        <v>0</v>
      </c>
      <c r="R1450">
        <v>2</v>
      </c>
      <c r="S1450">
        <v>0.83</v>
      </c>
      <c r="T1450">
        <v>2.2400000000000002</v>
      </c>
      <c r="U1450">
        <v>1.1200000000000001</v>
      </c>
      <c r="V1450">
        <v>0.78</v>
      </c>
      <c r="W1450">
        <v>0</v>
      </c>
      <c r="X1450">
        <v>1.55</v>
      </c>
    </row>
    <row r="1451" spans="1:24" x14ac:dyDescent="0.35">
      <c r="A1451" t="str">
        <f t="shared" si="4"/>
        <v>BurnleyWatford</v>
      </c>
      <c r="B1451">
        <v>2019</v>
      </c>
      <c r="C1451" s="1">
        <v>44007</v>
      </c>
      <c r="D1451">
        <v>2411</v>
      </c>
      <c r="E1451" t="s">
        <v>23</v>
      </c>
      <c r="F1451" t="s">
        <v>32</v>
      </c>
      <c r="G1451" t="s">
        <v>35</v>
      </c>
      <c r="H1451">
        <v>69.849999999999994</v>
      </c>
      <c r="I1451">
        <v>73.19</v>
      </c>
      <c r="J1451">
        <v>0.32219999999999999</v>
      </c>
      <c r="K1451">
        <v>0.39979999999999999</v>
      </c>
      <c r="L1451">
        <v>0.27789999999999998</v>
      </c>
      <c r="M1451">
        <v>1.1499999999999999</v>
      </c>
      <c r="N1451">
        <v>1.32</v>
      </c>
      <c r="O1451">
        <v>0.7</v>
      </c>
      <c r="P1451">
        <v>37</v>
      </c>
      <c r="Q1451">
        <v>1</v>
      </c>
      <c r="R1451">
        <v>0</v>
      </c>
      <c r="S1451">
        <v>0.91</v>
      </c>
      <c r="T1451">
        <v>0.6</v>
      </c>
      <c r="U1451">
        <v>1.02</v>
      </c>
      <c r="V1451">
        <v>0.95</v>
      </c>
      <c r="W1451">
        <v>1.05</v>
      </c>
      <c r="X1451">
        <v>0</v>
      </c>
    </row>
    <row r="1452" spans="1:24" x14ac:dyDescent="0.35">
      <c r="A1452" t="str">
        <f t="shared" si="4"/>
        <v>ChelseaManchester City</v>
      </c>
      <c r="B1452">
        <v>2019</v>
      </c>
      <c r="C1452" s="1">
        <v>44007</v>
      </c>
      <c r="D1452">
        <v>2411</v>
      </c>
      <c r="E1452" t="s">
        <v>23</v>
      </c>
      <c r="F1452" t="s">
        <v>42</v>
      </c>
      <c r="G1452" t="s">
        <v>36</v>
      </c>
      <c r="H1452">
        <v>85.43</v>
      </c>
      <c r="I1452">
        <v>95.08</v>
      </c>
      <c r="J1452">
        <v>0.24740000000000001</v>
      </c>
      <c r="K1452">
        <v>0.52769999999999995</v>
      </c>
      <c r="L1452">
        <v>0.22489999999999999</v>
      </c>
      <c r="M1452">
        <v>1.29</v>
      </c>
      <c r="N1452">
        <v>1.96</v>
      </c>
      <c r="O1452">
        <v>56.6</v>
      </c>
      <c r="P1452">
        <v>0</v>
      </c>
      <c r="Q1452">
        <v>2</v>
      </c>
      <c r="R1452">
        <v>1</v>
      </c>
      <c r="S1452">
        <v>4.05</v>
      </c>
      <c r="T1452">
        <v>0.96</v>
      </c>
      <c r="U1452">
        <v>1.39</v>
      </c>
      <c r="V1452">
        <v>1.25</v>
      </c>
      <c r="W1452">
        <v>1.89</v>
      </c>
      <c r="X1452">
        <v>1.05</v>
      </c>
    </row>
    <row r="1453" spans="1:24" x14ac:dyDescent="0.35">
      <c r="A1453" t="str">
        <f t="shared" si="4"/>
        <v>Aston VillaWolverhampton</v>
      </c>
      <c r="B1453">
        <v>2019</v>
      </c>
      <c r="C1453" s="1">
        <v>44009</v>
      </c>
      <c r="D1453">
        <v>2411</v>
      </c>
      <c r="E1453" t="s">
        <v>23</v>
      </c>
      <c r="F1453" t="s">
        <v>52</v>
      </c>
      <c r="G1453" t="s">
        <v>49</v>
      </c>
      <c r="H1453">
        <v>61.95</v>
      </c>
      <c r="I1453">
        <v>81.95</v>
      </c>
      <c r="J1453">
        <v>0.20660000000000001</v>
      </c>
      <c r="K1453">
        <v>0.54569999999999996</v>
      </c>
      <c r="L1453">
        <v>0.2477</v>
      </c>
      <c r="M1453">
        <v>0.94</v>
      </c>
      <c r="N1453">
        <v>1.69</v>
      </c>
      <c r="O1453">
        <v>62.2</v>
      </c>
      <c r="P1453">
        <v>74.3</v>
      </c>
      <c r="Q1453">
        <v>0</v>
      </c>
      <c r="R1453">
        <v>1</v>
      </c>
      <c r="S1453">
        <v>0.49</v>
      </c>
      <c r="T1453">
        <v>0.63</v>
      </c>
      <c r="U1453">
        <v>0.82</v>
      </c>
      <c r="V1453">
        <v>0.8</v>
      </c>
      <c r="W1453">
        <v>0</v>
      </c>
      <c r="X1453">
        <v>1.05</v>
      </c>
    </row>
    <row r="1454" spans="1:24" x14ac:dyDescent="0.35">
      <c r="A1454" t="str">
        <f t="shared" si="4"/>
        <v>WatfordSouthampton</v>
      </c>
      <c r="B1454">
        <v>2019</v>
      </c>
      <c r="C1454" s="1">
        <v>44010</v>
      </c>
      <c r="D1454">
        <v>2411</v>
      </c>
      <c r="E1454" t="s">
        <v>23</v>
      </c>
      <c r="F1454" t="s">
        <v>35</v>
      </c>
      <c r="G1454" t="s">
        <v>34</v>
      </c>
      <c r="H1454">
        <v>72.89</v>
      </c>
      <c r="I1454">
        <v>69.38</v>
      </c>
      <c r="J1454">
        <v>0.47449999999999998</v>
      </c>
      <c r="K1454">
        <v>0.26200000000000001</v>
      </c>
      <c r="L1454">
        <v>0.26350000000000001</v>
      </c>
      <c r="M1454">
        <v>1.52</v>
      </c>
      <c r="N1454">
        <v>1.06</v>
      </c>
      <c r="O1454">
        <v>48.4</v>
      </c>
      <c r="P1454">
        <v>1.1000000000000001</v>
      </c>
      <c r="Q1454">
        <v>1</v>
      </c>
      <c r="R1454">
        <v>3</v>
      </c>
      <c r="S1454">
        <v>0.37</v>
      </c>
      <c r="T1454">
        <v>1.34</v>
      </c>
    </row>
    <row r="1455" spans="1:24" x14ac:dyDescent="0.35">
      <c r="A1455" t="str">
        <f t="shared" si="4"/>
        <v>Crystal PalaceBurnley</v>
      </c>
      <c r="B1455">
        <v>2019</v>
      </c>
      <c r="C1455" s="1">
        <v>44011</v>
      </c>
      <c r="D1455">
        <v>2411</v>
      </c>
      <c r="E1455" t="s">
        <v>23</v>
      </c>
      <c r="F1455" t="s">
        <v>30</v>
      </c>
      <c r="G1455" t="s">
        <v>32</v>
      </c>
      <c r="H1455">
        <v>69.7</v>
      </c>
      <c r="I1455">
        <v>70.59</v>
      </c>
      <c r="J1455">
        <v>0.37109999999999999</v>
      </c>
      <c r="K1455">
        <v>0.33160000000000001</v>
      </c>
      <c r="L1455">
        <v>0.29730000000000001</v>
      </c>
      <c r="M1455">
        <v>1.1499999999999999</v>
      </c>
      <c r="N1455">
        <v>1.07</v>
      </c>
      <c r="O1455">
        <v>0.8</v>
      </c>
      <c r="P1455">
        <v>0.8</v>
      </c>
      <c r="Q1455">
        <v>0</v>
      </c>
      <c r="R1455">
        <v>1</v>
      </c>
      <c r="S1455">
        <v>1.2</v>
      </c>
      <c r="T1455">
        <v>0.38</v>
      </c>
      <c r="U1455">
        <v>1.55</v>
      </c>
      <c r="V1455">
        <v>0.48</v>
      </c>
      <c r="W1455">
        <v>0</v>
      </c>
      <c r="X1455">
        <v>1.05</v>
      </c>
    </row>
    <row r="1456" spans="1:24" x14ac:dyDescent="0.35">
      <c r="A1456" t="str">
        <f t="shared" si="4"/>
        <v>Brighton and Hove AlbionManchester United</v>
      </c>
      <c r="B1456">
        <v>2019</v>
      </c>
      <c r="C1456" s="1">
        <v>44012</v>
      </c>
      <c r="D1456">
        <v>2411</v>
      </c>
      <c r="E1456" t="s">
        <v>23</v>
      </c>
      <c r="F1456" t="s">
        <v>45</v>
      </c>
      <c r="G1456" t="s">
        <v>39</v>
      </c>
      <c r="H1456">
        <v>71.45</v>
      </c>
      <c r="I1456">
        <v>88.01</v>
      </c>
      <c r="J1456">
        <v>0.13730000000000001</v>
      </c>
      <c r="K1456">
        <v>0.64290000000000003</v>
      </c>
      <c r="L1456">
        <v>0.2198</v>
      </c>
      <c r="M1456">
        <v>0.74</v>
      </c>
      <c r="N1456">
        <v>1.89</v>
      </c>
      <c r="O1456">
        <v>3.3</v>
      </c>
      <c r="P1456">
        <v>96.8</v>
      </c>
      <c r="Q1456">
        <v>0</v>
      </c>
      <c r="R1456">
        <v>3</v>
      </c>
      <c r="S1456">
        <v>0.39</v>
      </c>
      <c r="T1456">
        <v>1.1399999999999999</v>
      </c>
      <c r="U1456">
        <v>0.65</v>
      </c>
      <c r="V1456">
        <v>1.29</v>
      </c>
      <c r="W1456">
        <v>0</v>
      </c>
      <c r="X1456">
        <v>3.15</v>
      </c>
    </row>
    <row r="1457" spans="1:24" x14ac:dyDescent="0.35">
      <c r="A1457" t="str">
        <f t="shared" si="4"/>
        <v>AFC BournemouthNewcastle</v>
      </c>
      <c r="B1457">
        <v>2019</v>
      </c>
      <c r="C1457" s="1">
        <v>44013</v>
      </c>
      <c r="D1457">
        <v>2411</v>
      </c>
      <c r="E1457" t="s">
        <v>23</v>
      </c>
      <c r="F1457" t="s">
        <v>38</v>
      </c>
      <c r="G1457" t="s">
        <v>46</v>
      </c>
      <c r="H1457">
        <v>63.65</v>
      </c>
      <c r="I1457">
        <v>63.67</v>
      </c>
      <c r="J1457">
        <v>0.4708</v>
      </c>
      <c r="K1457">
        <v>0.25919999999999999</v>
      </c>
      <c r="L1457">
        <v>0.27</v>
      </c>
      <c r="M1457">
        <v>1.46</v>
      </c>
      <c r="N1457">
        <v>1.01</v>
      </c>
      <c r="O1457">
        <v>66.599999999999994</v>
      </c>
      <c r="P1457">
        <v>0.1</v>
      </c>
      <c r="Q1457">
        <v>1</v>
      </c>
      <c r="R1457">
        <v>4</v>
      </c>
      <c r="S1457">
        <v>1.23</v>
      </c>
      <c r="T1457">
        <v>2.02</v>
      </c>
      <c r="U1457">
        <v>1.61</v>
      </c>
      <c r="V1457">
        <v>1</v>
      </c>
      <c r="W1457">
        <v>1.05</v>
      </c>
      <c r="X1457">
        <v>4.03</v>
      </c>
    </row>
    <row r="1458" spans="1:24" x14ac:dyDescent="0.35">
      <c r="A1458" t="str">
        <f t="shared" si="4"/>
        <v>ArsenalNorwich City</v>
      </c>
      <c r="B1458">
        <v>2019</v>
      </c>
      <c r="C1458" s="1">
        <v>44013</v>
      </c>
      <c r="D1458">
        <v>2411</v>
      </c>
      <c r="E1458" t="s">
        <v>23</v>
      </c>
      <c r="F1458" t="s">
        <v>40</v>
      </c>
      <c r="G1458" t="s">
        <v>50</v>
      </c>
      <c r="H1458">
        <v>77.25</v>
      </c>
      <c r="I1458">
        <v>59.93</v>
      </c>
      <c r="J1458">
        <v>0.59119999999999995</v>
      </c>
      <c r="K1458">
        <v>0.17399999999999999</v>
      </c>
      <c r="L1458">
        <v>0.23480000000000001</v>
      </c>
      <c r="M1458">
        <v>1.79</v>
      </c>
      <c r="N1458">
        <v>0.86</v>
      </c>
      <c r="O1458">
        <v>2.2999999999999998</v>
      </c>
      <c r="P1458">
        <v>12.4</v>
      </c>
      <c r="Q1458">
        <v>4</v>
      </c>
      <c r="R1458">
        <v>0</v>
      </c>
      <c r="S1458">
        <v>1.69</v>
      </c>
      <c r="T1458">
        <v>0.24</v>
      </c>
      <c r="U1458">
        <v>1.43</v>
      </c>
      <c r="V1458">
        <v>0.28999999999999998</v>
      </c>
      <c r="W1458">
        <v>3.94</v>
      </c>
      <c r="X1458">
        <v>0</v>
      </c>
    </row>
    <row r="1459" spans="1:24" x14ac:dyDescent="0.35">
      <c r="A1459" t="str">
        <f t="shared" si="4"/>
        <v>EvertonLeicester City</v>
      </c>
      <c r="B1459">
        <v>2019</v>
      </c>
      <c r="C1459" s="1">
        <v>44013</v>
      </c>
      <c r="D1459">
        <v>2411</v>
      </c>
      <c r="E1459" t="s">
        <v>23</v>
      </c>
      <c r="F1459" t="s">
        <v>28</v>
      </c>
      <c r="G1459" t="s">
        <v>25</v>
      </c>
      <c r="H1459">
        <v>78.42</v>
      </c>
      <c r="I1459">
        <v>81.319999999999993</v>
      </c>
      <c r="J1459">
        <v>0.31819999999999998</v>
      </c>
      <c r="K1459">
        <v>0.40200000000000002</v>
      </c>
      <c r="L1459">
        <v>0.27979999999999999</v>
      </c>
      <c r="M1459">
        <v>1.1299999999999999</v>
      </c>
      <c r="N1459">
        <v>1.31</v>
      </c>
      <c r="O1459">
        <v>1.9</v>
      </c>
      <c r="P1459">
        <v>46.5</v>
      </c>
      <c r="Q1459">
        <v>2</v>
      </c>
      <c r="R1459">
        <v>1</v>
      </c>
      <c r="S1459">
        <v>1.19</v>
      </c>
      <c r="T1459">
        <v>2.1</v>
      </c>
      <c r="U1459">
        <v>0.56000000000000005</v>
      </c>
      <c r="V1459">
        <v>2.37</v>
      </c>
      <c r="W1459">
        <v>2.1</v>
      </c>
      <c r="X1459">
        <v>1.05</v>
      </c>
    </row>
    <row r="1460" spans="1:24" x14ac:dyDescent="0.35">
      <c r="A1460" t="str">
        <f t="shared" si="4"/>
        <v>West Ham UnitedChelsea</v>
      </c>
      <c r="B1460">
        <v>2019</v>
      </c>
      <c r="C1460" s="1">
        <v>44013</v>
      </c>
      <c r="D1460">
        <v>2411</v>
      </c>
      <c r="E1460" t="s">
        <v>23</v>
      </c>
      <c r="F1460" t="s">
        <v>43</v>
      </c>
      <c r="G1460" t="s">
        <v>42</v>
      </c>
      <c r="H1460">
        <v>65.78</v>
      </c>
      <c r="I1460">
        <v>86.92</v>
      </c>
      <c r="J1460">
        <v>0.17249999999999999</v>
      </c>
      <c r="K1460">
        <v>0.62119999999999997</v>
      </c>
      <c r="L1460">
        <v>0.20630000000000001</v>
      </c>
      <c r="M1460">
        <v>1.03</v>
      </c>
      <c r="N1460">
        <v>2.13</v>
      </c>
      <c r="O1460">
        <v>43.9</v>
      </c>
      <c r="P1460">
        <v>46.2</v>
      </c>
      <c r="Q1460">
        <v>3</v>
      </c>
      <c r="R1460">
        <v>2</v>
      </c>
      <c r="S1460">
        <v>1.72</v>
      </c>
      <c r="T1460">
        <v>1.72</v>
      </c>
      <c r="U1460">
        <v>1.62</v>
      </c>
      <c r="V1460">
        <v>2.06</v>
      </c>
      <c r="W1460">
        <v>3.15</v>
      </c>
      <c r="X1460">
        <v>2.1</v>
      </c>
    </row>
    <row r="1461" spans="1:24" x14ac:dyDescent="0.35">
      <c r="A1461" t="str">
        <f t="shared" si="4"/>
        <v>Sheffield UnitedTottenham Hotspur</v>
      </c>
      <c r="B1461">
        <v>2019</v>
      </c>
      <c r="C1461" s="1">
        <v>44014</v>
      </c>
      <c r="D1461">
        <v>2411</v>
      </c>
      <c r="E1461" t="s">
        <v>23</v>
      </c>
      <c r="F1461" t="s">
        <v>51</v>
      </c>
      <c r="G1461" t="s">
        <v>29</v>
      </c>
      <c r="H1461">
        <v>69.19</v>
      </c>
      <c r="I1461">
        <v>76.94</v>
      </c>
      <c r="J1461">
        <v>0.27060000000000001</v>
      </c>
      <c r="K1461">
        <v>0.45839999999999997</v>
      </c>
      <c r="L1461">
        <v>0.27100000000000002</v>
      </c>
      <c r="M1461">
        <v>1.04</v>
      </c>
      <c r="N1461">
        <v>1.44</v>
      </c>
      <c r="O1461">
        <v>3.3</v>
      </c>
      <c r="P1461">
        <v>24.1</v>
      </c>
      <c r="Q1461">
        <v>3</v>
      </c>
      <c r="R1461">
        <v>1</v>
      </c>
      <c r="S1461">
        <v>1.43</v>
      </c>
      <c r="T1461">
        <v>1.1599999999999999</v>
      </c>
      <c r="U1461">
        <v>1.29</v>
      </c>
      <c r="V1461">
        <v>1.43</v>
      </c>
      <c r="W1461">
        <v>2.8</v>
      </c>
      <c r="X1461">
        <v>1.05</v>
      </c>
    </row>
    <row r="1462" spans="1:24" x14ac:dyDescent="0.35">
      <c r="A1462" t="str">
        <f t="shared" si="4"/>
        <v>Manchester CityLiverpool</v>
      </c>
      <c r="B1462">
        <v>2019</v>
      </c>
      <c r="C1462" s="1">
        <v>44014</v>
      </c>
      <c r="D1462">
        <v>2411</v>
      </c>
      <c r="E1462" t="s">
        <v>23</v>
      </c>
      <c r="F1462" t="s">
        <v>36</v>
      </c>
      <c r="G1462" t="s">
        <v>41</v>
      </c>
      <c r="H1462">
        <v>94.66</v>
      </c>
      <c r="I1462">
        <v>92.83</v>
      </c>
      <c r="J1462">
        <v>0.42199999999999999</v>
      </c>
      <c r="K1462">
        <v>0.33929999999999999</v>
      </c>
      <c r="L1462">
        <v>0.2387</v>
      </c>
      <c r="M1462">
        <v>1.71</v>
      </c>
      <c r="N1462">
        <v>1.51</v>
      </c>
      <c r="O1462">
        <v>0</v>
      </c>
      <c r="P1462">
        <v>0</v>
      </c>
      <c r="Q1462">
        <v>4</v>
      </c>
      <c r="R1462">
        <v>0</v>
      </c>
      <c r="S1462">
        <v>2.71</v>
      </c>
      <c r="T1462">
        <v>0.82</v>
      </c>
      <c r="U1462">
        <v>1.63</v>
      </c>
      <c r="V1462">
        <v>1.35</v>
      </c>
      <c r="W1462">
        <v>4.2</v>
      </c>
      <c r="X1462">
        <v>0</v>
      </c>
    </row>
    <row r="1463" spans="1:24" x14ac:dyDescent="0.35">
      <c r="A1463" t="str">
        <f t="shared" si="4"/>
        <v>Norwich CityBrighton and Hove Albion</v>
      </c>
      <c r="B1463">
        <v>2019</v>
      </c>
      <c r="C1463" s="1">
        <v>44016</v>
      </c>
      <c r="D1463">
        <v>2411</v>
      </c>
      <c r="E1463" t="s">
        <v>23</v>
      </c>
      <c r="F1463" t="s">
        <v>50</v>
      </c>
      <c r="G1463" t="s">
        <v>45</v>
      </c>
      <c r="H1463">
        <v>58.55</v>
      </c>
      <c r="I1463">
        <v>70.66</v>
      </c>
      <c r="J1463">
        <v>0.27289999999999998</v>
      </c>
      <c r="K1463">
        <v>0.44479999999999997</v>
      </c>
      <c r="L1463">
        <v>0.2823</v>
      </c>
      <c r="M1463">
        <v>0.99</v>
      </c>
      <c r="N1463">
        <v>1.35</v>
      </c>
      <c r="O1463">
        <v>4.4000000000000004</v>
      </c>
      <c r="P1463">
        <v>5.9</v>
      </c>
      <c r="Q1463">
        <v>0</v>
      </c>
      <c r="R1463">
        <v>1</v>
      </c>
      <c r="S1463">
        <v>0.57999999999999996</v>
      </c>
      <c r="T1463">
        <v>1.07</v>
      </c>
      <c r="U1463">
        <v>1.45</v>
      </c>
      <c r="V1463">
        <v>1.19</v>
      </c>
      <c r="W1463">
        <v>0</v>
      </c>
      <c r="X1463">
        <v>1.05</v>
      </c>
    </row>
    <row r="1464" spans="1:24" x14ac:dyDescent="0.35">
      <c r="A1464" t="str">
        <f t="shared" ref="A1464:A1522" si="5">F1464&amp;G1464</f>
        <v>Leicester CityCrystal Palace</v>
      </c>
      <c r="B1464">
        <v>2019</v>
      </c>
      <c r="C1464" s="1">
        <v>44016</v>
      </c>
      <c r="D1464">
        <v>2411</v>
      </c>
      <c r="E1464" t="s">
        <v>23</v>
      </c>
      <c r="F1464" t="s">
        <v>25</v>
      </c>
      <c r="G1464" t="s">
        <v>30</v>
      </c>
      <c r="H1464">
        <v>81.69</v>
      </c>
      <c r="I1464">
        <v>70.08</v>
      </c>
      <c r="J1464">
        <v>0.61240000000000006</v>
      </c>
      <c r="K1464">
        <v>0.1426</v>
      </c>
      <c r="L1464">
        <v>0.24490000000000001</v>
      </c>
      <c r="M1464">
        <v>1.66</v>
      </c>
      <c r="N1464">
        <v>0.66</v>
      </c>
      <c r="O1464">
        <v>74.400000000000006</v>
      </c>
      <c r="P1464">
        <v>0.2</v>
      </c>
      <c r="Q1464">
        <v>3</v>
      </c>
      <c r="R1464">
        <v>0</v>
      </c>
      <c r="S1464">
        <v>2.59</v>
      </c>
      <c r="T1464">
        <v>0.76</v>
      </c>
      <c r="U1464">
        <v>1.19</v>
      </c>
      <c r="V1464">
        <v>0.9</v>
      </c>
      <c r="W1464">
        <v>2.4500000000000002</v>
      </c>
      <c r="X1464">
        <v>0</v>
      </c>
    </row>
    <row r="1465" spans="1:24" x14ac:dyDescent="0.35">
      <c r="A1465" t="str">
        <f t="shared" si="5"/>
        <v>Manchester UnitedAFC Bournemouth</v>
      </c>
      <c r="B1465">
        <v>2019</v>
      </c>
      <c r="C1465" s="1">
        <v>44016</v>
      </c>
      <c r="D1465">
        <v>2411</v>
      </c>
      <c r="E1465" t="s">
        <v>23</v>
      </c>
      <c r="F1465" t="s">
        <v>39</v>
      </c>
      <c r="G1465" t="s">
        <v>38</v>
      </c>
      <c r="H1465">
        <v>88.68</v>
      </c>
      <c r="I1465">
        <v>61.82</v>
      </c>
      <c r="J1465">
        <v>0.78559999999999997</v>
      </c>
      <c r="K1465">
        <v>6.5199999999999994E-2</v>
      </c>
      <c r="L1465">
        <v>0.1492</v>
      </c>
      <c r="M1465">
        <v>2.44</v>
      </c>
      <c r="N1465">
        <v>0.55000000000000004</v>
      </c>
      <c r="O1465">
        <v>75.8</v>
      </c>
      <c r="P1465">
        <v>53.1</v>
      </c>
      <c r="Q1465">
        <v>5</v>
      </c>
      <c r="R1465">
        <v>2</v>
      </c>
      <c r="S1465">
        <v>2.5099999999999998</v>
      </c>
      <c r="T1465">
        <v>1.66</v>
      </c>
      <c r="U1465">
        <v>2.5099999999999998</v>
      </c>
      <c r="V1465">
        <v>0.52</v>
      </c>
      <c r="W1465">
        <v>5.25</v>
      </c>
      <c r="X1465">
        <v>2.1</v>
      </c>
    </row>
    <row r="1466" spans="1:24" x14ac:dyDescent="0.35">
      <c r="A1466" t="str">
        <f t="shared" si="5"/>
        <v>WolverhamptonArsenal</v>
      </c>
      <c r="B1466">
        <v>2019</v>
      </c>
      <c r="C1466" s="1">
        <v>44016</v>
      </c>
      <c r="D1466">
        <v>2411</v>
      </c>
      <c r="E1466" t="s">
        <v>23</v>
      </c>
      <c r="F1466" t="s">
        <v>49</v>
      </c>
      <c r="G1466" t="s">
        <v>40</v>
      </c>
      <c r="H1466">
        <v>82.16</v>
      </c>
      <c r="I1466">
        <v>78.55</v>
      </c>
      <c r="J1466">
        <v>0.50009999999999999</v>
      </c>
      <c r="K1466">
        <v>0.22459999999999999</v>
      </c>
      <c r="L1466">
        <v>0.27529999999999999</v>
      </c>
      <c r="M1466">
        <v>1.44</v>
      </c>
      <c r="N1466">
        <v>0.87</v>
      </c>
      <c r="O1466">
        <v>92.7</v>
      </c>
      <c r="P1466">
        <v>9.5</v>
      </c>
      <c r="Q1466">
        <v>0</v>
      </c>
      <c r="R1466">
        <v>2</v>
      </c>
      <c r="S1466">
        <v>0.98</v>
      </c>
      <c r="T1466">
        <v>1.51</v>
      </c>
      <c r="U1466">
        <v>1.24</v>
      </c>
      <c r="V1466">
        <v>0.75</v>
      </c>
      <c r="W1466">
        <v>0</v>
      </c>
      <c r="X1466">
        <v>1.7</v>
      </c>
    </row>
    <row r="1467" spans="1:24" x14ac:dyDescent="0.35">
      <c r="A1467" t="str">
        <f t="shared" si="5"/>
        <v>ChelseaWatford</v>
      </c>
      <c r="B1467">
        <v>2019</v>
      </c>
      <c r="C1467" s="1">
        <v>44016</v>
      </c>
      <c r="D1467">
        <v>2411</v>
      </c>
      <c r="E1467" t="s">
        <v>23</v>
      </c>
      <c r="F1467" t="s">
        <v>42</v>
      </c>
      <c r="G1467" t="s">
        <v>35</v>
      </c>
      <c r="H1467">
        <v>85.69</v>
      </c>
      <c r="I1467">
        <v>70.91</v>
      </c>
      <c r="J1467">
        <v>0.61929999999999996</v>
      </c>
      <c r="K1467">
        <v>0.1668</v>
      </c>
      <c r="L1467">
        <v>0.21390000000000001</v>
      </c>
      <c r="M1467">
        <v>2.02</v>
      </c>
      <c r="N1467">
        <v>0.94</v>
      </c>
      <c r="O1467">
        <v>58.7</v>
      </c>
      <c r="P1467">
        <v>49.7</v>
      </c>
      <c r="Q1467">
        <v>3</v>
      </c>
      <c r="R1467">
        <v>0</v>
      </c>
      <c r="S1467">
        <v>2.66</v>
      </c>
      <c r="T1467">
        <v>1.21</v>
      </c>
      <c r="U1467">
        <v>1.37</v>
      </c>
      <c r="V1467">
        <v>0.4</v>
      </c>
      <c r="W1467">
        <v>2.63</v>
      </c>
      <c r="X1467">
        <v>0</v>
      </c>
    </row>
    <row r="1468" spans="1:24" x14ac:dyDescent="0.35">
      <c r="A1468" t="str">
        <f t="shared" si="5"/>
        <v>BurnleySheffield United</v>
      </c>
      <c r="B1468">
        <v>2019</v>
      </c>
      <c r="C1468" s="1">
        <v>44017</v>
      </c>
      <c r="D1468">
        <v>2411</v>
      </c>
      <c r="E1468" t="s">
        <v>23</v>
      </c>
      <c r="F1468" t="s">
        <v>32</v>
      </c>
      <c r="G1468" t="s">
        <v>51</v>
      </c>
      <c r="H1468">
        <v>70.540000000000006</v>
      </c>
      <c r="I1468">
        <v>70.150000000000006</v>
      </c>
      <c r="J1468">
        <v>0.39069999999999999</v>
      </c>
      <c r="K1468">
        <v>0.30599999999999999</v>
      </c>
      <c r="L1468">
        <v>0.3034</v>
      </c>
      <c r="M1468">
        <v>1.1499999999999999</v>
      </c>
      <c r="N1468">
        <v>0.98</v>
      </c>
      <c r="O1468">
        <v>0.8</v>
      </c>
      <c r="P1468">
        <v>3.9</v>
      </c>
      <c r="Q1468">
        <v>1</v>
      </c>
      <c r="R1468">
        <v>1</v>
      </c>
      <c r="S1468">
        <v>1.41</v>
      </c>
      <c r="T1468">
        <v>1.54</v>
      </c>
      <c r="U1468">
        <v>0.95</v>
      </c>
      <c r="V1468">
        <v>1.33</v>
      </c>
      <c r="W1468">
        <v>1.05</v>
      </c>
      <c r="X1468">
        <v>1.05</v>
      </c>
    </row>
    <row r="1469" spans="1:24" x14ac:dyDescent="0.35">
      <c r="A1469" t="str">
        <f t="shared" si="5"/>
        <v>NewcastleWest Ham United</v>
      </c>
      <c r="B1469">
        <v>2019</v>
      </c>
      <c r="C1469" s="1">
        <v>44017</v>
      </c>
      <c r="D1469">
        <v>2411</v>
      </c>
      <c r="E1469" t="s">
        <v>23</v>
      </c>
      <c r="F1469" t="s">
        <v>46</v>
      </c>
      <c r="G1469" t="s">
        <v>43</v>
      </c>
      <c r="H1469">
        <v>64.819999999999993</v>
      </c>
      <c r="I1469">
        <v>67.17</v>
      </c>
      <c r="J1469">
        <v>0.3357</v>
      </c>
      <c r="K1469">
        <v>0.39950000000000002</v>
      </c>
      <c r="L1469">
        <v>0.26479999999999998</v>
      </c>
      <c r="M1469">
        <v>1.27</v>
      </c>
      <c r="N1469">
        <v>1.41</v>
      </c>
      <c r="O1469">
        <v>0</v>
      </c>
      <c r="P1469">
        <v>26.8</v>
      </c>
      <c r="Q1469">
        <v>2</v>
      </c>
      <c r="R1469">
        <v>2</v>
      </c>
      <c r="S1469">
        <v>1.32</v>
      </c>
      <c r="T1469">
        <v>2.21</v>
      </c>
      <c r="U1469">
        <v>1.55</v>
      </c>
      <c r="V1469">
        <v>1.74</v>
      </c>
      <c r="W1469">
        <v>2.1</v>
      </c>
      <c r="X1469">
        <v>2.1</v>
      </c>
    </row>
    <row r="1470" spans="1:24" x14ac:dyDescent="0.35">
      <c r="A1470" t="str">
        <f t="shared" si="5"/>
        <v>LiverpoolAston Villa</v>
      </c>
      <c r="B1470">
        <v>2019</v>
      </c>
      <c r="C1470" s="1">
        <v>44017</v>
      </c>
      <c r="D1470">
        <v>2411</v>
      </c>
      <c r="E1470" t="s">
        <v>23</v>
      </c>
      <c r="F1470" t="s">
        <v>41</v>
      </c>
      <c r="G1470" t="s">
        <v>52</v>
      </c>
      <c r="H1470">
        <v>92.04</v>
      </c>
      <c r="I1470">
        <v>62.3</v>
      </c>
      <c r="J1470">
        <v>0.7883</v>
      </c>
      <c r="K1470">
        <v>7.3400000000000007E-2</v>
      </c>
      <c r="L1470">
        <v>0.13830000000000001</v>
      </c>
      <c r="M1470">
        <v>2.7</v>
      </c>
      <c r="N1470">
        <v>0.72</v>
      </c>
      <c r="O1470">
        <v>0</v>
      </c>
      <c r="P1470">
        <v>65.7</v>
      </c>
      <c r="Q1470">
        <v>2</v>
      </c>
      <c r="R1470">
        <v>0</v>
      </c>
      <c r="S1470">
        <v>1.28</v>
      </c>
      <c r="T1470">
        <v>0.62</v>
      </c>
      <c r="U1470">
        <v>1.8</v>
      </c>
      <c r="V1470">
        <v>0.77</v>
      </c>
      <c r="W1470">
        <v>1.61</v>
      </c>
      <c r="X1470">
        <v>0</v>
      </c>
    </row>
    <row r="1471" spans="1:24" x14ac:dyDescent="0.35">
      <c r="A1471" t="str">
        <f t="shared" si="5"/>
        <v>SouthamptonManchester City</v>
      </c>
      <c r="B1471">
        <v>2019</v>
      </c>
      <c r="C1471" s="1">
        <v>44017</v>
      </c>
      <c r="D1471">
        <v>2411</v>
      </c>
      <c r="E1471" t="s">
        <v>23</v>
      </c>
      <c r="F1471" t="s">
        <v>34</v>
      </c>
      <c r="G1471" t="s">
        <v>36</v>
      </c>
      <c r="H1471">
        <v>70.959999999999994</v>
      </c>
      <c r="I1471">
        <v>95.13</v>
      </c>
      <c r="J1471">
        <v>0.21990000000000001</v>
      </c>
      <c r="K1471">
        <v>0.57269999999999999</v>
      </c>
      <c r="L1471">
        <v>0.20730000000000001</v>
      </c>
      <c r="M1471">
        <v>1.31</v>
      </c>
      <c r="N1471">
        <v>2.21</v>
      </c>
      <c r="O1471">
        <v>0</v>
      </c>
      <c r="P1471">
        <v>0</v>
      </c>
      <c r="Q1471">
        <v>1</v>
      </c>
      <c r="R1471">
        <v>0</v>
      </c>
      <c r="S1471">
        <v>0.73</v>
      </c>
      <c r="T1471">
        <v>3.62</v>
      </c>
      <c r="U1471">
        <v>0.51</v>
      </c>
      <c r="V1471">
        <v>3.4</v>
      </c>
      <c r="W1471">
        <v>1.05</v>
      </c>
      <c r="X1471">
        <v>0</v>
      </c>
    </row>
    <row r="1472" spans="1:24" x14ac:dyDescent="0.35">
      <c r="A1472" t="str">
        <f t="shared" si="5"/>
        <v>Tottenham HotspurEverton</v>
      </c>
      <c r="B1472">
        <v>2019</v>
      </c>
      <c r="C1472" s="1">
        <v>44018</v>
      </c>
      <c r="D1472">
        <v>2411</v>
      </c>
      <c r="E1472" t="s">
        <v>23</v>
      </c>
      <c r="F1472" t="s">
        <v>29</v>
      </c>
      <c r="G1472" t="s">
        <v>28</v>
      </c>
      <c r="H1472">
        <v>75.760000000000005</v>
      </c>
      <c r="I1472">
        <v>77.790000000000006</v>
      </c>
      <c r="J1472">
        <v>0.39179999999999998</v>
      </c>
      <c r="K1472">
        <v>0.34920000000000001</v>
      </c>
      <c r="L1472">
        <v>0.2591</v>
      </c>
      <c r="M1472">
        <v>1.45</v>
      </c>
      <c r="N1472">
        <v>1.35</v>
      </c>
      <c r="O1472">
        <v>5</v>
      </c>
      <c r="P1472">
        <v>2.4</v>
      </c>
      <c r="Q1472">
        <v>1</v>
      </c>
      <c r="R1472">
        <v>0</v>
      </c>
      <c r="S1472">
        <v>0.59</v>
      </c>
      <c r="T1472">
        <v>0.52</v>
      </c>
      <c r="U1472">
        <v>0.57999999999999996</v>
      </c>
      <c r="V1472">
        <v>0.71</v>
      </c>
      <c r="W1472">
        <v>1.05</v>
      </c>
      <c r="X1472">
        <v>0</v>
      </c>
    </row>
    <row r="1473" spans="1:24" x14ac:dyDescent="0.35">
      <c r="A1473" t="str">
        <f t="shared" si="5"/>
        <v>Crystal PalaceChelsea</v>
      </c>
      <c r="B1473">
        <v>2019</v>
      </c>
      <c r="C1473" s="1">
        <v>44019</v>
      </c>
      <c r="D1473">
        <v>2411</v>
      </c>
      <c r="E1473" t="s">
        <v>23</v>
      </c>
      <c r="F1473" t="s">
        <v>30</v>
      </c>
      <c r="G1473" t="s">
        <v>42</v>
      </c>
      <c r="H1473">
        <v>69.150000000000006</v>
      </c>
      <c r="I1473">
        <v>86.23</v>
      </c>
      <c r="J1473">
        <v>0.16220000000000001</v>
      </c>
      <c r="K1473">
        <v>0.61199999999999999</v>
      </c>
      <c r="L1473">
        <v>0.2258</v>
      </c>
      <c r="M1473">
        <v>0.84</v>
      </c>
      <c r="N1473">
        <v>1.87</v>
      </c>
      <c r="O1473">
        <v>0</v>
      </c>
      <c r="P1473">
        <v>42.8</v>
      </c>
      <c r="Q1473">
        <v>2</v>
      </c>
      <c r="R1473">
        <v>3</v>
      </c>
      <c r="S1473">
        <v>1.22</v>
      </c>
      <c r="T1473">
        <v>2.65</v>
      </c>
      <c r="U1473">
        <v>1.98</v>
      </c>
      <c r="V1473">
        <v>1.42</v>
      </c>
      <c r="W1473">
        <v>2.1</v>
      </c>
      <c r="X1473">
        <v>3.14</v>
      </c>
    </row>
    <row r="1474" spans="1:24" x14ac:dyDescent="0.35">
      <c r="A1474" t="str">
        <f t="shared" si="5"/>
        <v>WatfordNorwich City</v>
      </c>
      <c r="B1474">
        <v>2019</v>
      </c>
      <c r="C1474" s="1">
        <v>44019</v>
      </c>
      <c r="D1474">
        <v>2411</v>
      </c>
      <c r="E1474" t="s">
        <v>23</v>
      </c>
      <c r="F1474" t="s">
        <v>35</v>
      </c>
      <c r="G1474" t="s">
        <v>50</v>
      </c>
      <c r="H1474">
        <v>70.28</v>
      </c>
      <c r="I1474">
        <v>58.53</v>
      </c>
      <c r="J1474">
        <v>0.59119999999999995</v>
      </c>
      <c r="K1474">
        <v>0.1628</v>
      </c>
      <c r="L1474">
        <v>0.246</v>
      </c>
      <c r="M1474">
        <v>1.68</v>
      </c>
      <c r="N1474">
        <v>0.75</v>
      </c>
      <c r="O1474">
        <v>72.2</v>
      </c>
      <c r="P1474">
        <v>2.1</v>
      </c>
      <c r="Q1474">
        <v>2</v>
      </c>
      <c r="R1474">
        <v>1</v>
      </c>
      <c r="S1474">
        <v>0.8</v>
      </c>
      <c r="T1474">
        <v>1.1299999999999999</v>
      </c>
      <c r="U1474">
        <v>1.45</v>
      </c>
      <c r="V1474">
        <v>1.05</v>
      </c>
      <c r="W1474">
        <v>2.1</v>
      </c>
      <c r="X1474">
        <v>1.05</v>
      </c>
    </row>
    <row r="1475" spans="1:24" x14ac:dyDescent="0.35">
      <c r="A1475" t="str">
        <f t="shared" si="5"/>
        <v>ArsenalLeicester City</v>
      </c>
      <c r="B1475">
        <v>2019</v>
      </c>
      <c r="C1475" s="1">
        <v>44019</v>
      </c>
      <c r="D1475">
        <v>2411</v>
      </c>
      <c r="E1475" t="s">
        <v>23</v>
      </c>
      <c r="F1475" t="s">
        <v>40</v>
      </c>
      <c r="G1475" t="s">
        <v>25</v>
      </c>
      <c r="H1475">
        <v>79.44</v>
      </c>
      <c r="I1475">
        <v>82.38</v>
      </c>
      <c r="J1475">
        <v>0.34620000000000001</v>
      </c>
      <c r="K1475">
        <v>0.38379999999999997</v>
      </c>
      <c r="L1475">
        <v>0.27010000000000001</v>
      </c>
      <c r="M1475">
        <v>1.26</v>
      </c>
      <c r="N1475">
        <v>1.34</v>
      </c>
      <c r="O1475">
        <v>14.9</v>
      </c>
      <c r="P1475">
        <v>34.799999999999997</v>
      </c>
      <c r="Q1475">
        <v>1</v>
      </c>
      <c r="R1475">
        <v>1</v>
      </c>
      <c r="S1475">
        <v>1.34</v>
      </c>
      <c r="T1475">
        <v>1.29</v>
      </c>
      <c r="U1475">
        <v>1.54</v>
      </c>
      <c r="V1475">
        <v>1.17</v>
      </c>
      <c r="W1475">
        <v>1.05</v>
      </c>
      <c r="X1475">
        <v>0.84</v>
      </c>
    </row>
    <row r="1476" spans="1:24" x14ac:dyDescent="0.35">
      <c r="A1476" t="str">
        <f t="shared" si="5"/>
        <v>Manchester CityNewcastle</v>
      </c>
      <c r="B1476">
        <v>2019</v>
      </c>
      <c r="C1476" s="1">
        <v>44020</v>
      </c>
      <c r="D1476">
        <v>2411</v>
      </c>
      <c r="E1476" t="s">
        <v>23</v>
      </c>
      <c r="F1476" t="s">
        <v>36</v>
      </c>
      <c r="G1476" t="s">
        <v>46</v>
      </c>
      <c r="H1476">
        <v>95.07</v>
      </c>
      <c r="I1476">
        <v>64.28</v>
      </c>
      <c r="J1476">
        <v>0.65490000000000004</v>
      </c>
      <c r="K1476">
        <v>0.1573</v>
      </c>
      <c r="L1476">
        <v>0.18770000000000001</v>
      </c>
      <c r="M1476">
        <v>2.37</v>
      </c>
      <c r="N1476">
        <v>1.08</v>
      </c>
      <c r="O1476">
        <v>0</v>
      </c>
      <c r="P1476">
        <v>0</v>
      </c>
      <c r="Q1476">
        <v>5</v>
      </c>
      <c r="R1476">
        <v>0</v>
      </c>
      <c r="S1476">
        <v>3.12</v>
      </c>
      <c r="T1476">
        <v>0.28999999999999998</v>
      </c>
      <c r="U1476">
        <v>3.69</v>
      </c>
      <c r="V1476">
        <v>0.46</v>
      </c>
      <c r="W1476">
        <v>4.72</v>
      </c>
      <c r="X1476">
        <v>0</v>
      </c>
    </row>
    <row r="1477" spans="1:24" x14ac:dyDescent="0.35">
      <c r="A1477" t="str">
        <f t="shared" si="5"/>
        <v>Sheffield UnitedWolverhampton</v>
      </c>
      <c r="B1477">
        <v>2019</v>
      </c>
      <c r="C1477" s="1">
        <v>44020</v>
      </c>
      <c r="D1477">
        <v>2411</v>
      </c>
      <c r="E1477" t="s">
        <v>23</v>
      </c>
      <c r="F1477" t="s">
        <v>51</v>
      </c>
      <c r="G1477" t="s">
        <v>49</v>
      </c>
      <c r="H1477">
        <v>70.489999999999995</v>
      </c>
      <c r="I1477">
        <v>81.430000000000007</v>
      </c>
      <c r="J1477">
        <v>0.21779999999999999</v>
      </c>
      <c r="K1477">
        <v>0.48209999999999997</v>
      </c>
      <c r="L1477">
        <v>0.30009999999999998</v>
      </c>
      <c r="M1477">
        <v>0.75</v>
      </c>
      <c r="N1477">
        <v>1.27</v>
      </c>
      <c r="O1477">
        <v>2.6</v>
      </c>
      <c r="P1477">
        <v>56.5</v>
      </c>
      <c r="Q1477">
        <v>1</v>
      </c>
      <c r="R1477">
        <v>0</v>
      </c>
      <c r="S1477">
        <v>0.49</v>
      </c>
      <c r="T1477">
        <v>0.28999999999999998</v>
      </c>
      <c r="U1477">
        <v>1.05</v>
      </c>
      <c r="V1477">
        <v>0.47</v>
      </c>
      <c r="W1477">
        <v>1.05</v>
      </c>
      <c r="X1477">
        <v>0</v>
      </c>
    </row>
    <row r="1478" spans="1:24" x14ac:dyDescent="0.35">
      <c r="A1478" t="str">
        <f t="shared" si="5"/>
        <v>West Ham UnitedBurnley</v>
      </c>
      <c r="B1478">
        <v>2019</v>
      </c>
      <c r="C1478" s="1">
        <v>44020</v>
      </c>
      <c r="D1478">
        <v>2411</v>
      </c>
      <c r="E1478" t="s">
        <v>23</v>
      </c>
      <c r="F1478" t="s">
        <v>43</v>
      </c>
      <c r="G1478" t="s">
        <v>32</v>
      </c>
      <c r="H1478">
        <v>67.260000000000005</v>
      </c>
      <c r="I1478">
        <v>70.03</v>
      </c>
      <c r="J1478">
        <v>0.41639999999999999</v>
      </c>
      <c r="K1478">
        <v>0.31929999999999997</v>
      </c>
      <c r="L1478">
        <v>0.26419999999999999</v>
      </c>
      <c r="M1478">
        <v>1.45</v>
      </c>
      <c r="N1478">
        <v>1.23</v>
      </c>
      <c r="O1478">
        <v>27.8</v>
      </c>
      <c r="P1478">
        <v>0.2</v>
      </c>
      <c r="Q1478">
        <v>0</v>
      </c>
      <c r="R1478">
        <v>1</v>
      </c>
      <c r="S1478">
        <v>2.2999999999999998</v>
      </c>
      <c r="T1478">
        <v>1.01</v>
      </c>
      <c r="U1478">
        <v>2.02</v>
      </c>
      <c r="V1478">
        <v>1.07</v>
      </c>
      <c r="W1478">
        <v>0</v>
      </c>
      <c r="X1478">
        <v>1.05</v>
      </c>
    </row>
    <row r="1479" spans="1:24" x14ac:dyDescent="0.35">
      <c r="A1479" t="str">
        <f t="shared" si="5"/>
        <v>Brighton and Hove AlbionLiverpool</v>
      </c>
      <c r="B1479">
        <v>2019</v>
      </c>
      <c r="C1479" s="1">
        <v>44020</v>
      </c>
      <c r="D1479">
        <v>2411</v>
      </c>
      <c r="E1479" t="s">
        <v>23</v>
      </c>
      <c r="F1479" t="s">
        <v>45</v>
      </c>
      <c r="G1479" t="s">
        <v>41</v>
      </c>
      <c r="H1479">
        <v>70.989999999999995</v>
      </c>
      <c r="I1479">
        <v>91.92</v>
      </c>
      <c r="J1479">
        <v>0.23880000000000001</v>
      </c>
      <c r="K1479">
        <v>0.51700000000000002</v>
      </c>
      <c r="L1479">
        <v>0.2442</v>
      </c>
      <c r="M1479">
        <v>1.1000000000000001</v>
      </c>
      <c r="N1479">
        <v>1.73</v>
      </c>
      <c r="O1479">
        <v>0.1</v>
      </c>
      <c r="P1479">
        <v>0</v>
      </c>
      <c r="Q1479">
        <v>1</v>
      </c>
      <c r="R1479">
        <v>3</v>
      </c>
      <c r="S1479">
        <v>2.81</v>
      </c>
      <c r="T1479">
        <v>2.62</v>
      </c>
      <c r="U1479">
        <v>1.1000000000000001</v>
      </c>
      <c r="V1479">
        <v>2.38</v>
      </c>
      <c r="W1479">
        <v>1.05</v>
      </c>
      <c r="X1479">
        <v>3.01</v>
      </c>
    </row>
    <row r="1480" spans="1:24" x14ac:dyDescent="0.35">
      <c r="A1480" t="str">
        <f t="shared" si="5"/>
        <v>EvertonSouthampton</v>
      </c>
      <c r="B1480">
        <v>2019</v>
      </c>
      <c r="C1480" s="1">
        <v>44021</v>
      </c>
      <c r="D1480">
        <v>2411</v>
      </c>
      <c r="E1480" t="s">
        <v>23</v>
      </c>
      <c r="F1480" t="s">
        <v>28</v>
      </c>
      <c r="G1480" t="s">
        <v>34</v>
      </c>
      <c r="H1480">
        <v>77.849999999999994</v>
      </c>
      <c r="I1480">
        <v>71.06</v>
      </c>
      <c r="J1480">
        <v>0.41760000000000003</v>
      </c>
      <c r="K1480">
        <v>0.31240000000000001</v>
      </c>
      <c r="L1480">
        <v>0.27</v>
      </c>
      <c r="M1480">
        <v>1.4</v>
      </c>
      <c r="N1480">
        <v>1.18</v>
      </c>
      <c r="O1480">
        <v>0</v>
      </c>
      <c r="P1480">
        <v>0</v>
      </c>
      <c r="Q1480">
        <v>1</v>
      </c>
      <c r="R1480">
        <v>1</v>
      </c>
      <c r="S1480">
        <v>0.84</v>
      </c>
      <c r="T1480">
        <v>2.19</v>
      </c>
      <c r="U1480">
        <v>0.63</v>
      </c>
      <c r="V1480">
        <v>2.12</v>
      </c>
      <c r="W1480">
        <v>1.05</v>
      </c>
      <c r="X1480">
        <v>1.05</v>
      </c>
    </row>
    <row r="1481" spans="1:24" x14ac:dyDescent="0.35">
      <c r="A1481" t="str">
        <f t="shared" si="5"/>
        <v>AFC BournemouthTottenham Hotspur</v>
      </c>
      <c r="B1481">
        <v>2019</v>
      </c>
      <c r="C1481" s="1">
        <v>44021</v>
      </c>
      <c r="D1481">
        <v>2411</v>
      </c>
      <c r="E1481" t="s">
        <v>23</v>
      </c>
      <c r="F1481" t="s">
        <v>38</v>
      </c>
      <c r="G1481" t="s">
        <v>29</v>
      </c>
      <c r="H1481">
        <v>61.67</v>
      </c>
      <c r="I1481">
        <v>76.239999999999995</v>
      </c>
      <c r="J1481">
        <v>0.28570000000000001</v>
      </c>
      <c r="K1481">
        <v>0.47349999999999998</v>
      </c>
      <c r="L1481">
        <v>0.2409</v>
      </c>
      <c r="M1481">
        <v>1.31</v>
      </c>
      <c r="N1481">
        <v>1.74</v>
      </c>
      <c r="O1481">
        <v>45.8</v>
      </c>
      <c r="P1481">
        <v>9.5</v>
      </c>
      <c r="Q1481">
        <v>0</v>
      </c>
      <c r="R1481">
        <v>0</v>
      </c>
      <c r="S1481">
        <v>1.28</v>
      </c>
      <c r="T1481">
        <v>0.64</v>
      </c>
      <c r="U1481">
        <v>1.64</v>
      </c>
      <c r="V1481">
        <v>1.25</v>
      </c>
      <c r="W1481">
        <v>0</v>
      </c>
      <c r="X1481">
        <v>0</v>
      </c>
    </row>
    <row r="1482" spans="1:24" x14ac:dyDescent="0.35">
      <c r="A1482" t="str">
        <f t="shared" si="5"/>
        <v>Aston VillaManchester United</v>
      </c>
      <c r="B1482">
        <v>2019</v>
      </c>
      <c r="C1482" s="1">
        <v>44021</v>
      </c>
      <c r="D1482">
        <v>2411</v>
      </c>
      <c r="E1482" t="s">
        <v>23</v>
      </c>
      <c r="F1482" t="s">
        <v>52</v>
      </c>
      <c r="G1482" t="s">
        <v>39</v>
      </c>
      <c r="H1482">
        <v>62.99</v>
      </c>
      <c r="I1482">
        <v>88.33</v>
      </c>
      <c r="J1482">
        <v>0.16159999999999999</v>
      </c>
      <c r="K1482">
        <v>0.63109999999999999</v>
      </c>
      <c r="L1482">
        <v>0.20730000000000001</v>
      </c>
      <c r="M1482">
        <v>0.96</v>
      </c>
      <c r="N1482">
        <v>2.09</v>
      </c>
      <c r="O1482">
        <v>69.400000000000006</v>
      </c>
      <c r="P1482">
        <v>34.1</v>
      </c>
      <c r="Q1482">
        <v>0</v>
      </c>
      <c r="R1482">
        <v>3</v>
      </c>
      <c r="S1482">
        <v>0.56000000000000005</v>
      </c>
      <c r="T1482">
        <v>2.4500000000000002</v>
      </c>
      <c r="U1482">
        <v>0.8</v>
      </c>
      <c r="V1482">
        <v>1.83</v>
      </c>
      <c r="W1482">
        <v>0</v>
      </c>
      <c r="X1482">
        <v>3.15</v>
      </c>
    </row>
    <row r="1483" spans="1:24" x14ac:dyDescent="0.35">
      <c r="A1483" t="str">
        <f t="shared" si="5"/>
        <v>WatfordNewcastle</v>
      </c>
      <c r="B1483">
        <v>2019</v>
      </c>
      <c r="C1483" s="1">
        <v>44023</v>
      </c>
      <c r="D1483">
        <v>2411</v>
      </c>
      <c r="E1483" t="s">
        <v>23</v>
      </c>
      <c r="F1483" t="s">
        <v>35</v>
      </c>
      <c r="G1483" t="s">
        <v>46</v>
      </c>
      <c r="H1483">
        <v>69.89</v>
      </c>
      <c r="I1483">
        <v>63.15</v>
      </c>
      <c r="J1483">
        <v>0.52390000000000003</v>
      </c>
      <c r="K1483">
        <v>0.21729999999999999</v>
      </c>
      <c r="L1483">
        <v>0.25879999999999997</v>
      </c>
      <c r="M1483">
        <v>1.58</v>
      </c>
      <c r="N1483">
        <v>0.92</v>
      </c>
      <c r="O1483">
        <v>57.3</v>
      </c>
      <c r="P1483">
        <v>0</v>
      </c>
      <c r="Q1483">
        <v>2</v>
      </c>
      <c r="R1483">
        <v>1</v>
      </c>
      <c r="S1483">
        <v>3.28</v>
      </c>
      <c r="T1483">
        <v>1.26</v>
      </c>
      <c r="U1483">
        <v>1.87</v>
      </c>
      <c r="V1483">
        <v>0.35</v>
      </c>
      <c r="W1483">
        <v>2.1</v>
      </c>
      <c r="X1483">
        <v>1.05</v>
      </c>
    </row>
    <row r="1484" spans="1:24" x14ac:dyDescent="0.35">
      <c r="A1484" t="str">
        <f t="shared" si="5"/>
        <v>Norwich CityWest Ham United</v>
      </c>
      <c r="B1484">
        <v>2019</v>
      </c>
      <c r="C1484" s="1">
        <v>44023</v>
      </c>
      <c r="D1484">
        <v>2411</v>
      </c>
      <c r="E1484" t="s">
        <v>23</v>
      </c>
      <c r="F1484" t="s">
        <v>50</v>
      </c>
      <c r="G1484" t="s">
        <v>43</v>
      </c>
      <c r="H1484">
        <v>58.87</v>
      </c>
      <c r="I1484">
        <v>67.63</v>
      </c>
      <c r="J1484">
        <v>0.26269999999999999</v>
      </c>
      <c r="K1484">
        <v>0.48159999999999997</v>
      </c>
      <c r="L1484">
        <v>0.25569999999999998</v>
      </c>
      <c r="M1484">
        <v>1.1100000000000001</v>
      </c>
      <c r="N1484">
        <v>1.6</v>
      </c>
      <c r="O1484">
        <v>0</v>
      </c>
      <c r="P1484">
        <v>37.9</v>
      </c>
      <c r="Q1484">
        <v>0</v>
      </c>
      <c r="R1484">
        <v>4</v>
      </c>
      <c r="S1484">
        <v>0.74</v>
      </c>
      <c r="T1484">
        <v>3.97</v>
      </c>
      <c r="U1484">
        <v>1.1299999999999999</v>
      </c>
      <c r="V1484">
        <v>2.41</v>
      </c>
      <c r="W1484">
        <v>0</v>
      </c>
      <c r="X1484">
        <v>4.12</v>
      </c>
    </row>
    <row r="1485" spans="1:24" x14ac:dyDescent="0.35">
      <c r="A1485" t="str">
        <f t="shared" si="5"/>
        <v>LiverpoolBurnley</v>
      </c>
      <c r="B1485">
        <v>2019</v>
      </c>
      <c r="C1485" s="1">
        <v>44023</v>
      </c>
      <c r="D1485">
        <v>2411</v>
      </c>
      <c r="E1485" t="s">
        <v>23</v>
      </c>
      <c r="F1485" t="s">
        <v>41</v>
      </c>
      <c r="G1485" t="s">
        <v>32</v>
      </c>
      <c r="H1485">
        <v>91.39</v>
      </c>
      <c r="I1485">
        <v>69.760000000000005</v>
      </c>
      <c r="J1485">
        <v>0.66910000000000003</v>
      </c>
      <c r="K1485">
        <v>0.13139999999999999</v>
      </c>
      <c r="L1485">
        <v>0.19950000000000001</v>
      </c>
      <c r="M1485">
        <v>2.11</v>
      </c>
      <c r="N1485">
        <v>0.81</v>
      </c>
      <c r="O1485">
        <v>0</v>
      </c>
      <c r="P1485">
        <v>1</v>
      </c>
      <c r="Q1485">
        <v>1</v>
      </c>
      <c r="R1485">
        <v>1</v>
      </c>
      <c r="S1485">
        <v>2.4300000000000002</v>
      </c>
      <c r="T1485">
        <v>0.61</v>
      </c>
      <c r="U1485">
        <v>2.97</v>
      </c>
      <c r="V1485">
        <v>0.3</v>
      </c>
      <c r="W1485">
        <v>1.05</v>
      </c>
      <c r="X1485">
        <v>1.05</v>
      </c>
    </row>
    <row r="1486" spans="1:24" x14ac:dyDescent="0.35">
      <c r="A1486" t="str">
        <f t="shared" si="5"/>
        <v>Sheffield UnitedChelsea</v>
      </c>
      <c r="B1486">
        <v>2019</v>
      </c>
      <c r="C1486" s="1">
        <v>44023</v>
      </c>
      <c r="D1486">
        <v>2411</v>
      </c>
      <c r="E1486" t="s">
        <v>23</v>
      </c>
      <c r="F1486" t="s">
        <v>51</v>
      </c>
      <c r="G1486" t="s">
        <v>42</v>
      </c>
      <c r="H1486">
        <v>71.73</v>
      </c>
      <c r="I1486">
        <v>85.6</v>
      </c>
      <c r="J1486">
        <v>0.2127</v>
      </c>
      <c r="K1486">
        <v>0.54239999999999999</v>
      </c>
      <c r="L1486">
        <v>0.24479999999999999</v>
      </c>
      <c r="M1486">
        <v>0.98</v>
      </c>
      <c r="N1486">
        <v>1.72</v>
      </c>
      <c r="O1486">
        <v>7.2</v>
      </c>
      <c r="P1486">
        <v>9.6999999999999993</v>
      </c>
      <c r="Q1486">
        <v>3</v>
      </c>
      <c r="R1486">
        <v>0</v>
      </c>
      <c r="S1486">
        <v>1.91</v>
      </c>
      <c r="T1486">
        <v>1.28</v>
      </c>
      <c r="U1486">
        <v>0.95</v>
      </c>
      <c r="V1486">
        <v>1.4</v>
      </c>
      <c r="W1486">
        <v>2.98</v>
      </c>
      <c r="X1486">
        <v>0</v>
      </c>
    </row>
    <row r="1487" spans="1:24" x14ac:dyDescent="0.35">
      <c r="A1487" t="str">
        <f t="shared" si="5"/>
        <v>Brighton and Hove AlbionManchester City</v>
      </c>
      <c r="B1487">
        <v>2019</v>
      </c>
      <c r="C1487" s="1">
        <v>44023</v>
      </c>
      <c r="D1487">
        <v>2411</v>
      </c>
      <c r="E1487" t="s">
        <v>23</v>
      </c>
      <c r="F1487" t="s">
        <v>45</v>
      </c>
      <c r="G1487" t="s">
        <v>36</v>
      </c>
      <c r="H1487">
        <v>71.400000000000006</v>
      </c>
      <c r="I1487">
        <v>95.24</v>
      </c>
      <c r="J1487">
        <v>0.2039</v>
      </c>
      <c r="K1487">
        <v>0.58379999999999999</v>
      </c>
      <c r="L1487">
        <v>0.21229999999999999</v>
      </c>
      <c r="M1487">
        <v>1.17</v>
      </c>
      <c r="N1487">
        <v>2.11</v>
      </c>
      <c r="O1487">
        <v>0.1</v>
      </c>
      <c r="P1487">
        <v>0</v>
      </c>
      <c r="Q1487">
        <v>0</v>
      </c>
      <c r="R1487">
        <v>5</v>
      </c>
      <c r="S1487">
        <v>0.13</v>
      </c>
      <c r="T1487">
        <v>5.0999999999999996</v>
      </c>
      <c r="U1487">
        <v>0.59</v>
      </c>
      <c r="V1487">
        <v>3.18</v>
      </c>
      <c r="W1487">
        <v>0</v>
      </c>
      <c r="X1487">
        <v>4.97</v>
      </c>
    </row>
    <row r="1488" spans="1:24" x14ac:dyDescent="0.35">
      <c r="A1488" t="str">
        <f t="shared" si="5"/>
        <v>WolverhamptonEverton</v>
      </c>
      <c r="B1488">
        <v>2019</v>
      </c>
      <c r="C1488" s="1">
        <v>44024</v>
      </c>
      <c r="D1488">
        <v>2411</v>
      </c>
      <c r="E1488" t="s">
        <v>23</v>
      </c>
      <c r="F1488" t="s">
        <v>49</v>
      </c>
      <c r="G1488" t="s">
        <v>28</v>
      </c>
      <c r="H1488">
        <v>80.739999999999995</v>
      </c>
      <c r="I1488">
        <v>76.48</v>
      </c>
      <c r="J1488">
        <v>0.45169999999999999</v>
      </c>
      <c r="K1488">
        <v>0.24940000000000001</v>
      </c>
      <c r="L1488">
        <v>0.2989</v>
      </c>
      <c r="M1488">
        <v>1.25</v>
      </c>
      <c r="N1488">
        <v>0.85</v>
      </c>
      <c r="O1488">
        <v>29.6</v>
      </c>
      <c r="P1488">
        <v>0</v>
      </c>
      <c r="Q1488">
        <v>3</v>
      </c>
      <c r="R1488">
        <v>0</v>
      </c>
      <c r="S1488">
        <v>2.88</v>
      </c>
      <c r="T1488">
        <v>0.34</v>
      </c>
      <c r="U1488">
        <v>0.79</v>
      </c>
      <c r="V1488">
        <v>0.69</v>
      </c>
      <c r="W1488">
        <v>3.06</v>
      </c>
      <c r="X1488">
        <v>0</v>
      </c>
    </row>
    <row r="1489" spans="1:24" x14ac:dyDescent="0.35">
      <c r="A1489" t="str">
        <f t="shared" si="5"/>
        <v>Aston VillaCrystal Palace</v>
      </c>
      <c r="B1489">
        <v>2019</v>
      </c>
      <c r="C1489" s="1">
        <v>44024</v>
      </c>
      <c r="D1489">
        <v>2411</v>
      </c>
      <c r="E1489" t="s">
        <v>23</v>
      </c>
      <c r="F1489" t="s">
        <v>52</v>
      </c>
      <c r="G1489" t="s">
        <v>30</v>
      </c>
      <c r="H1489">
        <v>62.14</v>
      </c>
      <c r="I1489">
        <v>69.45</v>
      </c>
      <c r="J1489">
        <v>0.36209999999999998</v>
      </c>
      <c r="K1489">
        <v>0.36109999999999998</v>
      </c>
      <c r="L1489">
        <v>0.27679999999999999</v>
      </c>
      <c r="M1489">
        <v>1.25</v>
      </c>
      <c r="N1489">
        <v>1.25</v>
      </c>
      <c r="O1489">
        <v>29.5</v>
      </c>
      <c r="P1489">
        <v>0</v>
      </c>
      <c r="Q1489">
        <v>2</v>
      </c>
      <c r="R1489">
        <v>0</v>
      </c>
      <c r="S1489">
        <v>1.7</v>
      </c>
      <c r="T1489">
        <v>1.04</v>
      </c>
      <c r="U1489">
        <v>1.08</v>
      </c>
      <c r="V1489">
        <v>0.95</v>
      </c>
      <c r="W1489">
        <v>2.1</v>
      </c>
      <c r="X1489">
        <v>0</v>
      </c>
    </row>
    <row r="1490" spans="1:24" x14ac:dyDescent="0.35">
      <c r="A1490" t="str">
        <f t="shared" si="5"/>
        <v>Tottenham HotspurArsenal</v>
      </c>
      <c r="B1490">
        <v>2019</v>
      </c>
      <c r="C1490" s="1">
        <v>44024</v>
      </c>
      <c r="D1490">
        <v>2411</v>
      </c>
      <c r="E1490" t="s">
        <v>23</v>
      </c>
      <c r="F1490" t="s">
        <v>29</v>
      </c>
      <c r="G1490" t="s">
        <v>40</v>
      </c>
      <c r="H1490">
        <v>75.819999999999993</v>
      </c>
      <c r="I1490">
        <v>79.66</v>
      </c>
      <c r="J1490">
        <v>0.35610000000000003</v>
      </c>
      <c r="K1490">
        <v>0.38190000000000002</v>
      </c>
      <c r="L1490">
        <v>0.26200000000000001</v>
      </c>
      <c r="M1490">
        <v>1.35</v>
      </c>
      <c r="N1490">
        <v>1.4</v>
      </c>
      <c r="O1490">
        <v>3</v>
      </c>
      <c r="P1490">
        <v>3.7</v>
      </c>
      <c r="Q1490">
        <v>2</v>
      </c>
      <c r="R1490">
        <v>1</v>
      </c>
      <c r="S1490">
        <v>2.4900000000000002</v>
      </c>
      <c r="T1490">
        <v>0.74</v>
      </c>
      <c r="U1490">
        <v>0.68</v>
      </c>
      <c r="V1490">
        <v>0.82</v>
      </c>
      <c r="W1490">
        <v>2.1</v>
      </c>
      <c r="X1490">
        <v>1.05</v>
      </c>
    </row>
    <row r="1491" spans="1:24" x14ac:dyDescent="0.35">
      <c r="A1491" t="str">
        <f t="shared" si="5"/>
        <v>AFC BournemouthLeicester City</v>
      </c>
      <c r="B1491">
        <v>2019</v>
      </c>
      <c r="C1491" s="1">
        <v>44024</v>
      </c>
      <c r="D1491">
        <v>2411</v>
      </c>
      <c r="E1491" t="s">
        <v>23</v>
      </c>
      <c r="F1491" t="s">
        <v>38</v>
      </c>
      <c r="G1491" t="s">
        <v>25</v>
      </c>
      <c r="H1491">
        <v>62.72</v>
      </c>
      <c r="I1491">
        <v>82.23</v>
      </c>
      <c r="J1491">
        <v>0.2</v>
      </c>
      <c r="K1491">
        <v>0.5655</v>
      </c>
      <c r="L1491">
        <v>0.23449999999999999</v>
      </c>
      <c r="M1491">
        <v>0.99</v>
      </c>
      <c r="N1491">
        <v>1.82</v>
      </c>
      <c r="O1491">
        <v>23.3</v>
      </c>
      <c r="P1491">
        <v>35.799999999999997</v>
      </c>
      <c r="Q1491">
        <v>4</v>
      </c>
      <c r="R1491">
        <v>1</v>
      </c>
      <c r="S1491">
        <v>2.37</v>
      </c>
      <c r="T1491">
        <v>1.49</v>
      </c>
      <c r="U1491">
        <v>0.83</v>
      </c>
      <c r="V1491">
        <v>1.46</v>
      </c>
      <c r="W1491">
        <v>3.17</v>
      </c>
      <c r="X1491">
        <v>1.05</v>
      </c>
    </row>
    <row r="1492" spans="1:24" x14ac:dyDescent="0.35">
      <c r="A1492" t="str">
        <f t="shared" si="5"/>
        <v>Manchester UnitedSouthampton</v>
      </c>
      <c r="B1492">
        <v>2019</v>
      </c>
      <c r="C1492" s="1">
        <v>44025</v>
      </c>
      <c r="D1492">
        <v>2411</v>
      </c>
      <c r="E1492" t="s">
        <v>23</v>
      </c>
      <c r="F1492" t="s">
        <v>39</v>
      </c>
      <c r="G1492" t="s">
        <v>34</v>
      </c>
      <c r="H1492">
        <v>88.91</v>
      </c>
      <c r="I1492">
        <v>72.53</v>
      </c>
      <c r="J1492">
        <v>0.7117</v>
      </c>
      <c r="K1492">
        <v>0.1038</v>
      </c>
      <c r="L1492">
        <v>0.1845</v>
      </c>
      <c r="M1492">
        <v>2.19</v>
      </c>
      <c r="N1492">
        <v>0.7</v>
      </c>
      <c r="O1492">
        <v>96.3</v>
      </c>
      <c r="P1492">
        <v>0</v>
      </c>
      <c r="Q1492">
        <v>2</v>
      </c>
      <c r="R1492">
        <v>2</v>
      </c>
      <c r="S1492">
        <v>1.43</v>
      </c>
      <c r="T1492">
        <v>1.51</v>
      </c>
      <c r="U1492">
        <v>1.06</v>
      </c>
      <c r="V1492">
        <v>0.92</v>
      </c>
      <c r="W1492">
        <v>2.1</v>
      </c>
      <c r="X1492">
        <v>2.1</v>
      </c>
    </row>
    <row r="1493" spans="1:24" x14ac:dyDescent="0.35">
      <c r="A1493" t="str">
        <f t="shared" si="5"/>
        <v>ChelseaNorwich City</v>
      </c>
      <c r="B1493">
        <v>2019</v>
      </c>
      <c r="C1493" s="1">
        <v>44026</v>
      </c>
      <c r="D1493">
        <v>2411</v>
      </c>
      <c r="E1493" t="s">
        <v>23</v>
      </c>
      <c r="F1493" t="s">
        <v>42</v>
      </c>
      <c r="G1493" t="s">
        <v>50</v>
      </c>
      <c r="H1493">
        <v>84.05</v>
      </c>
      <c r="I1493">
        <v>55.85</v>
      </c>
      <c r="J1493">
        <v>0.84770000000000001</v>
      </c>
      <c r="K1493">
        <v>3.8300000000000001E-2</v>
      </c>
      <c r="L1493">
        <v>0.1139</v>
      </c>
      <c r="M1493">
        <v>2.71</v>
      </c>
      <c r="N1493">
        <v>0.43</v>
      </c>
      <c r="O1493">
        <v>100</v>
      </c>
      <c r="P1493">
        <v>0</v>
      </c>
      <c r="Q1493">
        <v>1</v>
      </c>
      <c r="R1493">
        <v>0</v>
      </c>
      <c r="S1493">
        <v>3.44</v>
      </c>
      <c r="T1493">
        <v>0.06</v>
      </c>
      <c r="U1493">
        <v>3.14</v>
      </c>
      <c r="V1493">
        <v>0.13</v>
      </c>
      <c r="W1493">
        <v>1.05</v>
      </c>
      <c r="X1493">
        <v>0</v>
      </c>
    </row>
    <row r="1494" spans="1:24" x14ac:dyDescent="0.35">
      <c r="A1494" t="str">
        <f t="shared" si="5"/>
        <v>Manchester CityAFC Bournemouth</v>
      </c>
      <c r="B1494">
        <v>2019</v>
      </c>
      <c r="C1494" s="1">
        <v>44027</v>
      </c>
      <c r="D1494">
        <v>2411</v>
      </c>
      <c r="E1494" t="s">
        <v>23</v>
      </c>
      <c r="F1494" t="s">
        <v>36</v>
      </c>
      <c r="G1494" t="s">
        <v>38</v>
      </c>
      <c r="H1494">
        <v>95.61</v>
      </c>
      <c r="I1494">
        <v>64.489999999999995</v>
      </c>
      <c r="J1494">
        <v>0.85470000000000002</v>
      </c>
      <c r="K1494">
        <v>4.65E-2</v>
      </c>
      <c r="L1494">
        <v>9.8799999999999999E-2</v>
      </c>
      <c r="M1494">
        <v>3.22</v>
      </c>
      <c r="N1494">
        <v>0.68</v>
      </c>
      <c r="O1494">
        <v>0</v>
      </c>
      <c r="P1494">
        <v>85</v>
      </c>
      <c r="Q1494">
        <v>2</v>
      </c>
      <c r="R1494">
        <v>1</v>
      </c>
      <c r="S1494">
        <v>0.61</v>
      </c>
      <c r="T1494">
        <v>2.06</v>
      </c>
      <c r="U1494">
        <v>1.68</v>
      </c>
      <c r="V1494">
        <v>2</v>
      </c>
      <c r="W1494">
        <v>2.1</v>
      </c>
      <c r="X1494">
        <v>1.05</v>
      </c>
    </row>
    <row r="1495" spans="1:24" x14ac:dyDescent="0.35">
      <c r="A1495" t="str">
        <f t="shared" si="5"/>
        <v>NewcastleTottenham Hotspur</v>
      </c>
      <c r="B1495">
        <v>2019</v>
      </c>
      <c r="C1495" s="1">
        <v>44027</v>
      </c>
      <c r="D1495">
        <v>2411</v>
      </c>
      <c r="E1495" t="s">
        <v>23</v>
      </c>
      <c r="F1495" t="s">
        <v>46</v>
      </c>
      <c r="G1495" t="s">
        <v>29</v>
      </c>
      <c r="H1495">
        <v>61.74</v>
      </c>
      <c r="I1495">
        <v>76.739999999999995</v>
      </c>
      <c r="J1495">
        <v>0.30220000000000002</v>
      </c>
      <c r="K1495">
        <v>0.43740000000000001</v>
      </c>
      <c r="L1495">
        <v>0.26040000000000002</v>
      </c>
      <c r="M1495">
        <v>1.21</v>
      </c>
      <c r="N1495">
        <v>1.51</v>
      </c>
      <c r="O1495">
        <v>0</v>
      </c>
      <c r="P1495">
        <v>0</v>
      </c>
      <c r="Q1495">
        <v>1</v>
      </c>
      <c r="R1495">
        <v>3</v>
      </c>
      <c r="S1495">
        <v>1.2</v>
      </c>
      <c r="T1495">
        <v>1.39</v>
      </c>
      <c r="U1495">
        <v>1.3</v>
      </c>
      <c r="V1495">
        <v>1.24</v>
      </c>
      <c r="W1495">
        <v>1.05</v>
      </c>
      <c r="X1495">
        <v>2.65</v>
      </c>
    </row>
    <row r="1496" spans="1:24" x14ac:dyDescent="0.35">
      <c r="A1496" t="str">
        <f t="shared" si="5"/>
        <v>BurnleyWolverhampton</v>
      </c>
      <c r="B1496">
        <v>2019</v>
      </c>
      <c r="C1496" s="1">
        <v>44027</v>
      </c>
      <c r="D1496">
        <v>2411</v>
      </c>
      <c r="E1496" t="s">
        <v>23</v>
      </c>
      <c r="F1496" t="s">
        <v>32</v>
      </c>
      <c r="G1496" t="s">
        <v>49</v>
      </c>
      <c r="H1496">
        <v>69.790000000000006</v>
      </c>
      <c r="I1496">
        <v>82.24</v>
      </c>
      <c r="J1496">
        <v>0.23100000000000001</v>
      </c>
      <c r="K1496">
        <v>0.47260000000000002</v>
      </c>
      <c r="L1496">
        <v>0.2964</v>
      </c>
      <c r="M1496">
        <v>0.8</v>
      </c>
      <c r="N1496">
        <v>1.28</v>
      </c>
      <c r="O1496">
        <v>0</v>
      </c>
      <c r="P1496">
        <v>28.9</v>
      </c>
      <c r="Q1496">
        <v>1</v>
      </c>
      <c r="R1496">
        <v>1</v>
      </c>
      <c r="S1496">
        <v>1.56</v>
      </c>
      <c r="T1496">
        <v>1.29</v>
      </c>
      <c r="U1496">
        <v>0.99</v>
      </c>
      <c r="V1496">
        <v>1.35</v>
      </c>
      <c r="W1496">
        <v>1.05</v>
      </c>
      <c r="X1496">
        <v>1.05</v>
      </c>
    </row>
    <row r="1497" spans="1:24" x14ac:dyDescent="0.35">
      <c r="A1497" t="str">
        <f t="shared" si="5"/>
        <v>ArsenalLiverpool</v>
      </c>
      <c r="B1497">
        <v>2019</v>
      </c>
      <c r="C1497" s="1">
        <v>44027</v>
      </c>
      <c r="D1497">
        <v>2411</v>
      </c>
      <c r="E1497" t="s">
        <v>23</v>
      </c>
      <c r="F1497" t="s">
        <v>40</v>
      </c>
      <c r="G1497" t="s">
        <v>41</v>
      </c>
      <c r="H1497">
        <v>78.83</v>
      </c>
      <c r="I1497">
        <v>91.4</v>
      </c>
      <c r="J1497">
        <v>0.29260000000000003</v>
      </c>
      <c r="K1497">
        <v>0.46350000000000002</v>
      </c>
      <c r="L1497">
        <v>0.24390000000000001</v>
      </c>
      <c r="M1497">
        <v>1.31</v>
      </c>
      <c r="N1497">
        <v>1.7</v>
      </c>
      <c r="O1497">
        <v>0</v>
      </c>
      <c r="P1497">
        <v>0</v>
      </c>
      <c r="Q1497">
        <v>2</v>
      </c>
      <c r="R1497">
        <v>1</v>
      </c>
      <c r="S1497">
        <v>1.17</v>
      </c>
      <c r="T1497">
        <v>3.1</v>
      </c>
      <c r="U1497">
        <v>0.57999999999999996</v>
      </c>
      <c r="V1497">
        <v>3.12</v>
      </c>
      <c r="W1497">
        <v>2.1</v>
      </c>
      <c r="X1497">
        <v>1.05</v>
      </c>
    </row>
    <row r="1498" spans="1:24" x14ac:dyDescent="0.35">
      <c r="A1498" t="str">
        <f t="shared" si="5"/>
        <v>EvertonAston Villa</v>
      </c>
      <c r="B1498">
        <v>2019</v>
      </c>
      <c r="C1498" s="1">
        <v>44028</v>
      </c>
      <c r="D1498">
        <v>2411</v>
      </c>
      <c r="E1498" t="s">
        <v>23</v>
      </c>
      <c r="F1498" t="s">
        <v>28</v>
      </c>
      <c r="G1498" t="s">
        <v>52</v>
      </c>
      <c r="H1498">
        <v>74.56</v>
      </c>
      <c r="I1498">
        <v>63.46</v>
      </c>
      <c r="J1498">
        <v>0.4572</v>
      </c>
      <c r="K1498">
        <v>0.27929999999999999</v>
      </c>
      <c r="L1498">
        <v>0.2636</v>
      </c>
      <c r="M1498">
        <v>1.5</v>
      </c>
      <c r="N1498">
        <v>1.1200000000000001</v>
      </c>
      <c r="O1498">
        <v>0</v>
      </c>
      <c r="P1498">
        <v>59.5</v>
      </c>
      <c r="Q1498">
        <v>1</v>
      </c>
      <c r="R1498">
        <v>1</v>
      </c>
      <c r="S1498">
        <v>1.08</v>
      </c>
      <c r="T1498">
        <v>1.26</v>
      </c>
      <c r="U1498">
        <v>1.54</v>
      </c>
      <c r="V1498">
        <v>1.02</v>
      </c>
      <c r="W1498">
        <v>1.05</v>
      </c>
      <c r="X1498">
        <v>1.05</v>
      </c>
    </row>
    <row r="1499" spans="1:24" x14ac:dyDescent="0.35">
      <c r="A1499" t="str">
        <f t="shared" si="5"/>
        <v>Leicester CitySheffield United</v>
      </c>
      <c r="B1499">
        <v>2019</v>
      </c>
      <c r="C1499" s="1">
        <v>44028</v>
      </c>
      <c r="D1499">
        <v>2411</v>
      </c>
      <c r="E1499" t="s">
        <v>23</v>
      </c>
      <c r="F1499" t="s">
        <v>25</v>
      </c>
      <c r="G1499" t="s">
        <v>51</v>
      </c>
      <c r="H1499">
        <v>80.58</v>
      </c>
      <c r="I1499">
        <v>73.52</v>
      </c>
      <c r="J1499">
        <v>0.58589999999999998</v>
      </c>
      <c r="K1499">
        <v>0.1605</v>
      </c>
      <c r="L1499">
        <v>0.25359999999999999</v>
      </c>
      <c r="M1499">
        <v>1.61</v>
      </c>
      <c r="N1499">
        <v>0.71</v>
      </c>
      <c r="O1499">
        <v>100</v>
      </c>
      <c r="P1499">
        <v>2</v>
      </c>
      <c r="Q1499">
        <v>2</v>
      </c>
      <c r="R1499">
        <v>0</v>
      </c>
      <c r="S1499">
        <v>3.05</v>
      </c>
      <c r="T1499">
        <v>0.84</v>
      </c>
      <c r="U1499">
        <v>1.48</v>
      </c>
      <c r="V1499">
        <v>0.28999999999999998</v>
      </c>
      <c r="W1499">
        <v>1.86</v>
      </c>
      <c r="X1499">
        <v>0</v>
      </c>
    </row>
    <row r="1500" spans="1:24" x14ac:dyDescent="0.35">
      <c r="A1500" t="str">
        <f t="shared" si="5"/>
        <v>SouthamptonBrighton and Hove Albion</v>
      </c>
      <c r="B1500">
        <v>2019</v>
      </c>
      <c r="C1500" s="1">
        <v>44028</v>
      </c>
      <c r="D1500">
        <v>2411</v>
      </c>
      <c r="E1500" t="s">
        <v>23</v>
      </c>
      <c r="F1500" t="s">
        <v>34</v>
      </c>
      <c r="G1500" t="s">
        <v>45</v>
      </c>
      <c r="H1500">
        <v>73.64</v>
      </c>
      <c r="I1500">
        <v>69.290000000000006</v>
      </c>
      <c r="J1500">
        <v>0.4521</v>
      </c>
      <c r="K1500">
        <v>0.28439999999999999</v>
      </c>
      <c r="L1500">
        <v>0.26350000000000001</v>
      </c>
      <c r="M1500">
        <v>1.5</v>
      </c>
      <c r="N1500">
        <v>1.1299999999999999</v>
      </c>
      <c r="O1500">
        <v>0</v>
      </c>
      <c r="P1500">
        <v>1.8</v>
      </c>
      <c r="Q1500">
        <v>1</v>
      </c>
      <c r="R1500">
        <v>1</v>
      </c>
      <c r="S1500">
        <v>2.39</v>
      </c>
      <c r="T1500">
        <v>0.89</v>
      </c>
      <c r="U1500">
        <v>1.28</v>
      </c>
      <c r="V1500">
        <v>1.02</v>
      </c>
      <c r="W1500">
        <v>1.05</v>
      </c>
      <c r="X1500">
        <v>1.05</v>
      </c>
    </row>
    <row r="1501" spans="1:24" x14ac:dyDescent="0.35">
      <c r="A1501" t="str">
        <f t="shared" si="5"/>
        <v>Crystal PalaceManchester United</v>
      </c>
      <c r="B1501">
        <v>2019</v>
      </c>
      <c r="C1501" s="1">
        <v>44028</v>
      </c>
      <c r="D1501">
        <v>2411</v>
      </c>
      <c r="E1501" t="s">
        <v>23</v>
      </c>
      <c r="F1501" t="s">
        <v>30</v>
      </c>
      <c r="G1501" t="s">
        <v>39</v>
      </c>
      <c r="H1501">
        <v>68.3</v>
      </c>
      <c r="I1501">
        <v>88.1</v>
      </c>
      <c r="J1501">
        <v>0.10979999999999999</v>
      </c>
      <c r="K1501">
        <v>0.68789999999999996</v>
      </c>
      <c r="L1501">
        <v>0.20230000000000001</v>
      </c>
      <c r="M1501">
        <v>0.65</v>
      </c>
      <c r="N1501">
        <v>2</v>
      </c>
      <c r="O1501">
        <v>0</v>
      </c>
      <c r="P1501">
        <v>100</v>
      </c>
      <c r="Q1501">
        <v>0</v>
      </c>
      <c r="R1501">
        <v>2</v>
      </c>
      <c r="S1501">
        <v>0.6</v>
      </c>
      <c r="T1501">
        <v>1.94</v>
      </c>
      <c r="U1501">
        <v>0.96</v>
      </c>
      <c r="V1501">
        <v>2.14</v>
      </c>
      <c r="W1501">
        <v>0</v>
      </c>
      <c r="X1501">
        <v>1.91</v>
      </c>
    </row>
    <row r="1502" spans="1:24" x14ac:dyDescent="0.35">
      <c r="A1502" t="str">
        <f t="shared" si="5"/>
        <v>West Ham UnitedWatford</v>
      </c>
      <c r="B1502">
        <v>2019</v>
      </c>
      <c r="C1502" s="1">
        <v>44029</v>
      </c>
      <c r="D1502">
        <v>2411</v>
      </c>
      <c r="E1502" t="s">
        <v>23</v>
      </c>
      <c r="F1502" t="s">
        <v>43</v>
      </c>
      <c r="G1502" t="s">
        <v>35</v>
      </c>
      <c r="H1502">
        <v>70.010000000000005</v>
      </c>
      <c r="I1502">
        <v>70.86</v>
      </c>
      <c r="J1502">
        <v>0.37690000000000001</v>
      </c>
      <c r="K1502">
        <v>0.36990000000000001</v>
      </c>
      <c r="L1502">
        <v>0.25319999999999998</v>
      </c>
      <c r="M1502">
        <v>1.47</v>
      </c>
      <c r="N1502">
        <v>1.45</v>
      </c>
      <c r="O1502">
        <v>38.6</v>
      </c>
      <c r="P1502">
        <v>77</v>
      </c>
      <c r="Q1502">
        <v>3</v>
      </c>
      <c r="R1502">
        <v>1</v>
      </c>
      <c r="S1502">
        <v>0.74</v>
      </c>
      <c r="T1502">
        <v>1.29</v>
      </c>
      <c r="U1502">
        <v>0.44</v>
      </c>
      <c r="V1502">
        <v>2.0299999999999998</v>
      </c>
      <c r="W1502">
        <v>3.15</v>
      </c>
      <c r="X1502">
        <v>1.05</v>
      </c>
    </row>
    <row r="1503" spans="1:24" x14ac:dyDescent="0.35">
      <c r="A1503" t="str">
        <f t="shared" si="5"/>
        <v>Norwich CityBurnley</v>
      </c>
      <c r="B1503">
        <v>2019</v>
      </c>
      <c r="C1503" s="1">
        <v>44030</v>
      </c>
      <c r="D1503">
        <v>2411</v>
      </c>
      <c r="E1503" t="s">
        <v>23</v>
      </c>
      <c r="F1503" t="s">
        <v>50</v>
      </c>
      <c r="G1503" t="s">
        <v>32</v>
      </c>
      <c r="H1503">
        <v>54.93</v>
      </c>
      <c r="I1503">
        <v>70.19</v>
      </c>
      <c r="J1503">
        <v>0.30020000000000002</v>
      </c>
      <c r="K1503">
        <v>0.4138</v>
      </c>
      <c r="L1503">
        <v>0.28599999999999998</v>
      </c>
      <c r="M1503">
        <v>1.05</v>
      </c>
      <c r="N1503">
        <v>1.28</v>
      </c>
      <c r="O1503">
        <v>0</v>
      </c>
      <c r="P1503">
        <v>0</v>
      </c>
      <c r="Q1503">
        <v>0</v>
      </c>
      <c r="R1503">
        <v>2</v>
      </c>
      <c r="S1503">
        <v>0.6</v>
      </c>
      <c r="T1503">
        <v>1.86</v>
      </c>
      <c r="U1503">
        <v>0.41</v>
      </c>
      <c r="V1503">
        <v>2.3199999999999998</v>
      </c>
      <c r="W1503">
        <v>0</v>
      </c>
      <c r="X1503">
        <v>1.47</v>
      </c>
    </row>
    <row r="1504" spans="1:24" x14ac:dyDescent="0.35">
      <c r="A1504" t="str">
        <f t="shared" si="5"/>
        <v>AFC BournemouthSouthampton</v>
      </c>
      <c r="B1504">
        <v>2019</v>
      </c>
      <c r="C1504" s="1">
        <v>44031</v>
      </c>
      <c r="D1504">
        <v>2411</v>
      </c>
      <c r="E1504" t="s">
        <v>23</v>
      </c>
      <c r="F1504" t="s">
        <v>38</v>
      </c>
      <c r="G1504" t="s">
        <v>34</v>
      </c>
      <c r="H1504">
        <v>67.22</v>
      </c>
      <c r="I1504">
        <v>73.87</v>
      </c>
      <c r="J1504">
        <v>0.4103</v>
      </c>
      <c r="K1504">
        <v>0.34</v>
      </c>
      <c r="L1504">
        <v>0.24970000000000001</v>
      </c>
      <c r="M1504">
        <v>1.57</v>
      </c>
      <c r="N1504">
        <v>1.41</v>
      </c>
      <c r="O1504">
        <v>85.8</v>
      </c>
      <c r="P1504">
        <v>0</v>
      </c>
      <c r="Q1504">
        <v>0</v>
      </c>
      <c r="R1504">
        <v>2</v>
      </c>
      <c r="S1504">
        <v>0.59</v>
      </c>
      <c r="T1504">
        <v>2.44</v>
      </c>
      <c r="U1504">
        <v>1.84</v>
      </c>
      <c r="V1504">
        <v>1.72</v>
      </c>
      <c r="W1504">
        <v>0</v>
      </c>
      <c r="X1504">
        <v>1.58</v>
      </c>
    </row>
    <row r="1505" spans="1:24" x14ac:dyDescent="0.35">
      <c r="A1505" t="str">
        <f t="shared" si="5"/>
        <v>Tottenham HotspurLeicester City</v>
      </c>
      <c r="B1505">
        <v>2019</v>
      </c>
      <c r="C1505" s="1">
        <v>44031</v>
      </c>
      <c r="D1505">
        <v>2411</v>
      </c>
      <c r="E1505" t="s">
        <v>23</v>
      </c>
      <c r="F1505" t="s">
        <v>29</v>
      </c>
      <c r="G1505" t="s">
        <v>25</v>
      </c>
      <c r="H1505">
        <v>76.650000000000006</v>
      </c>
      <c r="I1505">
        <v>81.739999999999995</v>
      </c>
      <c r="J1505">
        <v>0.25990000000000002</v>
      </c>
      <c r="K1505">
        <v>0.48499999999999999</v>
      </c>
      <c r="L1505">
        <v>0.255</v>
      </c>
      <c r="M1505">
        <v>1.1100000000000001</v>
      </c>
      <c r="N1505">
        <v>1.6</v>
      </c>
      <c r="O1505">
        <v>0</v>
      </c>
      <c r="P1505">
        <v>100</v>
      </c>
      <c r="Q1505">
        <v>3</v>
      </c>
      <c r="R1505">
        <v>0</v>
      </c>
      <c r="S1505">
        <v>0.98</v>
      </c>
      <c r="T1505">
        <v>1.59</v>
      </c>
      <c r="U1505">
        <v>0.44</v>
      </c>
      <c r="V1505">
        <v>1.67</v>
      </c>
      <c r="W1505">
        <v>3.15</v>
      </c>
      <c r="X1505">
        <v>0</v>
      </c>
    </row>
    <row r="1506" spans="1:24" x14ac:dyDescent="0.35">
      <c r="A1506" t="str">
        <f t="shared" si="5"/>
        <v>Sheffield UnitedEverton</v>
      </c>
      <c r="B1506">
        <v>2019</v>
      </c>
      <c r="C1506" s="1">
        <v>44032</v>
      </c>
      <c r="D1506">
        <v>2411</v>
      </c>
      <c r="E1506" t="s">
        <v>23</v>
      </c>
      <c r="F1506" t="s">
        <v>51</v>
      </c>
      <c r="G1506" t="s">
        <v>28</v>
      </c>
      <c r="H1506">
        <v>72.16</v>
      </c>
      <c r="I1506">
        <v>74.13</v>
      </c>
      <c r="J1506">
        <v>0.35360000000000003</v>
      </c>
      <c r="K1506">
        <v>0.34889999999999999</v>
      </c>
      <c r="L1506">
        <v>0.29749999999999999</v>
      </c>
      <c r="M1506">
        <v>1.1100000000000001</v>
      </c>
      <c r="N1506">
        <v>1.1000000000000001</v>
      </c>
      <c r="O1506">
        <v>0</v>
      </c>
      <c r="P1506">
        <v>0</v>
      </c>
      <c r="Q1506">
        <v>0</v>
      </c>
      <c r="R1506">
        <v>1</v>
      </c>
      <c r="S1506">
        <v>0.66</v>
      </c>
      <c r="T1506">
        <v>0.67</v>
      </c>
      <c r="U1506">
        <v>0.98</v>
      </c>
      <c r="V1506">
        <v>0.73</v>
      </c>
      <c r="W1506">
        <v>0</v>
      </c>
      <c r="X1506">
        <v>1.05</v>
      </c>
    </row>
    <row r="1507" spans="1:24" x14ac:dyDescent="0.35">
      <c r="A1507" t="str">
        <f t="shared" si="5"/>
        <v>Brighton and Hove AlbionNewcastle</v>
      </c>
      <c r="B1507">
        <v>2019</v>
      </c>
      <c r="C1507" s="1">
        <v>44032</v>
      </c>
      <c r="D1507">
        <v>2411</v>
      </c>
      <c r="E1507" t="s">
        <v>23</v>
      </c>
      <c r="F1507" t="s">
        <v>45</v>
      </c>
      <c r="G1507" t="s">
        <v>46</v>
      </c>
      <c r="H1507">
        <v>69.09</v>
      </c>
      <c r="I1507">
        <v>61.75</v>
      </c>
      <c r="J1507">
        <v>0.4143</v>
      </c>
      <c r="K1507">
        <v>0.30990000000000001</v>
      </c>
      <c r="L1507">
        <v>0.27589999999999998</v>
      </c>
      <c r="M1507">
        <v>1.35</v>
      </c>
      <c r="N1507">
        <v>1.1299999999999999</v>
      </c>
      <c r="O1507">
        <v>0</v>
      </c>
      <c r="P1507">
        <v>0</v>
      </c>
      <c r="Q1507">
        <v>0</v>
      </c>
      <c r="R1507">
        <v>0</v>
      </c>
      <c r="S1507">
        <v>0.85</v>
      </c>
      <c r="T1507">
        <v>1.29</v>
      </c>
      <c r="U1507">
        <v>1.1000000000000001</v>
      </c>
      <c r="V1507">
        <v>0.86</v>
      </c>
      <c r="W1507">
        <v>0</v>
      </c>
      <c r="X1507">
        <v>0</v>
      </c>
    </row>
    <row r="1508" spans="1:24" x14ac:dyDescent="0.35">
      <c r="A1508" t="str">
        <f t="shared" si="5"/>
        <v>WolverhamptonCrystal Palace</v>
      </c>
      <c r="B1508">
        <v>2019</v>
      </c>
      <c r="C1508" s="1">
        <v>44032</v>
      </c>
      <c r="D1508">
        <v>2411</v>
      </c>
      <c r="E1508" t="s">
        <v>23</v>
      </c>
      <c r="F1508" t="s">
        <v>49</v>
      </c>
      <c r="G1508" t="s">
        <v>30</v>
      </c>
      <c r="H1508">
        <v>81.760000000000005</v>
      </c>
      <c r="I1508">
        <v>67.73</v>
      </c>
      <c r="J1508">
        <v>0.44080000000000003</v>
      </c>
      <c r="K1508">
        <v>0.25850000000000001</v>
      </c>
      <c r="L1508">
        <v>0.30070000000000002</v>
      </c>
      <c r="M1508">
        <v>1.23</v>
      </c>
      <c r="N1508">
        <v>0.87</v>
      </c>
      <c r="O1508">
        <v>0</v>
      </c>
      <c r="P1508">
        <v>0</v>
      </c>
      <c r="Q1508">
        <v>2</v>
      </c>
      <c r="R1508">
        <v>0</v>
      </c>
      <c r="S1508">
        <v>1.37</v>
      </c>
      <c r="T1508">
        <v>0.49</v>
      </c>
      <c r="U1508">
        <v>0.78</v>
      </c>
      <c r="V1508">
        <v>0.75</v>
      </c>
      <c r="W1508">
        <v>2.1</v>
      </c>
      <c r="X1508">
        <v>0</v>
      </c>
    </row>
    <row r="1509" spans="1:24" x14ac:dyDescent="0.35">
      <c r="A1509" t="str">
        <f t="shared" si="5"/>
        <v>WatfordManchester City</v>
      </c>
      <c r="B1509">
        <v>2019</v>
      </c>
      <c r="C1509" s="1">
        <v>44033</v>
      </c>
      <c r="D1509">
        <v>2411</v>
      </c>
      <c r="E1509" t="s">
        <v>23</v>
      </c>
      <c r="F1509" t="s">
        <v>35</v>
      </c>
      <c r="G1509" t="s">
        <v>36</v>
      </c>
      <c r="H1509">
        <v>71.040000000000006</v>
      </c>
      <c r="I1509">
        <v>95.31</v>
      </c>
      <c r="J1509">
        <v>0.121</v>
      </c>
      <c r="K1509">
        <v>0.70940000000000003</v>
      </c>
      <c r="L1509">
        <v>0.1696</v>
      </c>
      <c r="M1509">
        <v>0.95</v>
      </c>
      <c r="N1509">
        <v>2.5099999999999998</v>
      </c>
      <c r="O1509">
        <v>60.6</v>
      </c>
      <c r="P1509">
        <v>0</v>
      </c>
      <c r="Q1509">
        <v>0</v>
      </c>
      <c r="R1509">
        <v>4</v>
      </c>
      <c r="S1509">
        <v>0.35</v>
      </c>
      <c r="T1509">
        <v>4.04</v>
      </c>
      <c r="U1509">
        <v>0.18</v>
      </c>
      <c r="V1509">
        <v>1.65</v>
      </c>
      <c r="W1509">
        <v>0</v>
      </c>
      <c r="X1509">
        <v>4.2</v>
      </c>
    </row>
    <row r="1510" spans="1:24" x14ac:dyDescent="0.35">
      <c r="A1510" t="str">
        <f t="shared" si="5"/>
        <v>Aston VillaArsenal</v>
      </c>
      <c r="B1510">
        <v>2019</v>
      </c>
      <c r="C1510" s="1">
        <v>44033</v>
      </c>
      <c r="D1510">
        <v>2411</v>
      </c>
      <c r="E1510" t="s">
        <v>23</v>
      </c>
      <c r="F1510" t="s">
        <v>52</v>
      </c>
      <c r="G1510" t="s">
        <v>40</v>
      </c>
      <c r="H1510">
        <v>64.069999999999993</v>
      </c>
      <c r="I1510">
        <v>78.569999999999993</v>
      </c>
      <c r="J1510">
        <v>0.32929999999999998</v>
      </c>
      <c r="K1510">
        <v>0.41299999999999998</v>
      </c>
      <c r="L1510">
        <v>0.25769999999999998</v>
      </c>
      <c r="M1510">
        <v>1.31</v>
      </c>
      <c r="N1510">
        <v>1.5</v>
      </c>
      <c r="O1510">
        <v>100</v>
      </c>
      <c r="P1510">
        <v>0</v>
      </c>
      <c r="Q1510">
        <v>1</v>
      </c>
      <c r="R1510">
        <v>0</v>
      </c>
      <c r="S1510">
        <v>0.53</v>
      </c>
      <c r="T1510">
        <v>0.92</v>
      </c>
      <c r="U1510">
        <v>0.75</v>
      </c>
      <c r="V1510">
        <v>1.04</v>
      </c>
      <c r="W1510">
        <v>1.05</v>
      </c>
      <c r="X1510">
        <v>0</v>
      </c>
    </row>
    <row r="1511" spans="1:24" x14ac:dyDescent="0.35">
      <c r="A1511" t="str">
        <f t="shared" si="5"/>
        <v>Manchester UnitedWest Ham United</v>
      </c>
      <c r="B1511">
        <v>2019</v>
      </c>
      <c r="C1511" s="1">
        <v>44034</v>
      </c>
      <c r="D1511">
        <v>2411</v>
      </c>
      <c r="E1511" t="s">
        <v>23</v>
      </c>
      <c r="F1511" t="s">
        <v>39</v>
      </c>
      <c r="G1511" t="s">
        <v>43</v>
      </c>
      <c r="H1511">
        <v>88.54</v>
      </c>
      <c r="I1511">
        <v>69.83</v>
      </c>
      <c r="J1511">
        <v>0.73240000000000005</v>
      </c>
      <c r="K1511">
        <v>9.8900000000000002E-2</v>
      </c>
      <c r="L1511">
        <v>0.16880000000000001</v>
      </c>
      <c r="M1511">
        <v>2.39</v>
      </c>
      <c r="N1511">
        <v>0.75</v>
      </c>
      <c r="O1511">
        <v>100</v>
      </c>
      <c r="P1511">
        <v>0</v>
      </c>
      <c r="Q1511">
        <v>1</v>
      </c>
      <c r="R1511">
        <v>1</v>
      </c>
      <c r="S1511">
        <v>1.04</v>
      </c>
      <c r="T1511">
        <v>1.33</v>
      </c>
      <c r="U1511">
        <v>1.91</v>
      </c>
      <c r="V1511">
        <v>0.56000000000000005</v>
      </c>
      <c r="W1511">
        <v>1.05</v>
      </c>
      <c r="X1511">
        <v>1.05</v>
      </c>
    </row>
    <row r="1512" spans="1:24" x14ac:dyDescent="0.35">
      <c r="A1512" t="str">
        <f t="shared" si="5"/>
        <v>LiverpoolChelsea</v>
      </c>
      <c r="B1512">
        <v>2019</v>
      </c>
      <c r="C1512" s="1">
        <v>44034</v>
      </c>
      <c r="D1512">
        <v>2411</v>
      </c>
      <c r="E1512" t="s">
        <v>23</v>
      </c>
      <c r="F1512" t="s">
        <v>41</v>
      </c>
      <c r="G1512" t="s">
        <v>42</v>
      </c>
      <c r="H1512">
        <v>91.46</v>
      </c>
      <c r="I1512">
        <v>84.95</v>
      </c>
      <c r="J1512">
        <v>0.50370000000000004</v>
      </c>
      <c r="K1512">
        <v>0.26869999999999999</v>
      </c>
      <c r="L1512">
        <v>0.22770000000000001</v>
      </c>
      <c r="M1512">
        <v>1.93</v>
      </c>
      <c r="N1512">
        <v>1.36</v>
      </c>
      <c r="O1512">
        <v>0</v>
      </c>
      <c r="P1512">
        <v>34.5</v>
      </c>
      <c r="Q1512">
        <v>5</v>
      </c>
      <c r="R1512">
        <v>3</v>
      </c>
      <c r="S1512">
        <v>1.6</v>
      </c>
      <c r="T1512">
        <v>3.02</v>
      </c>
      <c r="U1512">
        <v>1.36</v>
      </c>
      <c r="V1512">
        <v>0.77</v>
      </c>
      <c r="W1512">
        <v>4.8899999999999997</v>
      </c>
      <c r="X1512">
        <v>3.15</v>
      </c>
    </row>
    <row r="1513" spans="1:24" x14ac:dyDescent="0.35">
      <c r="A1513" t="str">
        <f t="shared" si="5"/>
        <v>Leicester CityManchester United</v>
      </c>
      <c r="B1513">
        <v>2019</v>
      </c>
      <c r="C1513" s="1">
        <v>44038</v>
      </c>
      <c r="D1513">
        <v>2411</v>
      </c>
      <c r="E1513" t="s">
        <v>23</v>
      </c>
      <c r="F1513" t="s">
        <v>25</v>
      </c>
      <c r="G1513" t="s">
        <v>39</v>
      </c>
      <c r="H1513">
        <v>81.27</v>
      </c>
      <c r="I1513">
        <v>88.15</v>
      </c>
      <c r="J1513">
        <v>0.29799999999999999</v>
      </c>
      <c r="K1513">
        <v>0.4385</v>
      </c>
      <c r="L1513">
        <v>0.26350000000000001</v>
      </c>
      <c r="M1513">
        <v>1.18</v>
      </c>
      <c r="N1513">
        <v>1.48</v>
      </c>
      <c r="O1513">
        <v>100</v>
      </c>
      <c r="P1513">
        <v>100</v>
      </c>
      <c r="Q1513">
        <v>0</v>
      </c>
      <c r="R1513">
        <v>2</v>
      </c>
      <c r="S1513">
        <v>1</v>
      </c>
      <c r="T1513">
        <v>1.43</v>
      </c>
      <c r="U1513">
        <v>1.25</v>
      </c>
      <c r="V1513">
        <v>0.95</v>
      </c>
      <c r="W1513">
        <v>0</v>
      </c>
      <c r="X1513">
        <v>1.47</v>
      </c>
    </row>
    <row r="1514" spans="1:24" x14ac:dyDescent="0.35">
      <c r="A1514" t="str">
        <f t="shared" si="5"/>
        <v>SouthamptonSheffield United</v>
      </c>
      <c r="B1514">
        <v>2019</v>
      </c>
      <c r="C1514" s="1">
        <v>44038</v>
      </c>
      <c r="D1514">
        <v>2411</v>
      </c>
      <c r="E1514" t="s">
        <v>23</v>
      </c>
      <c r="F1514" t="s">
        <v>34</v>
      </c>
      <c r="G1514" t="s">
        <v>51</v>
      </c>
      <c r="H1514">
        <v>74.84</v>
      </c>
      <c r="I1514">
        <v>72</v>
      </c>
      <c r="J1514">
        <v>0.4002</v>
      </c>
      <c r="K1514">
        <v>0.31440000000000001</v>
      </c>
      <c r="L1514">
        <v>0.28539999999999999</v>
      </c>
      <c r="M1514">
        <v>1.27</v>
      </c>
      <c r="N1514">
        <v>1.0900000000000001</v>
      </c>
      <c r="O1514">
        <v>0</v>
      </c>
      <c r="P1514">
        <v>0</v>
      </c>
      <c r="Q1514">
        <v>3</v>
      </c>
      <c r="R1514">
        <v>1</v>
      </c>
      <c r="S1514">
        <v>1.73</v>
      </c>
      <c r="T1514">
        <v>1.54</v>
      </c>
      <c r="U1514">
        <v>1.17</v>
      </c>
      <c r="V1514">
        <v>0.46</v>
      </c>
      <c r="W1514">
        <v>2.8</v>
      </c>
      <c r="X1514">
        <v>1.05</v>
      </c>
    </row>
    <row r="1515" spans="1:24" x14ac:dyDescent="0.35">
      <c r="A1515" t="str">
        <f t="shared" si="5"/>
        <v>BurnleyBrighton and Hove Albion</v>
      </c>
      <c r="B1515">
        <v>2019</v>
      </c>
      <c r="C1515" s="1">
        <v>44038</v>
      </c>
      <c r="D1515">
        <v>2411</v>
      </c>
      <c r="E1515" t="s">
        <v>23</v>
      </c>
      <c r="F1515" t="s">
        <v>32</v>
      </c>
      <c r="G1515" t="s">
        <v>45</v>
      </c>
      <c r="H1515">
        <v>71.58</v>
      </c>
      <c r="I1515">
        <v>68.87</v>
      </c>
      <c r="J1515">
        <v>0.38469999999999999</v>
      </c>
      <c r="K1515">
        <v>0.32329999999999998</v>
      </c>
      <c r="L1515">
        <v>0.29189999999999999</v>
      </c>
      <c r="M1515">
        <v>1.2</v>
      </c>
      <c r="N1515">
        <v>1.08</v>
      </c>
      <c r="O1515">
        <v>0</v>
      </c>
      <c r="P1515">
        <v>0</v>
      </c>
      <c r="Q1515">
        <v>1</v>
      </c>
      <c r="R1515">
        <v>2</v>
      </c>
      <c r="S1515">
        <v>1.73</v>
      </c>
      <c r="T1515">
        <v>1.46</v>
      </c>
      <c r="U1515">
        <v>1.6</v>
      </c>
      <c r="V1515">
        <v>0.9</v>
      </c>
      <c r="W1515">
        <v>1.05</v>
      </c>
      <c r="X1515">
        <v>2.1</v>
      </c>
    </row>
    <row r="1516" spans="1:24" x14ac:dyDescent="0.35">
      <c r="A1516" t="str">
        <f t="shared" si="5"/>
        <v>EvertonAFC Bournemouth</v>
      </c>
      <c r="B1516">
        <v>2019</v>
      </c>
      <c r="C1516" s="1">
        <v>44038</v>
      </c>
      <c r="D1516">
        <v>2411</v>
      </c>
      <c r="E1516" t="s">
        <v>23</v>
      </c>
      <c r="F1516" t="s">
        <v>28</v>
      </c>
      <c r="G1516" t="s">
        <v>38</v>
      </c>
      <c r="H1516">
        <v>74.69</v>
      </c>
      <c r="I1516">
        <v>66.28</v>
      </c>
      <c r="J1516">
        <v>0.44619999999999999</v>
      </c>
      <c r="K1516">
        <v>0.29239999999999999</v>
      </c>
      <c r="L1516">
        <v>0.26140000000000002</v>
      </c>
      <c r="M1516">
        <v>1.51</v>
      </c>
      <c r="N1516">
        <v>1.17</v>
      </c>
      <c r="O1516">
        <v>0</v>
      </c>
      <c r="P1516">
        <v>33.1</v>
      </c>
      <c r="Q1516">
        <v>1</v>
      </c>
      <c r="R1516">
        <v>3</v>
      </c>
      <c r="S1516">
        <v>1.63</v>
      </c>
      <c r="T1516">
        <v>1.65</v>
      </c>
      <c r="U1516">
        <v>2.2599999999999998</v>
      </c>
      <c r="V1516">
        <v>1.66</v>
      </c>
      <c r="W1516">
        <v>1.05</v>
      </c>
      <c r="X1516">
        <v>2.9</v>
      </c>
    </row>
    <row r="1517" spans="1:24" x14ac:dyDescent="0.35">
      <c r="A1517" t="str">
        <f t="shared" si="5"/>
        <v>ChelseaWolverhampton</v>
      </c>
      <c r="B1517">
        <v>2019</v>
      </c>
      <c r="C1517" s="1">
        <v>44038</v>
      </c>
      <c r="D1517">
        <v>2411</v>
      </c>
      <c r="E1517" t="s">
        <v>23</v>
      </c>
      <c r="F1517" t="s">
        <v>42</v>
      </c>
      <c r="G1517" t="s">
        <v>49</v>
      </c>
      <c r="H1517">
        <v>85.21</v>
      </c>
      <c r="I1517">
        <v>82.16</v>
      </c>
      <c r="J1517">
        <v>0.56579999999999997</v>
      </c>
      <c r="K1517">
        <v>0.1903</v>
      </c>
      <c r="L1517">
        <v>0.24390000000000001</v>
      </c>
      <c r="M1517">
        <v>1.72</v>
      </c>
      <c r="N1517">
        <v>0.88</v>
      </c>
      <c r="O1517">
        <v>100</v>
      </c>
      <c r="P1517">
        <v>0</v>
      </c>
      <c r="Q1517">
        <v>2</v>
      </c>
      <c r="R1517">
        <v>0</v>
      </c>
      <c r="S1517">
        <v>0.9</v>
      </c>
      <c r="T1517">
        <v>0.18</v>
      </c>
      <c r="U1517">
        <v>1.54</v>
      </c>
      <c r="V1517">
        <v>0.56999999999999995</v>
      </c>
      <c r="W1517">
        <v>2.1</v>
      </c>
      <c r="X1517">
        <v>0</v>
      </c>
    </row>
    <row r="1518" spans="1:24" x14ac:dyDescent="0.35">
      <c r="A1518" t="str">
        <f t="shared" si="5"/>
        <v>ArsenalWatford</v>
      </c>
      <c r="B1518">
        <v>2019</v>
      </c>
      <c r="C1518" s="1">
        <v>44038</v>
      </c>
      <c r="D1518">
        <v>2411</v>
      </c>
      <c r="E1518" t="s">
        <v>23</v>
      </c>
      <c r="F1518" t="s">
        <v>40</v>
      </c>
      <c r="G1518" t="s">
        <v>35</v>
      </c>
      <c r="H1518">
        <v>78.349999999999994</v>
      </c>
      <c r="I1518">
        <v>69.73</v>
      </c>
      <c r="J1518">
        <v>0.40899999999999997</v>
      </c>
      <c r="K1518">
        <v>0.3221</v>
      </c>
      <c r="L1518">
        <v>0.26879999999999998</v>
      </c>
      <c r="M1518">
        <v>1.4</v>
      </c>
      <c r="N1518">
        <v>1.21</v>
      </c>
      <c r="O1518">
        <v>0</v>
      </c>
      <c r="P1518">
        <v>100</v>
      </c>
      <c r="Q1518">
        <v>3</v>
      </c>
      <c r="R1518">
        <v>2</v>
      </c>
      <c r="S1518">
        <v>2.0499999999999998</v>
      </c>
      <c r="T1518">
        <v>4.13</v>
      </c>
      <c r="U1518">
        <v>2</v>
      </c>
      <c r="V1518">
        <v>3.02</v>
      </c>
      <c r="W1518">
        <v>3.15</v>
      </c>
      <c r="X1518">
        <v>2.1</v>
      </c>
    </row>
    <row r="1519" spans="1:24" x14ac:dyDescent="0.35">
      <c r="A1519" t="str">
        <f t="shared" si="5"/>
        <v>West Ham UnitedAston Villa</v>
      </c>
      <c r="B1519">
        <v>2019</v>
      </c>
      <c r="C1519" s="1">
        <v>44038</v>
      </c>
      <c r="D1519">
        <v>2411</v>
      </c>
      <c r="E1519" t="s">
        <v>23</v>
      </c>
      <c r="F1519" t="s">
        <v>43</v>
      </c>
      <c r="G1519" t="s">
        <v>52</v>
      </c>
      <c r="H1519">
        <v>70.66</v>
      </c>
      <c r="I1519">
        <v>64.88</v>
      </c>
      <c r="J1519">
        <v>0.39460000000000001</v>
      </c>
      <c r="K1519">
        <v>0.35189999999999999</v>
      </c>
      <c r="L1519">
        <v>0.2535</v>
      </c>
      <c r="M1519">
        <v>1.5</v>
      </c>
      <c r="N1519">
        <v>1.41</v>
      </c>
      <c r="O1519">
        <v>0</v>
      </c>
      <c r="P1519">
        <v>100</v>
      </c>
      <c r="Q1519">
        <v>1</v>
      </c>
      <c r="R1519">
        <v>1</v>
      </c>
      <c r="S1519">
        <v>0.82</v>
      </c>
      <c r="T1519">
        <v>0.94</v>
      </c>
      <c r="U1519">
        <v>0.8</v>
      </c>
      <c r="V1519">
        <v>0.93</v>
      </c>
      <c r="W1519">
        <v>1.05</v>
      </c>
      <c r="X1519">
        <v>1.05</v>
      </c>
    </row>
    <row r="1520" spans="1:24" x14ac:dyDescent="0.35">
      <c r="A1520" t="str">
        <f t="shared" si="5"/>
        <v>NewcastleLiverpool</v>
      </c>
      <c r="B1520">
        <v>2019</v>
      </c>
      <c r="C1520" s="1">
        <v>44038</v>
      </c>
      <c r="D1520">
        <v>2411</v>
      </c>
      <c r="E1520" t="s">
        <v>23</v>
      </c>
      <c r="F1520" t="s">
        <v>46</v>
      </c>
      <c r="G1520" t="s">
        <v>41</v>
      </c>
      <c r="H1520">
        <v>62.56</v>
      </c>
      <c r="I1520">
        <v>91.07</v>
      </c>
      <c r="J1520">
        <v>0.2208</v>
      </c>
      <c r="K1520">
        <v>0.56120000000000003</v>
      </c>
      <c r="L1520">
        <v>0.218</v>
      </c>
      <c r="M1520">
        <v>1.22</v>
      </c>
      <c r="N1520">
        <v>2.0499999999999998</v>
      </c>
      <c r="O1520">
        <v>0</v>
      </c>
      <c r="P1520">
        <v>0</v>
      </c>
      <c r="Q1520">
        <v>1</v>
      </c>
      <c r="R1520">
        <v>3</v>
      </c>
      <c r="S1520">
        <v>0.43</v>
      </c>
      <c r="T1520">
        <v>0.64</v>
      </c>
      <c r="U1520">
        <v>0.05</v>
      </c>
      <c r="V1520">
        <v>1.71</v>
      </c>
      <c r="W1520">
        <v>1.05</v>
      </c>
      <c r="X1520">
        <v>2.66</v>
      </c>
    </row>
    <row r="1521" spans="1:24" x14ac:dyDescent="0.35">
      <c r="A1521" t="str">
        <f t="shared" si="5"/>
        <v>Crystal PalaceTottenham Hotspur</v>
      </c>
      <c r="B1521">
        <v>2019</v>
      </c>
      <c r="C1521" s="1">
        <v>44038</v>
      </c>
      <c r="D1521">
        <v>2411</v>
      </c>
      <c r="E1521" t="s">
        <v>23</v>
      </c>
      <c r="F1521" t="s">
        <v>30</v>
      </c>
      <c r="G1521" t="s">
        <v>29</v>
      </c>
      <c r="H1521">
        <v>67.39</v>
      </c>
      <c r="I1521">
        <v>77.180000000000007</v>
      </c>
      <c r="J1521">
        <v>0.31819999999999998</v>
      </c>
      <c r="K1521">
        <v>0.40649999999999997</v>
      </c>
      <c r="L1521">
        <v>0.27529999999999999</v>
      </c>
      <c r="M1521">
        <v>1.1599999999999999</v>
      </c>
      <c r="N1521">
        <v>1.35</v>
      </c>
      <c r="O1521">
        <v>0</v>
      </c>
      <c r="P1521">
        <v>0</v>
      </c>
      <c r="Q1521">
        <v>1</v>
      </c>
      <c r="R1521">
        <v>1</v>
      </c>
      <c r="S1521">
        <v>1.18</v>
      </c>
      <c r="T1521">
        <v>0.37</v>
      </c>
      <c r="U1521">
        <v>1.47</v>
      </c>
      <c r="V1521">
        <v>0.54</v>
      </c>
      <c r="W1521">
        <v>1.05</v>
      </c>
      <c r="X1521">
        <v>1.05</v>
      </c>
    </row>
    <row r="1522" spans="1:24" x14ac:dyDescent="0.35">
      <c r="A1522" t="str">
        <f t="shared" si="5"/>
        <v>Manchester CityNorwich City</v>
      </c>
      <c r="B1522">
        <v>2019</v>
      </c>
      <c r="C1522" s="1">
        <v>44038</v>
      </c>
      <c r="D1522">
        <v>2411</v>
      </c>
      <c r="E1522" t="s">
        <v>23</v>
      </c>
      <c r="F1522" t="s">
        <v>36</v>
      </c>
      <c r="G1522" t="s">
        <v>50</v>
      </c>
      <c r="H1522">
        <v>95.44</v>
      </c>
      <c r="I1522">
        <v>53.58</v>
      </c>
      <c r="J1522">
        <v>0.71250000000000002</v>
      </c>
      <c r="K1522">
        <v>0.12559999999999999</v>
      </c>
      <c r="L1522">
        <v>0.16189999999999999</v>
      </c>
      <c r="M1522">
        <v>2.69</v>
      </c>
      <c r="N1522">
        <v>1.07</v>
      </c>
      <c r="O1522">
        <v>0</v>
      </c>
      <c r="P1522">
        <v>0</v>
      </c>
      <c r="Q1522">
        <v>5</v>
      </c>
      <c r="R1522">
        <v>0</v>
      </c>
      <c r="S1522">
        <v>3.26</v>
      </c>
      <c r="T1522">
        <v>0.91</v>
      </c>
      <c r="U1522">
        <v>5.23</v>
      </c>
      <c r="V1522">
        <v>0.43</v>
      </c>
      <c r="W1522">
        <v>4.17</v>
      </c>
      <c r="X1522">
        <v>0</v>
      </c>
    </row>
    <row r="1523" spans="1:24" hidden="1" x14ac:dyDescent="0.35">
      <c r="B1523">
        <v>2020</v>
      </c>
      <c r="C1523" s="1">
        <v>44086</v>
      </c>
      <c r="D1523">
        <v>2411</v>
      </c>
      <c r="E1523" t="s">
        <v>23</v>
      </c>
      <c r="F1523" t="s">
        <v>48</v>
      </c>
      <c r="G1523" t="s">
        <v>40</v>
      </c>
      <c r="H1523">
        <v>64.180000000000007</v>
      </c>
      <c r="I1523">
        <v>77.16</v>
      </c>
      <c r="J1523">
        <v>0.28170000000000001</v>
      </c>
      <c r="K1523">
        <v>0.46079999999999999</v>
      </c>
      <c r="L1523">
        <v>0.25750000000000001</v>
      </c>
      <c r="M1523">
        <v>1.17</v>
      </c>
      <c r="N1523">
        <v>1.56</v>
      </c>
      <c r="O1523">
        <v>37.299999999999997</v>
      </c>
      <c r="P1523">
        <v>32.6</v>
      </c>
      <c r="Q1523">
        <v>0</v>
      </c>
      <c r="R1523">
        <v>3</v>
      </c>
      <c r="S1523">
        <v>0.14000000000000001</v>
      </c>
      <c r="T1523">
        <v>2.99</v>
      </c>
      <c r="U1523">
        <v>0.27</v>
      </c>
      <c r="V1523">
        <v>1.53</v>
      </c>
      <c r="W1523">
        <v>0</v>
      </c>
      <c r="X1523">
        <v>3.15</v>
      </c>
    </row>
    <row r="1524" spans="1:24" hidden="1" x14ac:dyDescent="0.35">
      <c r="B1524">
        <v>2020</v>
      </c>
      <c r="C1524" s="1">
        <v>44086</v>
      </c>
      <c r="D1524">
        <v>2411</v>
      </c>
      <c r="E1524" t="s">
        <v>23</v>
      </c>
      <c r="F1524" t="s">
        <v>30</v>
      </c>
      <c r="G1524" t="s">
        <v>34</v>
      </c>
      <c r="H1524">
        <v>67.69</v>
      </c>
      <c r="I1524">
        <v>72.48</v>
      </c>
      <c r="J1524">
        <v>0.36980000000000002</v>
      </c>
      <c r="K1524">
        <v>0.35310000000000002</v>
      </c>
      <c r="L1524">
        <v>0.27710000000000001</v>
      </c>
      <c r="M1524">
        <v>1.27</v>
      </c>
      <c r="N1524">
        <v>1.23</v>
      </c>
      <c r="O1524">
        <v>32.1</v>
      </c>
      <c r="P1524">
        <v>18.100000000000001</v>
      </c>
      <c r="Q1524">
        <v>1</v>
      </c>
      <c r="R1524">
        <v>0</v>
      </c>
      <c r="S1524">
        <v>1.51</v>
      </c>
      <c r="T1524">
        <v>1.1599999999999999</v>
      </c>
      <c r="U1524">
        <v>0.94</v>
      </c>
      <c r="V1524">
        <v>1.65</v>
      </c>
      <c r="W1524">
        <v>1.05</v>
      </c>
      <c r="X1524">
        <v>0</v>
      </c>
    </row>
    <row r="1525" spans="1:24" hidden="1" x14ac:dyDescent="0.35">
      <c r="B1525">
        <v>2020</v>
      </c>
      <c r="C1525" s="1">
        <v>44086</v>
      </c>
      <c r="D1525">
        <v>2411</v>
      </c>
      <c r="E1525" t="s">
        <v>23</v>
      </c>
      <c r="F1525" t="s">
        <v>41</v>
      </c>
      <c r="G1525" t="s">
        <v>53</v>
      </c>
      <c r="H1525">
        <v>91.07</v>
      </c>
      <c r="I1525">
        <v>64.09</v>
      </c>
      <c r="J1525">
        <v>0.83579999999999999</v>
      </c>
      <c r="K1525">
        <v>4.3799999999999999E-2</v>
      </c>
      <c r="L1525">
        <v>0.1203</v>
      </c>
      <c r="M1525">
        <v>2.67</v>
      </c>
      <c r="N1525">
        <v>0.47</v>
      </c>
      <c r="O1525">
        <v>55.5</v>
      </c>
      <c r="P1525">
        <v>35.5</v>
      </c>
      <c r="Q1525">
        <v>4</v>
      </c>
      <c r="R1525">
        <v>3</v>
      </c>
      <c r="S1525">
        <v>3.33</v>
      </c>
      <c r="T1525">
        <v>0.37</v>
      </c>
      <c r="U1525">
        <v>3.01</v>
      </c>
      <c r="V1525">
        <v>0.75</v>
      </c>
      <c r="W1525">
        <v>4.2</v>
      </c>
      <c r="X1525">
        <v>3.15</v>
      </c>
    </row>
    <row r="1526" spans="1:24" hidden="1" x14ac:dyDescent="0.35">
      <c r="B1526">
        <v>2020</v>
      </c>
      <c r="C1526" s="1">
        <v>44086</v>
      </c>
      <c r="D1526">
        <v>2411</v>
      </c>
      <c r="E1526" t="s">
        <v>23</v>
      </c>
      <c r="F1526" t="s">
        <v>43</v>
      </c>
      <c r="G1526" t="s">
        <v>46</v>
      </c>
      <c r="H1526">
        <v>70.38</v>
      </c>
      <c r="I1526">
        <v>64.72</v>
      </c>
      <c r="J1526">
        <v>0.48870000000000002</v>
      </c>
      <c r="K1526">
        <v>0.25559999999999999</v>
      </c>
      <c r="L1526">
        <v>0.25580000000000003</v>
      </c>
      <c r="M1526">
        <v>1.6</v>
      </c>
      <c r="N1526">
        <v>1.08</v>
      </c>
      <c r="O1526">
        <v>24.1</v>
      </c>
      <c r="P1526">
        <v>36.1</v>
      </c>
      <c r="Q1526">
        <v>0</v>
      </c>
      <c r="R1526">
        <v>2</v>
      </c>
      <c r="S1526">
        <v>0.97</v>
      </c>
      <c r="T1526">
        <v>1.48</v>
      </c>
      <c r="U1526">
        <v>1.1000000000000001</v>
      </c>
      <c r="V1526">
        <v>1.86</v>
      </c>
      <c r="W1526">
        <v>0</v>
      </c>
      <c r="X1526">
        <v>1.67</v>
      </c>
    </row>
    <row r="1527" spans="1:24" hidden="1" x14ac:dyDescent="0.35">
      <c r="B1527">
        <v>2020</v>
      </c>
      <c r="C1527" s="1">
        <v>44087</v>
      </c>
      <c r="D1527">
        <v>2411</v>
      </c>
      <c r="E1527" t="s">
        <v>23</v>
      </c>
      <c r="F1527" t="s">
        <v>31</v>
      </c>
      <c r="G1527" t="s">
        <v>25</v>
      </c>
      <c r="H1527">
        <v>61.67</v>
      </c>
      <c r="I1527">
        <v>79.02</v>
      </c>
      <c r="J1527">
        <v>0.2392</v>
      </c>
      <c r="K1527">
        <v>0.50129999999999997</v>
      </c>
      <c r="L1527">
        <v>0.2596</v>
      </c>
      <c r="M1527">
        <v>1</v>
      </c>
      <c r="N1527">
        <v>1.57</v>
      </c>
      <c r="O1527">
        <v>38.5</v>
      </c>
      <c r="P1527">
        <v>38.299999999999997</v>
      </c>
      <c r="Q1527">
        <v>0</v>
      </c>
      <c r="R1527">
        <v>3</v>
      </c>
      <c r="S1527">
        <v>0.41</v>
      </c>
      <c r="T1527">
        <v>2.85</v>
      </c>
      <c r="U1527">
        <v>0.46</v>
      </c>
      <c r="V1527">
        <v>0.66</v>
      </c>
      <c r="W1527">
        <v>0</v>
      </c>
      <c r="X1527">
        <v>2.72</v>
      </c>
    </row>
    <row r="1528" spans="1:24" hidden="1" x14ac:dyDescent="0.35">
      <c r="B1528">
        <v>2020</v>
      </c>
      <c r="C1528" s="1">
        <v>44087</v>
      </c>
      <c r="D1528">
        <v>2411</v>
      </c>
      <c r="E1528" t="s">
        <v>23</v>
      </c>
      <c r="F1528" t="s">
        <v>29</v>
      </c>
      <c r="G1528" t="s">
        <v>28</v>
      </c>
      <c r="H1528">
        <v>78.510000000000005</v>
      </c>
      <c r="I1528">
        <v>74.05</v>
      </c>
      <c r="J1528">
        <v>0.50239999999999996</v>
      </c>
      <c r="K1528">
        <v>0.24429999999999999</v>
      </c>
      <c r="L1528">
        <v>0.25330000000000003</v>
      </c>
      <c r="M1528">
        <v>1.63</v>
      </c>
      <c r="N1528">
        <v>1.06</v>
      </c>
      <c r="O1528">
        <v>42.9</v>
      </c>
      <c r="P1528">
        <v>25.6</v>
      </c>
      <c r="Q1528">
        <v>0</v>
      </c>
      <c r="R1528">
        <v>1</v>
      </c>
      <c r="S1528">
        <v>1.03</v>
      </c>
      <c r="T1528">
        <v>1.1100000000000001</v>
      </c>
      <c r="U1528">
        <v>1.32</v>
      </c>
      <c r="V1528">
        <v>1.1100000000000001</v>
      </c>
      <c r="W1528">
        <v>0</v>
      </c>
      <c r="X1528">
        <v>1.05</v>
      </c>
    </row>
    <row r="1529" spans="1:24" hidden="1" x14ac:dyDescent="0.35">
      <c r="B1529">
        <v>2020</v>
      </c>
      <c r="C1529" s="1">
        <v>44088</v>
      </c>
      <c r="D1529">
        <v>2411</v>
      </c>
      <c r="E1529" t="s">
        <v>23</v>
      </c>
      <c r="F1529" t="s">
        <v>51</v>
      </c>
      <c r="G1529" t="s">
        <v>49</v>
      </c>
      <c r="H1529">
        <v>69.2</v>
      </c>
      <c r="I1529">
        <v>78</v>
      </c>
      <c r="J1529">
        <v>0.3155</v>
      </c>
      <c r="K1529">
        <v>0.38200000000000001</v>
      </c>
      <c r="L1529">
        <v>0.3024</v>
      </c>
      <c r="M1529">
        <v>1.01</v>
      </c>
      <c r="N1529">
        <v>1.1399999999999999</v>
      </c>
      <c r="O1529">
        <v>29.2</v>
      </c>
      <c r="P1529">
        <v>32</v>
      </c>
      <c r="Q1529">
        <v>0</v>
      </c>
      <c r="R1529">
        <v>2</v>
      </c>
      <c r="S1529">
        <v>0.94</v>
      </c>
      <c r="T1529">
        <v>1.8</v>
      </c>
      <c r="U1529">
        <v>1.75</v>
      </c>
      <c r="V1529">
        <v>0.95</v>
      </c>
      <c r="W1529">
        <v>0</v>
      </c>
      <c r="X1529">
        <v>2.1</v>
      </c>
    </row>
    <row r="1530" spans="1:24" hidden="1" x14ac:dyDescent="0.35">
      <c r="B1530">
        <v>2020</v>
      </c>
      <c r="C1530" s="1">
        <v>44088</v>
      </c>
      <c r="D1530">
        <v>2411</v>
      </c>
      <c r="E1530" t="s">
        <v>23</v>
      </c>
      <c r="F1530" t="s">
        <v>45</v>
      </c>
      <c r="G1530" t="s">
        <v>42</v>
      </c>
      <c r="H1530">
        <v>68.03</v>
      </c>
      <c r="I1530">
        <v>85.37</v>
      </c>
      <c r="J1530">
        <v>0.19439999999999999</v>
      </c>
      <c r="K1530">
        <v>0.5806</v>
      </c>
      <c r="L1530">
        <v>0.22489999999999999</v>
      </c>
      <c r="M1530">
        <v>1.02</v>
      </c>
      <c r="N1530">
        <v>1.93</v>
      </c>
      <c r="O1530">
        <v>28.3</v>
      </c>
      <c r="P1530">
        <v>61</v>
      </c>
      <c r="Q1530">
        <v>1</v>
      </c>
      <c r="R1530">
        <v>3</v>
      </c>
      <c r="S1530">
        <v>1.85</v>
      </c>
      <c r="T1530">
        <v>1.24</v>
      </c>
      <c r="U1530">
        <v>0.98</v>
      </c>
      <c r="V1530">
        <v>0.56999999999999995</v>
      </c>
      <c r="W1530">
        <v>1.05</v>
      </c>
      <c r="X1530">
        <v>3.15</v>
      </c>
    </row>
    <row r="1531" spans="1:24" hidden="1" x14ac:dyDescent="0.35">
      <c r="B1531">
        <v>2020</v>
      </c>
      <c r="C1531" s="1">
        <v>44093</v>
      </c>
      <c r="D1531">
        <v>2411</v>
      </c>
      <c r="E1531" t="s">
        <v>23</v>
      </c>
      <c r="F1531" t="s">
        <v>28</v>
      </c>
      <c r="G1531" t="s">
        <v>31</v>
      </c>
      <c r="H1531">
        <v>74.959999999999994</v>
      </c>
      <c r="I1531">
        <v>60.24</v>
      </c>
      <c r="J1531">
        <v>0.56620000000000004</v>
      </c>
      <c r="K1531">
        <v>0.1817</v>
      </c>
      <c r="L1531">
        <v>0.252</v>
      </c>
      <c r="M1531">
        <v>1.64</v>
      </c>
      <c r="N1531">
        <v>0.81</v>
      </c>
      <c r="O1531">
        <v>23.9</v>
      </c>
      <c r="P1531">
        <v>41.9</v>
      </c>
      <c r="Q1531">
        <v>5</v>
      </c>
      <c r="R1531">
        <v>2</v>
      </c>
      <c r="S1531">
        <v>3.48</v>
      </c>
      <c r="T1531">
        <v>0.35</v>
      </c>
      <c r="U1531">
        <v>2.5099999999999998</v>
      </c>
      <c r="V1531">
        <v>0.82</v>
      </c>
      <c r="W1531">
        <v>4.62</v>
      </c>
      <c r="X1531">
        <v>2.1</v>
      </c>
    </row>
    <row r="1532" spans="1:24" hidden="1" x14ac:dyDescent="0.35">
      <c r="B1532">
        <v>2020</v>
      </c>
      <c r="C1532" s="1">
        <v>44093</v>
      </c>
      <c r="D1532">
        <v>2411</v>
      </c>
      <c r="E1532" t="s">
        <v>23</v>
      </c>
      <c r="F1532" t="s">
        <v>53</v>
      </c>
      <c r="G1532" t="s">
        <v>48</v>
      </c>
      <c r="H1532">
        <v>64.27</v>
      </c>
      <c r="I1532">
        <v>61.96</v>
      </c>
      <c r="J1532">
        <v>0.45090000000000002</v>
      </c>
      <c r="K1532">
        <v>0.27829999999999999</v>
      </c>
      <c r="L1532">
        <v>0.27079999999999999</v>
      </c>
      <c r="M1532">
        <v>1.44</v>
      </c>
      <c r="N1532">
        <v>1.07</v>
      </c>
      <c r="O1532">
        <v>40.6</v>
      </c>
      <c r="P1532">
        <v>41.2</v>
      </c>
      <c r="Q1532">
        <v>4</v>
      </c>
      <c r="R1532">
        <v>3</v>
      </c>
      <c r="S1532">
        <v>1.32</v>
      </c>
      <c r="T1532">
        <v>1.59</v>
      </c>
      <c r="U1532">
        <v>0.87</v>
      </c>
      <c r="V1532">
        <v>1.08</v>
      </c>
      <c r="W1532">
        <v>4.2</v>
      </c>
      <c r="X1532">
        <v>3.15</v>
      </c>
    </row>
    <row r="1533" spans="1:24" hidden="1" x14ac:dyDescent="0.35">
      <c r="B1533">
        <v>2020</v>
      </c>
      <c r="C1533" s="1">
        <v>44093</v>
      </c>
      <c r="D1533">
        <v>2411</v>
      </c>
      <c r="E1533" t="s">
        <v>23</v>
      </c>
      <c r="F1533" t="s">
        <v>39</v>
      </c>
      <c r="G1533" t="s">
        <v>30</v>
      </c>
      <c r="H1533">
        <v>86.83</v>
      </c>
      <c r="I1533">
        <v>68.03</v>
      </c>
      <c r="J1533">
        <v>0.7097</v>
      </c>
      <c r="K1533">
        <v>9.6299999999999997E-2</v>
      </c>
      <c r="L1533">
        <v>0.19409999999999999</v>
      </c>
      <c r="M1533">
        <v>2.04</v>
      </c>
      <c r="N1533">
        <v>0.6</v>
      </c>
      <c r="O1533">
        <v>63</v>
      </c>
      <c r="P1533">
        <v>22</v>
      </c>
      <c r="Q1533">
        <v>1</v>
      </c>
      <c r="R1533">
        <v>3</v>
      </c>
      <c r="S1533">
        <v>1.29</v>
      </c>
      <c r="T1533">
        <v>1.92</v>
      </c>
      <c r="U1533">
        <v>2.21</v>
      </c>
      <c r="V1533">
        <v>0.57999999999999996</v>
      </c>
      <c r="W1533">
        <v>1.05</v>
      </c>
      <c r="X1533">
        <v>2.67</v>
      </c>
    </row>
    <row r="1534" spans="1:24" hidden="1" x14ac:dyDescent="0.35">
      <c r="B1534">
        <v>2020</v>
      </c>
      <c r="C1534" s="1">
        <v>44093</v>
      </c>
      <c r="D1534">
        <v>2411</v>
      </c>
      <c r="E1534" t="s">
        <v>23</v>
      </c>
      <c r="F1534" t="s">
        <v>40</v>
      </c>
      <c r="G1534" t="s">
        <v>43</v>
      </c>
      <c r="H1534">
        <v>79.17</v>
      </c>
      <c r="I1534">
        <v>68.77</v>
      </c>
      <c r="J1534">
        <v>0.57069999999999999</v>
      </c>
      <c r="K1534">
        <v>0.20100000000000001</v>
      </c>
      <c r="L1534">
        <v>0.2283</v>
      </c>
      <c r="M1534">
        <v>1.89</v>
      </c>
      <c r="N1534">
        <v>1.03</v>
      </c>
      <c r="O1534">
        <v>42.8</v>
      </c>
      <c r="P1534">
        <v>23.1</v>
      </c>
      <c r="Q1534">
        <v>2</v>
      </c>
      <c r="R1534">
        <v>1</v>
      </c>
      <c r="S1534">
        <v>1.33</v>
      </c>
      <c r="T1534">
        <v>2.15</v>
      </c>
      <c r="U1534">
        <v>2.37</v>
      </c>
      <c r="V1534">
        <v>1.01</v>
      </c>
      <c r="W1534">
        <v>2.1</v>
      </c>
      <c r="X1534">
        <v>1.05</v>
      </c>
    </row>
    <row r="1535" spans="1:24" hidden="1" x14ac:dyDescent="0.35">
      <c r="B1535">
        <v>2020</v>
      </c>
      <c r="C1535" s="1">
        <v>44094</v>
      </c>
      <c r="D1535">
        <v>2411</v>
      </c>
      <c r="E1535" t="s">
        <v>23</v>
      </c>
      <c r="F1535" t="s">
        <v>34</v>
      </c>
      <c r="G1535" t="s">
        <v>29</v>
      </c>
      <c r="H1535">
        <v>72.319999999999993</v>
      </c>
      <c r="I1535">
        <v>77.91</v>
      </c>
      <c r="J1535">
        <v>0.34949999999999998</v>
      </c>
      <c r="K1535">
        <v>0.38829999999999998</v>
      </c>
      <c r="L1535">
        <v>0.26219999999999999</v>
      </c>
      <c r="M1535">
        <v>1.33</v>
      </c>
      <c r="N1535">
        <v>1.41</v>
      </c>
      <c r="O1535">
        <v>19.5</v>
      </c>
      <c r="P1535">
        <v>31.7</v>
      </c>
      <c r="Q1535">
        <v>2</v>
      </c>
      <c r="R1535">
        <v>5</v>
      </c>
      <c r="S1535">
        <v>2.29</v>
      </c>
      <c r="T1535">
        <v>2.92</v>
      </c>
      <c r="U1535">
        <v>0.7</v>
      </c>
      <c r="V1535">
        <v>0.85</v>
      </c>
      <c r="W1535">
        <v>2.1</v>
      </c>
      <c r="X1535">
        <v>4.9000000000000004</v>
      </c>
    </row>
    <row r="1536" spans="1:24" hidden="1" x14ac:dyDescent="0.35">
      <c r="B1536">
        <v>2020</v>
      </c>
      <c r="C1536" s="1">
        <v>44094</v>
      </c>
      <c r="D1536">
        <v>2411</v>
      </c>
      <c r="E1536" t="s">
        <v>23</v>
      </c>
      <c r="F1536" t="s">
        <v>46</v>
      </c>
      <c r="G1536" t="s">
        <v>45</v>
      </c>
      <c r="H1536">
        <v>66.459999999999994</v>
      </c>
      <c r="I1536">
        <v>68.459999999999994</v>
      </c>
      <c r="J1536">
        <v>0.39500000000000002</v>
      </c>
      <c r="K1536">
        <v>0.32350000000000001</v>
      </c>
      <c r="L1536">
        <v>0.28149999999999997</v>
      </c>
      <c r="M1536">
        <v>1.28</v>
      </c>
      <c r="N1536">
        <v>1.1299999999999999</v>
      </c>
      <c r="O1536">
        <v>29.3</v>
      </c>
      <c r="P1536">
        <v>32.6</v>
      </c>
      <c r="Q1536">
        <v>0</v>
      </c>
      <c r="R1536">
        <v>3</v>
      </c>
      <c r="S1536">
        <v>0.56000000000000005</v>
      </c>
      <c r="T1536">
        <v>1.88</v>
      </c>
      <c r="U1536">
        <v>0.62</v>
      </c>
      <c r="V1536">
        <v>0.45</v>
      </c>
      <c r="W1536">
        <v>0</v>
      </c>
      <c r="X1536">
        <v>2.81</v>
      </c>
    </row>
    <row r="1537" spans="2:24" hidden="1" x14ac:dyDescent="0.35">
      <c r="B1537">
        <v>2020</v>
      </c>
      <c r="C1537" s="1">
        <v>44094</v>
      </c>
      <c r="D1537">
        <v>2411</v>
      </c>
      <c r="E1537" t="s">
        <v>23</v>
      </c>
      <c r="F1537" t="s">
        <v>42</v>
      </c>
      <c r="G1537" t="s">
        <v>41</v>
      </c>
      <c r="H1537">
        <v>85.04</v>
      </c>
      <c r="I1537">
        <v>90.62</v>
      </c>
      <c r="J1537">
        <v>0.33589999999999998</v>
      </c>
      <c r="K1537">
        <v>0.43140000000000001</v>
      </c>
      <c r="L1537">
        <v>0.23269999999999999</v>
      </c>
      <c r="M1537">
        <v>1.56</v>
      </c>
      <c r="N1537">
        <v>1.79</v>
      </c>
      <c r="O1537">
        <v>60.6</v>
      </c>
      <c r="P1537">
        <v>58.9</v>
      </c>
      <c r="Q1537">
        <v>0</v>
      </c>
      <c r="R1537">
        <v>2</v>
      </c>
      <c r="S1537">
        <v>0.94</v>
      </c>
      <c r="T1537">
        <v>1.74</v>
      </c>
      <c r="U1537">
        <v>0.44</v>
      </c>
      <c r="V1537">
        <v>2.61</v>
      </c>
      <c r="W1537">
        <v>0</v>
      </c>
      <c r="X1537">
        <v>1.68</v>
      </c>
    </row>
    <row r="1538" spans="2:24" hidden="1" x14ac:dyDescent="0.35">
      <c r="B1538">
        <v>2020</v>
      </c>
      <c r="C1538" s="1">
        <v>44094</v>
      </c>
      <c r="D1538">
        <v>2411</v>
      </c>
      <c r="E1538" t="s">
        <v>23</v>
      </c>
      <c r="F1538" t="s">
        <v>25</v>
      </c>
      <c r="G1538" t="s">
        <v>32</v>
      </c>
      <c r="H1538">
        <v>80.34</v>
      </c>
      <c r="I1538">
        <v>69.08</v>
      </c>
      <c r="J1538">
        <v>0.57840000000000003</v>
      </c>
      <c r="K1538">
        <v>0.17610000000000001</v>
      </c>
      <c r="L1538">
        <v>0.2455</v>
      </c>
      <c r="M1538">
        <v>1.69</v>
      </c>
      <c r="N1538">
        <v>0.81</v>
      </c>
      <c r="O1538">
        <v>46.8</v>
      </c>
      <c r="P1538">
        <v>27.8</v>
      </c>
      <c r="Q1538">
        <v>4</v>
      </c>
      <c r="R1538">
        <v>2</v>
      </c>
      <c r="S1538">
        <v>1.03</v>
      </c>
      <c r="T1538">
        <v>1.71</v>
      </c>
      <c r="U1538">
        <v>2.23</v>
      </c>
      <c r="V1538">
        <v>1.7</v>
      </c>
      <c r="W1538">
        <v>3.99</v>
      </c>
      <c r="X1538">
        <v>2.1</v>
      </c>
    </row>
    <row r="1539" spans="2:24" hidden="1" x14ac:dyDescent="0.35">
      <c r="B1539">
        <v>2020</v>
      </c>
      <c r="C1539" s="1">
        <v>44095</v>
      </c>
      <c r="D1539">
        <v>2411</v>
      </c>
      <c r="E1539" t="s">
        <v>23</v>
      </c>
      <c r="F1539" t="s">
        <v>52</v>
      </c>
      <c r="G1539" t="s">
        <v>51</v>
      </c>
      <c r="H1539">
        <v>66.48</v>
      </c>
      <c r="I1539">
        <v>68.430000000000007</v>
      </c>
      <c r="J1539">
        <v>0.40849999999999997</v>
      </c>
      <c r="K1539">
        <v>0.307</v>
      </c>
      <c r="L1539">
        <v>0.28439999999999999</v>
      </c>
      <c r="M1539">
        <v>1.29</v>
      </c>
      <c r="N1539">
        <v>1.08</v>
      </c>
      <c r="O1539">
        <v>35.1</v>
      </c>
      <c r="P1539">
        <v>34.200000000000003</v>
      </c>
      <c r="Q1539">
        <v>1</v>
      </c>
      <c r="R1539">
        <v>0</v>
      </c>
      <c r="S1539">
        <v>0.94</v>
      </c>
      <c r="T1539">
        <v>0.9</v>
      </c>
      <c r="U1539">
        <v>2.54</v>
      </c>
      <c r="V1539">
        <v>0.32</v>
      </c>
      <c r="W1539">
        <v>0.84</v>
      </c>
      <c r="X1539">
        <v>0</v>
      </c>
    </row>
    <row r="1540" spans="2:24" hidden="1" x14ac:dyDescent="0.35">
      <c r="B1540">
        <v>2020</v>
      </c>
      <c r="C1540" s="1">
        <v>44095</v>
      </c>
      <c r="D1540">
        <v>2411</v>
      </c>
      <c r="E1540" t="s">
        <v>23</v>
      </c>
      <c r="F1540" t="s">
        <v>49</v>
      </c>
      <c r="G1540" t="s">
        <v>36</v>
      </c>
      <c r="H1540">
        <v>78.540000000000006</v>
      </c>
      <c r="I1540">
        <v>94.11</v>
      </c>
      <c r="J1540">
        <v>0.15490000000000001</v>
      </c>
      <c r="K1540">
        <v>0.6341</v>
      </c>
      <c r="L1540">
        <v>0.21099999999999999</v>
      </c>
      <c r="M1540">
        <v>0.89</v>
      </c>
      <c r="N1540">
        <v>2.0299999999999998</v>
      </c>
      <c r="O1540">
        <v>42.6</v>
      </c>
      <c r="P1540">
        <v>76</v>
      </c>
      <c r="Q1540">
        <v>1</v>
      </c>
      <c r="R1540">
        <v>3</v>
      </c>
      <c r="S1540">
        <v>0.76</v>
      </c>
      <c r="T1540">
        <v>2.19</v>
      </c>
      <c r="U1540">
        <v>0.9</v>
      </c>
      <c r="V1540">
        <v>1.22</v>
      </c>
      <c r="W1540">
        <v>1.05</v>
      </c>
      <c r="X1540">
        <v>2.63</v>
      </c>
    </row>
    <row r="1541" spans="2:24" hidden="1" x14ac:dyDescent="0.35">
      <c r="B1541">
        <v>2020</v>
      </c>
      <c r="C1541" s="1">
        <v>44100</v>
      </c>
      <c r="D1541">
        <v>2411</v>
      </c>
      <c r="E1541" t="s">
        <v>23</v>
      </c>
      <c r="F1541" t="s">
        <v>45</v>
      </c>
      <c r="G1541" t="s">
        <v>39</v>
      </c>
      <c r="H1541">
        <v>70.260000000000005</v>
      </c>
      <c r="I1541">
        <v>85.38</v>
      </c>
      <c r="J1541">
        <v>0.2135</v>
      </c>
      <c r="K1541">
        <v>0.5444</v>
      </c>
      <c r="L1541">
        <v>0.24210000000000001</v>
      </c>
      <c r="M1541">
        <v>1</v>
      </c>
      <c r="N1541">
        <v>1.75</v>
      </c>
      <c r="O1541">
        <v>20.9</v>
      </c>
      <c r="P1541">
        <v>55.4</v>
      </c>
      <c r="Q1541">
        <v>2</v>
      </c>
      <c r="R1541">
        <v>3</v>
      </c>
      <c r="S1541">
        <v>2.98</v>
      </c>
      <c r="T1541">
        <v>1.6</v>
      </c>
      <c r="U1541">
        <v>2.38</v>
      </c>
      <c r="V1541">
        <v>1.1599999999999999</v>
      </c>
      <c r="W1541">
        <v>2.1</v>
      </c>
      <c r="X1541">
        <v>3.15</v>
      </c>
    </row>
    <row r="1542" spans="2:24" hidden="1" x14ac:dyDescent="0.35">
      <c r="B1542">
        <v>2020</v>
      </c>
      <c r="C1542" s="1">
        <v>44100</v>
      </c>
      <c r="D1542">
        <v>2411</v>
      </c>
      <c r="E1542" t="s">
        <v>23</v>
      </c>
      <c r="F1542" t="s">
        <v>30</v>
      </c>
      <c r="G1542" t="s">
        <v>28</v>
      </c>
      <c r="H1542">
        <v>69.709999999999994</v>
      </c>
      <c r="I1542">
        <v>75.8</v>
      </c>
      <c r="J1542">
        <v>0.33019999999999999</v>
      </c>
      <c r="K1542">
        <v>0.39279999999999998</v>
      </c>
      <c r="L1542">
        <v>0.27700000000000002</v>
      </c>
      <c r="M1542">
        <v>1.18</v>
      </c>
      <c r="N1542">
        <v>1.31</v>
      </c>
      <c r="O1542">
        <v>17.899999999999999</v>
      </c>
      <c r="P1542">
        <v>34.9</v>
      </c>
      <c r="Q1542">
        <v>1</v>
      </c>
      <c r="R1542">
        <v>2</v>
      </c>
      <c r="S1542">
        <v>0.7</v>
      </c>
      <c r="T1542">
        <v>2.38</v>
      </c>
      <c r="U1542">
        <v>1</v>
      </c>
      <c r="V1542">
        <v>0.97</v>
      </c>
      <c r="W1542">
        <v>1.05</v>
      </c>
      <c r="X1542">
        <v>2.1</v>
      </c>
    </row>
    <row r="1543" spans="2:24" hidden="1" x14ac:dyDescent="0.35">
      <c r="B1543">
        <v>2020</v>
      </c>
      <c r="C1543" s="1">
        <v>44100</v>
      </c>
      <c r="D1543">
        <v>2411</v>
      </c>
      <c r="E1543" t="s">
        <v>23</v>
      </c>
      <c r="F1543" t="s">
        <v>31</v>
      </c>
      <c r="G1543" t="s">
        <v>42</v>
      </c>
      <c r="H1543">
        <v>58.24</v>
      </c>
      <c r="I1543">
        <v>84.16</v>
      </c>
      <c r="J1543">
        <v>0.15279999999999999</v>
      </c>
      <c r="K1543">
        <v>0.64429999999999998</v>
      </c>
      <c r="L1543">
        <v>0.2029</v>
      </c>
      <c r="M1543">
        <v>0.93</v>
      </c>
      <c r="N1543">
        <v>2.13</v>
      </c>
      <c r="O1543">
        <v>43.5</v>
      </c>
      <c r="P1543">
        <v>55.3</v>
      </c>
      <c r="Q1543">
        <v>3</v>
      </c>
      <c r="R1543">
        <v>3</v>
      </c>
      <c r="S1543">
        <v>0.79</v>
      </c>
      <c r="T1543">
        <v>2.4900000000000002</v>
      </c>
      <c r="U1543">
        <v>0.75</v>
      </c>
      <c r="V1543">
        <v>2.27</v>
      </c>
      <c r="W1543">
        <v>3.15</v>
      </c>
      <c r="X1543">
        <v>3.15</v>
      </c>
    </row>
    <row r="1544" spans="2:24" hidden="1" x14ac:dyDescent="0.35">
      <c r="B1544">
        <v>2020</v>
      </c>
      <c r="C1544" s="1">
        <v>44100</v>
      </c>
      <c r="D1544">
        <v>2411</v>
      </c>
      <c r="E1544" t="s">
        <v>23</v>
      </c>
      <c r="F1544" t="s">
        <v>32</v>
      </c>
      <c r="G1544" t="s">
        <v>34</v>
      </c>
      <c r="H1544">
        <v>69.22</v>
      </c>
      <c r="I1544">
        <v>70.94</v>
      </c>
      <c r="J1544">
        <v>0.40479999999999999</v>
      </c>
      <c r="K1544">
        <v>0.33210000000000001</v>
      </c>
      <c r="L1544">
        <v>0.2631</v>
      </c>
      <c r="M1544">
        <v>1.44</v>
      </c>
      <c r="N1544">
        <v>1.28</v>
      </c>
      <c r="O1544">
        <v>31.6</v>
      </c>
      <c r="P1544">
        <v>24.9</v>
      </c>
      <c r="Q1544">
        <v>0</v>
      </c>
      <c r="R1544">
        <v>1</v>
      </c>
      <c r="S1544">
        <v>0.47</v>
      </c>
      <c r="T1544">
        <v>0.7</v>
      </c>
      <c r="U1544">
        <v>1.32</v>
      </c>
      <c r="V1544">
        <v>0.79</v>
      </c>
      <c r="W1544">
        <v>0</v>
      </c>
      <c r="X1544">
        <v>1.05</v>
      </c>
    </row>
    <row r="1545" spans="2:24" hidden="1" x14ac:dyDescent="0.35">
      <c r="B1545">
        <v>2020</v>
      </c>
      <c r="C1545" s="1">
        <v>44101</v>
      </c>
      <c r="D1545">
        <v>2411</v>
      </c>
      <c r="E1545" t="s">
        <v>23</v>
      </c>
      <c r="F1545" t="s">
        <v>51</v>
      </c>
      <c r="G1545" t="s">
        <v>53</v>
      </c>
      <c r="H1545">
        <v>67.59</v>
      </c>
      <c r="I1545">
        <v>63.59</v>
      </c>
      <c r="J1545">
        <v>0.44540000000000002</v>
      </c>
      <c r="K1545">
        <v>0.27929999999999999</v>
      </c>
      <c r="L1545">
        <v>0.27539999999999998</v>
      </c>
      <c r="M1545">
        <v>1.4</v>
      </c>
      <c r="N1545">
        <v>1.05</v>
      </c>
      <c r="O1545">
        <v>40.4</v>
      </c>
      <c r="P1545">
        <v>39.799999999999997</v>
      </c>
      <c r="Q1545">
        <v>0</v>
      </c>
      <c r="R1545">
        <v>1</v>
      </c>
      <c r="S1545">
        <v>1.6</v>
      </c>
      <c r="T1545">
        <v>1.29</v>
      </c>
      <c r="U1545">
        <v>1.8</v>
      </c>
      <c r="V1545">
        <v>1.7</v>
      </c>
      <c r="W1545">
        <v>0</v>
      </c>
      <c r="X1545">
        <v>1.05</v>
      </c>
    </row>
    <row r="1546" spans="2:24" hidden="1" x14ac:dyDescent="0.35">
      <c r="B1546">
        <v>2020</v>
      </c>
      <c r="C1546" s="1">
        <v>44101</v>
      </c>
      <c r="D1546">
        <v>2411</v>
      </c>
      <c r="E1546" t="s">
        <v>23</v>
      </c>
      <c r="F1546" t="s">
        <v>29</v>
      </c>
      <c r="G1546" t="s">
        <v>46</v>
      </c>
      <c r="H1546">
        <v>78.56</v>
      </c>
      <c r="I1546">
        <v>64.78</v>
      </c>
      <c r="J1546">
        <v>0.60360000000000003</v>
      </c>
      <c r="K1546">
        <v>0.16769999999999999</v>
      </c>
      <c r="L1546">
        <v>0.2288</v>
      </c>
      <c r="M1546">
        <v>1.85</v>
      </c>
      <c r="N1546">
        <v>0.86</v>
      </c>
      <c r="O1546">
        <v>39.4</v>
      </c>
      <c r="P1546">
        <v>32</v>
      </c>
      <c r="Q1546">
        <v>1</v>
      </c>
      <c r="R1546">
        <v>1</v>
      </c>
      <c r="S1546">
        <v>3.64</v>
      </c>
      <c r="T1546">
        <v>0.98</v>
      </c>
      <c r="U1546">
        <v>2.35</v>
      </c>
      <c r="V1546">
        <v>0.64</v>
      </c>
      <c r="W1546">
        <v>1.05</v>
      </c>
      <c r="X1546">
        <v>1.05</v>
      </c>
    </row>
    <row r="1547" spans="2:24" hidden="1" x14ac:dyDescent="0.35">
      <c r="B1547">
        <v>2020</v>
      </c>
      <c r="C1547" s="1">
        <v>44101</v>
      </c>
      <c r="D1547">
        <v>2411</v>
      </c>
      <c r="E1547" t="s">
        <v>23</v>
      </c>
      <c r="F1547" t="s">
        <v>36</v>
      </c>
      <c r="G1547" t="s">
        <v>25</v>
      </c>
      <c r="H1547">
        <v>94.16</v>
      </c>
      <c r="I1547">
        <v>79.59</v>
      </c>
      <c r="J1547">
        <v>0.74250000000000005</v>
      </c>
      <c r="K1547">
        <v>9.5699999999999993E-2</v>
      </c>
      <c r="L1547">
        <v>0.1618</v>
      </c>
      <c r="M1547">
        <v>2.48</v>
      </c>
      <c r="N1547">
        <v>0.77</v>
      </c>
      <c r="O1547">
        <v>80.8</v>
      </c>
      <c r="P1547">
        <v>54.1</v>
      </c>
      <c r="Q1547">
        <v>2</v>
      </c>
      <c r="R1547">
        <v>5</v>
      </c>
      <c r="S1547">
        <v>1.4</v>
      </c>
      <c r="T1547">
        <v>2.98</v>
      </c>
      <c r="U1547">
        <v>1.37</v>
      </c>
      <c r="V1547">
        <v>0.41</v>
      </c>
      <c r="W1547">
        <v>2.1</v>
      </c>
      <c r="X1547">
        <v>4.63</v>
      </c>
    </row>
    <row r="1548" spans="2:24" hidden="1" x14ac:dyDescent="0.35">
      <c r="B1548">
        <v>2020</v>
      </c>
      <c r="C1548" s="1">
        <v>44101</v>
      </c>
      <c r="D1548">
        <v>2411</v>
      </c>
      <c r="E1548" t="s">
        <v>23</v>
      </c>
      <c r="F1548" t="s">
        <v>43</v>
      </c>
      <c r="G1548" t="s">
        <v>49</v>
      </c>
      <c r="H1548">
        <v>69.010000000000005</v>
      </c>
      <c r="I1548">
        <v>78.459999999999994</v>
      </c>
      <c r="J1548">
        <v>0.33239999999999997</v>
      </c>
      <c r="K1548">
        <v>0.39329999999999998</v>
      </c>
      <c r="L1548">
        <v>0.27429999999999999</v>
      </c>
      <c r="M1548">
        <v>1.2</v>
      </c>
      <c r="N1548">
        <v>1.33</v>
      </c>
      <c r="O1548">
        <v>30.4</v>
      </c>
      <c r="P1548">
        <v>33.200000000000003</v>
      </c>
      <c r="Q1548">
        <v>4</v>
      </c>
      <c r="R1548">
        <v>0</v>
      </c>
      <c r="S1548">
        <v>2.95</v>
      </c>
      <c r="T1548">
        <v>0.47</v>
      </c>
      <c r="U1548">
        <v>1.04</v>
      </c>
      <c r="V1548">
        <v>1.01</v>
      </c>
      <c r="W1548">
        <v>3.68</v>
      </c>
      <c r="X1548">
        <v>0</v>
      </c>
    </row>
    <row r="1549" spans="2:24" hidden="1" x14ac:dyDescent="0.35">
      <c r="B1549">
        <v>2020</v>
      </c>
      <c r="C1549" s="1">
        <v>44102</v>
      </c>
      <c r="D1549">
        <v>2411</v>
      </c>
      <c r="E1549" t="s">
        <v>23</v>
      </c>
      <c r="F1549" t="s">
        <v>48</v>
      </c>
      <c r="G1549" t="s">
        <v>52</v>
      </c>
      <c r="H1549">
        <v>61.8</v>
      </c>
      <c r="I1549">
        <v>67.61</v>
      </c>
      <c r="J1549">
        <v>0.373</v>
      </c>
      <c r="K1549">
        <v>0.35210000000000002</v>
      </c>
      <c r="L1549">
        <v>0.27479999999999999</v>
      </c>
      <c r="M1549">
        <v>1.29</v>
      </c>
      <c r="N1549">
        <v>1.24</v>
      </c>
      <c r="O1549">
        <v>42.4</v>
      </c>
      <c r="P1549">
        <v>32.9</v>
      </c>
      <c r="Q1549">
        <v>0</v>
      </c>
      <c r="R1549">
        <v>3</v>
      </c>
      <c r="S1549">
        <v>0.63</v>
      </c>
      <c r="T1549">
        <v>2.0299999999999998</v>
      </c>
      <c r="U1549">
        <v>2.12</v>
      </c>
      <c r="V1549">
        <v>1.9</v>
      </c>
      <c r="W1549">
        <v>0</v>
      </c>
      <c r="X1549">
        <v>3.15</v>
      </c>
    </row>
    <row r="1550" spans="2:24" hidden="1" x14ac:dyDescent="0.35">
      <c r="B1550">
        <v>2020</v>
      </c>
      <c r="C1550" s="1">
        <v>44102</v>
      </c>
      <c r="D1550">
        <v>2411</v>
      </c>
      <c r="E1550" t="s">
        <v>23</v>
      </c>
      <c r="F1550" t="s">
        <v>41</v>
      </c>
      <c r="G1550" t="s">
        <v>40</v>
      </c>
      <c r="H1550">
        <v>91.38</v>
      </c>
      <c r="I1550">
        <v>78.83</v>
      </c>
      <c r="J1550">
        <v>0.66</v>
      </c>
      <c r="K1550">
        <v>0.14680000000000001</v>
      </c>
      <c r="L1550">
        <v>0.19320000000000001</v>
      </c>
      <c r="M1550">
        <v>2.25</v>
      </c>
      <c r="N1550">
        <v>0.96</v>
      </c>
      <c r="O1550">
        <v>65</v>
      </c>
      <c r="P1550">
        <v>46.1</v>
      </c>
      <c r="Q1550">
        <v>3</v>
      </c>
      <c r="R1550">
        <v>1</v>
      </c>
      <c r="S1550">
        <v>2.88</v>
      </c>
      <c r="T1550">
        <v>1.45</v>
      </c>
      <c r="U1550">
        <v>1.68</v>
      </c>
      <c r="V1550">
        <v>0.56000000000000005</v>
      </c>
      <c r="W1550">
        <v>2.69</v>
      </c>
      <c r="X1550">
        <v>1.05</v>
      </c>
    </row>
    <row r="1551" spans="2:24" hidden="1" x14ac:dyDescent="0.35">
      <c r="B1551">
        <v>2020</v>
      </c>
      <c r="C1551" s="1">
        <v>44107</v>
      </c>
      <c r="D1551">
        <v>2411</v>
      </c>
      <c r="E1551" t="s">
        <v>23</v>
      </c>
      <c r="F1551" t="s">
        <v>42</v>
      </c>
      <c r="G1551" t="s">
        <v>30</v>
      </c>
      <c r="H1551">
        <v>83.65</v>
      </c>
      <c r="I1551">
        <v>68.75</v>
      </c>
      <c r="J1551">
        <v>0.67330000000000001</v>
      </c>
      <c r="K1551">
        <v>0.12720000000000001</v>
      </c>
      <c r="L1551">
        <v>0.19950000000000001</v>
      </c>
      <c r="M1551">
        <v>2.09</v>
      </c>
      <c r="N1551">
        <v>0.78</v>
      </c>
      <c r="O1551">
        <v>62.4</v>
      </c>
      <c r="P1551">
        <v>16</v>
      </c>
      <c r="Q1551">
        <v>4</v>
      </c>
      <c r="R1551">
        <v>0</v>
      </c>
      <c r="S1551">
        <v>2.73</v>
      </c>
      <c r="T1551">
        <v>0.15</v>
      </c>
      <c r="U1551">
        <v>1.22</v>
      </c>
      <c r="V1551">
        <v>0.93</v>
      </c>
      <c r="W1551">
        <v>3.71</v>
      </c>
      <c r="X1551">
        <v>0</v>
      </c>
    </row>
    <row r="1552" spans="2:24" hidden="1" x14ac:dyDescent="0.35">
      <c r="B1552">
        <v>2020</v>
      </c>
      <c r="C1552" s="1">
        <v>44107</v>
      </c>
      <c r="D1552">
        <v>2411</v>
      </c>
      <c r="E1552" t="s">
        <v>23</v>
      </c>
      <c r="F1552" t="s">
        <v>28</v>
      </c>
      <c r="G1552" t="s">
        <v>45</v>
      </c>
      <c r="H1552">
        <v>76.599999999999994</v>
      </c>
      <c r="I1552">
        <v>71.45</v>
      </c>
      <c r="J1552">
        <v>0.50980000000000003</v>
      </c>
      <c r="K1552">
        <v>0.23569999999999999</v>
      </c>
      <c r="L1552">
        <v>0.25440000000000002</v>
      </c>
      <c r="M1552">
        <v>1.62</v>
      </c>
      <c r="N1552">
        <v>1.02</v>
      </c>
      <c r="O1552">
        <v>41.9</v>
      </c>
      <c r="P1552">
        <v>17.7</v>
      </c>
      <c r="Q1552">
        <v>4</v>
      </c>
      <c r="R1552">
        <v>2</v>
      </c>
      <c r="S1552">
        <v>2.87</v>
      </c>
      <c r="T1552">
        <v>1.26</v>
      </c>
      <c r="U1552">
        <v>1.79</v>
      </c>
      <c r="V1552">
        <v>1.64</v>
      </c>
      <c r="W1552">
        <v>4.2</v>
      </c>
      <c r="X1552">
        <v>2.1</v>
      </c>
    </row>
    <row r="1553" spans="2:24" hidden="1" x14ac:dyDescent="0.35">
      <c r="B1553">
        <v>2020</v>
      </c>
      <c r="C1553" s="1">
        <v>44107</v>
      </c>
      <c r="D1553">
        <v>2411</v>
      </c>
      <c r="E1553" t="s">
        <v>23</v>
      </c>
      <c r="F1553" t="s">
        <v>53</v>
      </c>
      <c r="G1553" t="s">
        <v>36</v>
      </c>
      <c r="H1553">
        <v>64.260000000000005</v>
      </c>
      <c r="I1553">
        <v>92.85</v>
      </c>
      <c r="J1553">
        <v>8.7300000000000003E-2</v>
      </c>
      <c r="K1553">
        <v>0.77100000000000002</v>
      </c>
      <c r="L1553">
        <v>0.14169999999999999</v>
      </c>
      <c r="M1553">
        <v>0.85</v>
      </c>
      <c r="N1553">
        <v>2.78</v>
      </c>
      <c r="O1553">
        <v>27.3</v>
      </c>
      <c r="P1553">
        <v>69.2</v>
      </c>
      <c r="Q1553">
        <v>1</v>
      </c>
      <c r="R1553">
        <v>1</v>
      </c>
      <c r="S1553">
        <v>2.5499999999999998</v>
      </c>
      <c r="T1553">
        <v>1.56</v>
      </c>
      <c r="U1553">
        <v>1.53</v>
      </c>
      <c r="V1553">
        <v>2.9</v>
      </c>
      <c r="W1553">
        <v>1.05</v>
      </c>
      <c r="X1553">
        <v>1.05</v>
      </c>
    </row>
    <row r="1554" spans="2:24" hidden="1" x14ac:dyDescent="0.35">
      <c r="B1554">
        <v>2020</v>
      </c>
      <c r="C1554" s="1">
        <v>44107</v>
      </c>
      <c r="D1554">
        <v>2411</v>
      </c>
      <c r="E1554" t="s">
        <v>23</v>
      </c>
      <c r="F1554" t="s">
        <v>46</v>
      </c>
      <c r="G1554" t="s">
        <v>32</v>
      </c>
      <c r="H1554">
        <v>64.22</v>
      </c>
      <c r="I1554">
        <v>69.05</v>
      </c>
      <c r="J1554">
        <v>0.377</v>
      </c>
      <c r="K1554">
        <v>0.34100000000000003</v>
      </c>
      <c r="L1554">
        <v>0.28199999999999997</v>
      </c>
      <c r="M1554">
        <v>1.25</v>
      </c>
      <c r="N1554">
        <v>1.17</v>
      </c>
      <c r="O1554">
        <v>40.799999999999997</v>
      </c>
      <c r="P1554">
        <v>32.5</v>
      </c>
      <c r="Q1554">
        <v>3</v>
      </c>
      <c r="R1554">
        <v>1</v>
      </c>
      <c r="S1554">
        <v>1.96</v>
      </c>
      <c r="T1554">
        <v>0.56000000000000005</v>
      </c>
      <c r="U1554">
        <v>1.1000000000000001</v>
      </c>
      <c r="V1554">
        <v>1.45</v>
      </c>
      <c r="W1554">
        <v>2.98</v>
      </c>
      <c r="X1554">
        <v>1.05</v>
      </c>
    </row>
    <row r="1555" spans="2:24" hidden="1" x14ac:dyDescent="0.35">
      <c r="B1555">
        <v>2020</v>
      </c>
      <c r="C1555" s="1">
        <v>44108</v>
      </c>
      <c r="D1555">
        <v>2411</v>
      </c>
      <c r="E1555" t="s">
        <v>23</v>
      </c>
      <c r="F1555" t="s">
        <v>34</v>
      </c>
      <c r="G1555" t="s">
        <v>31</v>
      </c>
      <c r="H1555">
        <v>71.66</v>
      </c>
      <c r="I1555">
        <v>58.44</v>
      </c>
      <c r="J1555">
        <v>0.55610000000000004</v>
      </c>
      <c r="K1555">
        <v>0.2039</v>
      </c>
      <c r="L1555">
        <v>0.24</v>
      </c>
      <c r="M1555">
        <v>1.76</v>
      </c>
      <c r="N1555">
        <v>0.97</v>
      </c>
      <c r="O1555">
        <v>26</v>
      </c>
      <c r="P1555">
        <v>42.8</v>
      </c>
      <c r="Q1555">
        <v>2</v>
      </c>
      <c r="R1555">
        <v>0</v>
      </c>
      <c r="S1555">
        <v>0.98</v>
      </c>
      <c r="T1555">
        <v>0.18</v>
      </c>
      <c r="U1555">
        <v>0.83</v>
      </c>
      <c r="V1555">
        <v>0.56999999999999995</v>
      </c>
      <c r="W1555">
        <v>2.1</v>
      </c>
      <c r="X1555">
        <v>0</v>
      </c>
    </row>
    <row r="1556" spans="2:24" hidden="1" x14ac:dyDescent="0.35">
      <c r="B1556">
        <v>2020</v>
      </c>
      <c r="C1556" s="1">
        <v>44108</v>
      </c>
      <c r="D1556">
        <v>2411</v>
      </c>
      <c r="E1556" t="s">
        <v>23</v>
      </c>
      <c r="F1556" t="s">
        <v>25</v>
      </c>
      <c r="G1556" t="s">
        <v>43</v>
      </c>
      <c r="H1556">
        <v>81.709999999999994</v>
      </c>
      <c r="I1556">
        <v>71.38</v>
      </c>
      <c r="J1556">
        <v>0.59330000000000005</v>
      </c>
      <c r="K1556">
        <v>0.1875</v>
      </c>
      <c r="L1556">
        <v>0.21920000000000001</v>
      </c>
      <c r="M1556">
        <v>1.99</v>
      </c>
      <c r="N1556">
        <v>1.02</v>
      </c>
      <c r="O1556">
        <v>59.7</v>
      </c>
      <c r="P1556">
        <v>20</v>
      </c>
      <c r="Q1556">
        <v>0</v>
      </c>
      <c r="R1556">
        <v>3</v>
      </c>
      <c r="S1556">
        <v>0.57999999999999996</v>
      </c>
      <c r="T1556">
        <v>2.06</v>
      </c>
      <c r="U1556">
        <v>0.98</v>
      </c>
      <c r="V1556">
        <v>1.26</v>
      </c>
      <c r="W1556">
        <v>0</v>
      </c>
      <c r="X1556">
        <v>2.82</v>
      </c>
    </row>
    <row r="1557" spans="2:24" hidden="1" x14ac:dyDescent="0.35">
      <c r="B1557">
        <v>2020</v>
      </c>
      <c r="C1557" s="1">
        <v>44108</v>
      </c>
      <c r="D1557">
        <v>2411</v>
      </c>
      <c r="E1557" t="s">
        <v>23</v>
      </c>
      <c r="F1557" t="s">
        <v>40</v>
      </c>
      <c r="G1557" t="s">
        <v>51</v>
      </c>
      <c r="H1557">
        <v>78.69</v>
      </c>
      <c r="I1557">
        <v>66.930000000000007</v>
      </c>
      <c r="J1557">
        <v>0.58150000000000002</v>
      </c>
      <c r="K1557">
        <v>0.1772</v>
      </c>
      <c r="L1557">
        <v>0.24129999999999999</v>
      </c>
      <c r="M1557">
        <v>1.73</v>
      </c>
      <c r="N1557">
        <v>0.84</v>
      </c>
      <c r="O1557">
        <v>42.2</v>
      </c>
      <c r="P1557">
        <v>38.5</v>
      </c>
      <c r="Q1557">
        <v>2</v>
      </c>
      <c r="R1557">
        <v>1</v>
      </c>
      <c r="S1557">
        <v>0.61</v>
      </c>
      <c r="T1557">
        <v>0.2</v>
      </c>
      <c r="U1557">
        <v>0.8</v>
      </c>
      <c r="V1557">
        <v>0.73</v>
      </c>
      <c r="W1557">
        <v>2.1</v>
      </c>
      <c r="X1557">
        <v>1.05</v>
      </c>
    </row>
    <row r="1558" spans="2:24" hidden="1" x14ac:dyDescent="0.35">
      <c r="B1558">
        <v>2020</v>
      </c>
      <c r="C1558" s="1">
        <v>44108</v>
      </c>
      <c r="D1558">
        <v>2411</v>
      </c>
      <c r="E1558" t="s">
        <v>23</v>
      </c>
      <c r="F1558" t="s">
        <v>49</v>
      </c>
      <c r="G1558" t="s">
        <v>48</v>
      </c>
      <c r="H1558">
        <v>76.14</v>
      </c>
      <c r="I1558">
        <v>59.94</v>
      </c>
      <c r="J1558">
        <v>0.56359999999999999</v>
      </c>
      <c r="K1558">
        <v>0.18429999999999999</v>
      </c>
      <c r="L1558">
        <v>0.25209999999999999</v>
      </c>
      <c r="M1558">
        <v>1.64</v>
      </c>
      <c r="N1558">
        <v>0.82</v>
      </c>
      <c r="O1558">
        <v>20.2</v>
      </c>
      <c r="P1558">
        <v>42.3</v>
      </c>
      <c r="Q1558">
        <v>1</v>
      </c>
      <c r="R1558">
        <v>0</v>
      </c>
      <c r="S1558">
        <v>1.1000000000000001</v>
      </c>
      <c r="T1558">
        <v>0.96</v>
      </c>
      <c r="U1558">
        <v>0.9</v>
      </c>
      <c r="V1558">
        <v>1.1100000000000001</v>
      </c>
      <c r="W1558">
        <v>1.05</v>
      </c>
      <c r="X1558">
        <v>0</v>
      </c>
    </row>
    <row r="1559" spans="2:24" hidden="1" x14ac:dyDescent="0.35">
      <c r="B1559">
        <v>2020</v>
      </c>
      <c r="C1559" s="1">
        <v>44108</v>
      </c>
      <c r="D1559">
        <v>2411</v>
      </c>
      <c r="E1559" t="s">
        <v>23</v>
      </c>
      <c r="F1559" t="s">
        <v>39</v>
      </c>
      <c r="G1559" t="s">
        <v>29</v>
      </c>
      <c r="H1559">
        <v>83.96</v>
      </c>
      <c r="I1559">
        <v>78.87</v>
      </c>
      <c r="J1559">
        <v>0.52110000000000001</v>
      </c>
      <c r="K1559">
        <v>0.246</v>
      </c>
      <c r="L1559">
        <v>0.2329</v>
      </c>
      <c r="M1559">
        <v>1.86</v>
      </c>
      <c r="N1559">
        <v>1.21</v>
      </c>
      <c r="O1559">
        <v>59.7</v>
      </c>
      <c r="P1559">
        <v>42.9</v>
      </c>
      <c r="Q1559">
        <v>1</v>
      </c>
      <c r="R1559">
        <v>6</v>
      </c>
      <c r="S1559">
        <v>0.93</v>
      </c>
      <c r="T1559">
        <v>3.75</v>
      </c>
      <c r="U1559">
        <v>0.85</v>
      </c>
      <c r="V1559">
        <v>1.46</v>
      </c>
      <c r="W1559">
        <v>1.05</v>
      </c>
      <c r="X1559">
        <v>5.29</v>
      </c>
    </row>
    <row r="1560" spans="2:24" hidden="1" x14ac:dyDescent="0.35">
      <c r="B1560">
        <v>2020</v>
      </c>
      <c r="C1560" s="1">
        <v>44108</v>
      </c>
      <c r="D1560">
        <v>2411</v>
      </c>
      <c r="E1560" t="s">
        <v>23</v>
      </c>
      <c r="F1560" t="s">
        <v>52</v>
      </c>
      <c r="G1560" t="s">
        <v>41</v>
      </c>
      <c r="H1560">
        <v>69.040000000000006</v>
      </c>
      <c r="I1560">
        <v>91.44</v>
      </c>
      <c r="J1560">
        <v>0.1201</v>
      </c>
      <c r="K1560">
        <v>0.7</v>
      </c>
      <c r="L1560">
        <v>0.18</v>
      </c>
      <c r="M1560">
        <v>0.85</v>
      </c>
      <c r="N1560">
        <v>2.33</v>
      </c>
      <c r="O1560">
        <v>20.9</v>
      </c>
      <c r="P1560">
        <v>79.599999999999994</v>
      </c>
      <c r="Q1560">
        <v>7</v>
      </c>
      <c r="R1560">
        <v>2</v>
      </c>
      <c r="S1560">
        <v>3.23</v>
      </c>
      <c r="T1560">
        <v>2.0099999999999998</v>
      </c>
      <c r="U1560">
        <v>1.4</v>
      </c>
      <c r="V1560">
        <v>2.2200000000000002</v>
      </c>
      <c r="W1560">
        <v>7.23</v>
      </c>
      <c r="X1560">
        <v>2.1</v>
      </c>
    </row>
    <row r="1561" spans="2:24" hidden="1" x14ac:dyDescent="0.35">
      <c r="B1561">
        <v>2020</v>
      </c>
      <c r="C1561" s="1">
        <v>44121</v>
      </c>
      <c r="D1561">
        <v>2411</v>
      </c>
      <c r="E1561" t="s">
        <v>23</v>
      </c>
      <c r="F1561" t="s">
        <v>28</v>
      </c>
      <c r="G1561" t="s">
        <v>41</v>
      </c>
      <c r="H1561">
        <v>76.89</v>
      </c>
      <c r="I1561">
        <v>88.81</v>
      </c>
      <c r="J1561">
        <v>0.24610000000000001</v>
      </c>
      <c r="K1561">
        <v>0.5353</v>
      </c>
      <c r="L1561">
        <v>0.21859999999999999</v>
      </c>
      <c r="M1561">
        <v>1.34</v>
      </c>
      <c r="N1561">
        <v>2.0499999999999998</v>
      </c>
      <c r="O1561">
        <v>52.6</v>
      </c>
      <c r="P1561">
        <v>66.400000000000006</v>
      </c>
      <c r="Q1561">
        <v>2</v>
      </c>
      <c r="R1561">
        <v>2</v>
      </c>
      <c r="S1561">
        <v>1.43</v>
      </c>
      <c r="T1561">
        <v>3</v>
      </c>
      <c r="U1561">
        <v>1.17</v>
      </c>
      <c r="V1561">
        <v>2.1</v>
      </c>
      <c r="W1561">
        <v>2.1</v>
      </c>
      <c r="X1561">
        <v>2.1</v>
      </c>
    </row>
    <row r="1562" spans="2:24" hidden="1" x14ac:dyDescent="0.35">
      <c r="B1562">
        <v>2020</v>
      </c>
      <c r="C1562" s="1">
        <v>44121</v>
      </c>
      <c r="D1562">
        <v>2411</v>
      </c>
      <c r="E1562" t="s">
        <v>23</v>
      </c>
      <c r="F1562" t="s">
        <v>42</v>
      </c>
      <c r="G1562" t="s">
        <v>34</v>
      </c>
      <c r="H1562">
        <v>84.52</v>
      </c>
      <c r="I1562">
        <v>72.31</v>
      </c>
      <c r="J1562">
        <v>0.63719999999999999</v>
      </c>
      <c r="K1562">
        <v>0.15609999999999999</v>
      </c>
      <c r="L1562">
        <v>0.20669999999999999</v>
      </c>
      <c r="M1562">
        <v>2.09</v>
      </c>
      <c r="N1562">
        <v>0.92</v>
      </c>
      <c r="O1562">
        <v>60.8</v>
      </c>
      <c r="P1562">
        <v>20.7</v>
      </c>
      <c r="Q1562">
        <v>3</v>
      </c>
      <c r="R1562">
        <v>3</v>
      </c>
      <c r="S1562">
        <v>1.57</v>
      </c>
      <c r="T1562">
        <v>1.62</v>
      </c>
      <c r="U1562">
        <v>1.99</v>
      </c>
      <c r="V1562">
        <v>1.1000000000000001</v>
      </c>
      <c r="W1562">
        <v>3.15</v>
      </c>
      <c r="X1562">
        <v>3.15</v>
      </c>
    </row>
    <row r="1563" spans="2:24" hidden="1" x14ac:dyDescent="0.35">
      <c r="B1563">
        <v>2020</v>
      </c>
      <c r="C1563" s="1">
        <v>44121</v>
      </c>
      <c r="D1563">
        <v>2411</v>
      </c>
      <c r="E1563" t="s">
        <v>23</v>
      </c>
      <c r="F1563" t="s">
        <v>36</v>
      </c>
      <c r="G1563" t="s">
        <v>40</v>
      </c>
      <c r="H1563">
        <v>92.02</v>
      </c>
      <c r="I1563">
        <v>78.56</v>
      </c>
      <c r="J1563">
        <v>0.69430000000000003</v>
      </c>
      <c r="K1563">
        <v>0.12909999999999999</v>
      </c>
      <c r="L1563">
        <v>0.17660000000000001</v>
      </c>
      <c r="M1563">
        <v>2.4300000000000002</v>
      </c>
      <c r="N1563">
        <v>0.96</v>
      </c>
      <c r="O1563">
        <v>80.8</v>
      </c>
      <c r="P1563">
        <v>50.8</v>
      </c>
      <c r="Q1563">
        <v>1</v>
      </c>
      <c r="R1563">
        <v>0</v>
      </c>
      <c r="S1563">
        <v>1.57</v>
      </c>
      <c r="T1563">
        <v>0.8</v>
      </c>
      <c r="U1563">
        <v>1.47</v>
      </c>
      <c r="V1563">
        <v>0.7</v>
      </c>
      <c r="W1563">
        <v>1.05</v>
      </c>
      <c r="X1563">
        <v>0</v>
      </c>
    </row>
    <row r="1564" spans="2:24" hidden="1" x14ac:dyDescent="0.35">
      <c r="B1564">
        <v>2020</v>
      </c>
      <c r="C1564" s="1">
        <v>44121</v>
      </c>
      <c r="D1564">
        <v>2411</v>
      </c>
      <c r="E1564" t="s">
        <v>23</v>
      </c>
      <c r="F1564" t="s">
        <v>46</v>
      </c>
      <c r="G1564" t="s">
        <v>39</v>
      </c>
      <c r="H1564">
        <v>65.22</v>
      </c>
      <c r="I1564">
        <v>81.34</v>
      </c>
      <c r="J1564">
        <v>0.22539999999999999</v>
      </c>
      <c r="K1564">
        <v>0.54159999999999997</v>
      </c>
      <c r="L1564">
        <v>0.23300000000000001</v>
      </c>
      <c r="M1564">
        <v>1.1200000000000001</v>
      </c>
      <c r="N1564">
        <v>1.85</v>
      </c>
      <c r="O1564">
        <v>29.7</v>
      </c>
      <c r="P1564">
        <v>48.3</v>
      </c>
      <c r="Q1564">
        <v>1</v>
      </c>
      <c r="R1564">
        <v>4</v>
      </c>
      <c r="S1564">
        <v>0.86</v>
      </c>
      <c r="T1564">
        <v>2.2999999999999998</v>
      </c>
      <c r="U1564">
        <v>0.99</v>
      </c>
      <c r="V1564">
        <v>2.14</v>
      </c>
      <c r="W1564">
        <v>1.05</v>
      </c>
      <c r="X1564">
        <v>3.15</v>
      </c>
    </row>
    <row r="1565" spans="2:24" hidden="1" x14ac:dyDescent="0.35">
      <c r="B1565">
        <v>2020</v>
      </c>
      <c r="C1565" s="1">
        <v>44122</v>
      </c>
      <c r="D1565">
        <v>2411</v>
      </c>
      <c r="E1565" t="s">
        <v>23</v>
      </c>
      <c r="F1565" t="s">
        <v>51</v>
      </c>
      <c r="G1565" t="s">
        <v>48</v>
      </c>
      <c r="H1565">
        <v>67.39</v>
      </c>
      <c r="I1565">
        <v>60.7</v>
      </c>
      <c r="J1565">
        <v>0.47389999999999999</v>
      </c>
      <c r="K1565">
        <v>0.24660000000000001</v>
      </c>
      <c r="L1565">
        <v>0.27950000000000003</v>
      </c>
      <c r="M1565">
        <v>1.39</v>
      </c>
      <c r="N1565">
        <v>0.92</v>
      </c>
      <c r="O1565">
        <v>51.5</v>
      </c>
      <c r="P1565">
        <v>50.1</v>
      </c>
      <c r="Q1565">
        <v>1</v>
      </c>
      <c r="R1565">
        <v>1</v>
      </c>
      <c r="S1565">
        <v>1.66</v>
      </c>
      <c r="T1565">
        <v>1.47</v>
      </c>
      <c r="U1565">
        <v>0.78</v>
      </c>
      <c r="V1565">
        <v>1.52</v>
      </c>
      <c r="W1565">
        <v>1.05</v>
      </c>
      <c r="X1565">
        <v>1.05</v>
      </c>
    </row>
    <row r="1566" spans="2:24" hidden="1" x14ac:dyDescent="0.35">
      <c r="B1566">
        <v>2020</v>
      </c>
      <c r="C1566" s="1">
        <v>44122</v>
      </c>
      <c r="D1566">
        <v>2411</v>
      </c>
      <c r="E1566" t="s">
        <v>23</v>
      </c>
      <c r="F1566" t="s">
        <v>30</v>
      </c>
      <c r="G1566" t="s">
        <v>45</v>
      </c>
      <c r="H1566">
        <v>67.680000000000007</v>
      </c>
      <c r="I1566">
        <v>70.38</v>
      </c>
      <c r="J1566">
        <v>0.38340000000000002</v>
      </c>
      <c r="K1566">
        <v>0.34200000000000003</v>
      </c>
      <c r="L1566">
        <v>0.27460000000000001</v>
      </c>
      <c r="M1566">
        <v>1.31</v>
      </c>
      <c r="N1566">
        <v>1.22</v>
      </c>
      <c r="O1566">
        <v>28.8</v>
      </c>
      <c r="P1566">
        <v>26.4</v>
      </c>
      <c r="Q1566">
        <v>1</v>
      </c>
      <c r="R1566">
        <v>1</v>
      </c>
      <c r="S1566">
        <v>0.76</v>
      </c>
      <c r="T1566">
        <v>1.49</v>
      </c>
      <c r="U1566">
        <v>0.24</v>
      </c>
      <c r="V1566">
        <v>2.14</v>
      </c>
      <c r="W1566">
        <v>1.05</v>
      </c>
      <c r="X1566">
        <v>1.05</v>
      </c>
    </row>
    <row r="1567" spans="2:24" hidden="1" x14ac:dyDescent="0.35">
      <c r="B1567">
        <v>2020</v>
      </c>
      <c r="C1567" s="1">
        <v>44122</v>
      </c>
      <c r="D1567">
        <v>2411</v>
      </c>
      <c r="E1567" t="s">
        <v>23</v>
      </c>
      <c r="F1567" t="s">
        <v>29</v>
      </c>
      <c r="G1567" t="s">
        <v>43</v>
      </c>
      <c r="H1567">
        <v>81.3</v>
      </c>
      <c r="I1567">
        <v>73.650000000000006</v>
      </c>
      <c r="J1567">
        <v>0.55879999999999996</v>
      </c>
      <c r="K1567">
        <v>0.217</v>
      </c>
      <c r="L1567">
        <v>0.22420000000000001</v>
      </c>
      <c r="M1567">
        <v>1.96</v>
      </c>
      <c r="N1567">
        <v>1.1399999999999999</v>
      </c>
      <c r="O1567">
        <v>58.2</v>
      </c>
      <c r="P1567">
        <v>28.2</v>
      </c>
      <c r="Q1567">
        <v>3</v>
      </c>
      <c r="R1567">
        <v>3</v>
      </c>
      <c r="S1567">
        <v>2.1</v>
      </c>
      <c r="T1567">
        <v>1.35</v>
      </c>
      <c r="U1567">
        <v>1.1499999999999999</v>
      </c>
      <c r="V1567">
        <v>1.48</v>
      </c>
      <c r="W1567">
        <v>3.15</v>
      </c>
      <c r="X1567">
        <v>3.15</v>
      </c>
    </row>
    <row r="1568" spans="2:24" hidden="1" x14ac:dyDescent="0.35">
      <c r="B1568">
        <v>2020</v>
      </c>
      <c r="C1568" s="1">
        <v>44122</v>
      </c>
      <c r="D1568">
        <v>2411</v>
      </c>
      <c r="E1568" t="s">
        <v>23</v>
      </c>
      <c r="F1568" t="s">
        <v>25</v>
      </c>
      <c r="G1568" t="s">
        <v>52</v>
      </c>
      <c r="H1568">
        <v>79.83</v>
      </c>
      <c r="I1568">
        <v>72.430000000000007</v>
      </c>
      <c r="J1568">
        <v>0.54239999999999999</v>
      </c>
      <c r="K1568">
        <v>0.22339999999999999</v>
      </c>
      <c r="L1568">
        <v>0.23419999999999999</v>
      </c>
      <c r="M1568">
        <v>1.84</v>
      </c>
      <c r="N1568">
        <v>1.1000000000000001</v>
      </c>
      <c r="O1568">
        <v>54.8</v>
      </c>
      <c r="P1568">
        <v>30.7</v>
      </c>
      <c r="Q1568">
        <v>0</v>
      </c>
      <c r="R1568">
        <v>1</v>
      </c>
      <c r="S1568">
        <v>0.64</v>
      </c>
      <c r="T1568">
        <v>0.97</v>
      </c>
      <c r="U1568">
        <v>1.04</v>
      </c>
      <c r="V1568">
        <v>2.1800000000000002</v>
      </c>
      <c r="W1568">
        <v>0</v>
      </c>
      <c r="X1568">
        <v>1.05</v>
      </c>
    </row>
    <row r="1569" spans="2:24" hidden="1" x14ac:dyDescent="0.35">
      <c r="B1569">
        <v>2020</v>
      </c>
      <c r="C1569" s="1">
        <v>44123</v>
      </c>
      <c r="D1569">
        <v>2411</v>
      </c>
      <c r="E1569" t="s">
        <v>23</v>
      </c>
      <c r="F1569" t="s">
        <v>31</v>
      </c>
      <c r="G1569" t="s">
        <v>32</v>
      </c>
      <c r="H1569">
        <v>58.34</v>
      </c>
      <c r="I1569">
        <v>67.75</v>
      </c>
      <c r="J1569">
        <v>0.32779999999999998</v>
      </c>
      <c r="K1569">
        <v>0.39689999999999998</v>
      </c>
      <c r="L1569">
        <v>0.27529999999999999</v>
      </c>
      <c r="M1569">
        <v>1.18</v>
      </c>
      <c r="N1569">
        <v>1.33</v>
      </c>
      <c r="O1569">
        <v>44.1</v>
      </c>
      <c r="P1569">
        <v>44.2</v>
      </c>
      <c r="Q1569">
        <v>0</v>
      </c>
      <c r="R1569">
        <v>0</v>
      </c>
      <c r="S1569">
        <v>0.81</v>
      </c>
      <c r="T1569">
        <v>1.2</v>
      </c>
      <c r="U1569">
        <v>0.85</v>
      </c>
      <c r="V1569">
        <v>0.76</v>
      </c>
      <c r="W1569">
        <v>0</v>
      </c>
      <c r="X1569">
        <v>0</v>
      </c>
    </row>
    <row r="1570" spans="2:24" hidden="1" x14ac:dyDescent="0.35">
      <c r="B1570">
        <v>2020</v>
      </c>
      <c r="C1570" s="1">
        <v>44123</v>
      </c>
      <c r="D1570">
        <v>2411</v>
      </c>
      <c r="E1570" t="s">
        <v>23</v>
      </c>
      <c r="F1570" t="s">
        <v>53</v>
      </c>
      <c r="G1570" t="s">
        <v>49</v>
      </c>
      <c r="H1570">
        <v>65.87</v>
      </c>
      <c r="I1570">
        <v>75.81</v>
      </c>
      <c r="J1570">
        <v>0.3342</v>
      </c>
      <c r="K1570">
        <v>0.3881</v>
      </c>
      <c r="L1570">
        <v>0.2777</v>
      </c>
      <c r="M1570">
        <v>1.18</v>
      </c>
      <c r="N1570">
        <v>1.3</v>
      </c>
      <c r="O1570">
        <v>25</v>
      </c>
      <c r="P1570">
        <v>22.2</v>
      </c>
      <c r="Q1570">
        <v>0</v>
      </c>
      <c r="R1570">
        <v>1</v>
      </c>
      <c r="S1570">
        <v>1.19</v>
      </c>
      <c r="T1570">
        <v>0.69</v>
      </c>
      <c r="U1570">
        <v>1.99</v>
      </c>
      <c r="V1570">
        <v>0.66</v>
      </c>
      <c r="W1570">
        <v>0</v>
      </c>
      <c r="X1570">
        <v>1.05</v>
      </c>
    </row>
    <row r="1571" spans="2:24" hidden="1" x14ac:dyDescent="0.35">
      <c r="B1571">
        <v>2020</v>
      </c>
      <c r="C1571" s="1">
        <v>44127</v>
      </c>
      <c r="D1571">
        <v>2411</v>
      </c>
      <c r="E1571" t="s">
        <v>23</v>
      </c>
      <c r="F1571" t="s">
        <v>52</v>
      </c>
      <c r="G1571" t="s">
        <v>53</v>
      </c>
      <c r="H1571">
        <v>73.95</v>
      </c>
      <c r="I1571">
        <v>66.41</v>
      </c>
      <c r="J1571">
        <v>0.52800000000000002</v>
      </c>
      <c r="K1571">
        <v>0.23039999999999999</v>
      </c>
      <c r="L1571">
        <v>0.24160000000000001</v>
      </c>
      <c r="M1571">
        <v>1.76</v>
      </c>
      <c r="N1571">
        <v>1.08</v>
      </c>
      <c r="O1571">
        <v>40.799999999999997</v>
      </c>
      <c r="P1571">
        <v>26.2</v>
      </c>
      <c r="Q1571">
        <v>0</v>
      </c>
      <c r="R1571">
        <v>3</v>
      </c>
      <c r="S1571">
        <v>1.56</v>
      </c>
      <c r="T1571">
        <v>2.27</v>
      </c>
      <c r="U1571">
        <v>1.29</v>
      </c>
      <c r="V1571">
        <v>2.96</v>
      </c>
      <c r="W1571">
        <v>0</v>
      </c>
      <c r="X1571">
        <v>3.07</v>
      </c>
    </row>
    <row r="1572" spans="2:24" hidden="1" x14ac:dyDescent="0.35">
      <c r="B1572">
        <v>2020</v>
      </c>
      <c r="C1572" s="1">
        <v>44128</v>
      </c>
      <c r="D1572">
        <v>2411</v>
      </c>
      <c r="E1572" t="s">
        <v>23</v>
      </c>
      <c r="F1572" t="s">
        <v>43</v>
      </c>
      <c r="G1572" t="s">
        <v>36</v>
      </c>
      <c r="H1572">
        <v>74.099999999999994</v>
      </c>
      <c r="I1572">
        <v>92</v>
      </c>
      <c r="J1572">
        <v>0.1623</v>
      </c>
      <c r="K1572">
        <v>0.65010000000000001</v>
      </c>
      <c r="L1572">
        <v>0.18759999999999999</v>
      </c>
      <c r="M1572">
        <v>1.1200000000000001</v>
      </c>
      <c r="N1572">
        <v>2.39</v>
      </c>
      <c r="O1572">
        <v>34.799999999999997</v>
      </c>
      <c r="P1572">
        <v>74.900000000000006</v>
      </c>
      <c r="Q1572">
        <v>1</v>
      </c>
      <c r="R1572">
        <v>1</v>
      </c>
      <c r="S1572">
        <v>0.28000000000000003</v>
      </c>
      <c r="T1572">
        <v>1.1000000000000001</v>
      </c>
      <c r="U1572">
        <v>0.63</v>
      </c>
      <c r="V1572">
        <v>1.37</v>
      </c>
      <c r="W1572">
        <v>1.05</v>
      </c>
      <c r="X1572">
        <v>1.05</v>
      </c>
    </row>
    <row r="1573" spans="2:24" hidden="1" x14ac:dyDescent="0.35">
      <c r="B1573">
        <v>2020</v>
      </c>
      <c r="C1573" s="1">
        <v>44128</v>
      </c>
      <c r="D1573">
        <v>2411</v>
      </c>
      <c r="E1573" t="s">
        <v>23</v>
      </c>
      <c r="F1573" t="s">
        <v>48</v>
      </c>
      <c r="G1573" t="s">
        <v>30</v>
      </c>
      <c r="H1573">
        <v>61.47</v>
      </c>
      <c r="I1573">
        <v>66.66</v>
      </c>
      <c r="J1573">
        <v>0.38590000000000002</v>
      </c>
      <c r="K1573">
        <v>0.33260000000000001</v>
      </c>
      <c r="L1573">
        <v>0.28160000000000002</v>
      </c>
      <c r="M1573">
        <v>1.27</v>
      </c>
      <c r="N1573">
        <v>1.1599999999999999</v>
      </c>
      <c r="O1573">
        <v>46</v>
      </c>
      <c r="P1573">
        <v>35.1</v>
      </c>
      <c r="Q1573">
        <v>1</v>
      </c>
      <c r="R1573">
        <v>2</v>
      </c>
      <c r="S1573">
        <v>0.99</v>
      </c>
      <c r="T1573">
        <v>2.5</v>
      </c>
      <c r="U1573">
        <v>1.98</v>
      </c>
      <c r="V1573">
        <v>1.36</v>
      </c>
      <c r="W1573">
        <v>1.05</v>
      </c>
      <c r="X1573">
        <v>2.1</v>
      </c>
    </row>
    <row r="1574" spans="2:24" hidden="1" x14ac:dyDescent="0.35">
      <c r="B1574">
        <v>2020</v>
      </c>
      <c r="C1574" s="1">
        <v>44128</v>
      </c>
      <c r="D1574">
        <v>2411</v>
      </c>
      <c r="E1574" t="s">
        <v>23</v>
      </c>
      <c r="F1574" t="s">
        <v>39</v>
      </c>
      <c r="G1574" t="s">
        <v>42</v>
      </c>
      <c r="H1574">
        <v>82.69</v>
      </c>
      <c r="I1574">
        <v>83.55</v>
      </c>
      <c r="J1574">
        <v>0.42309999999999998</v>
      </c>
      <c r="K1574">
        <v>0.34110000000000001</v>
      </c>
      <c r="L1574">
        <v>0.23580000000000001</v>
      </c>
      <c r="M1574">
        <v>1.74</v>
      </c>
      <c r="N1574">
        <v>1.55</v>
      </c>
      <c r="O1574">
        <v>66.400000000000006</v>
      </c>
      <c r="P1574">
        <v>66.400000000000006</v>
      </c>
      <c r="Q1574">
        <v>0</v>
      </c>
      <c r="R1574">
        <v>0</v>
      </c>
      <c r="S1574">
        <v>0.84</v>
      </c>
      <c r="T1574">
        <v>0.22</v>
      </c>
      <c r="U1574">
        <v>1.1599999999999999</v>
      </c>
      <c r="V1574">
        <v>0.23</v>
      </c>
      <c r="W1574">
        <v>0</v>
      </c>
      <c r="X1574">
        <v>0</v>
      </c>
    </row>
    <row r="1575" spans="2:24" hidden="1" x14ac:dyDescent="0.35">
      <c r="B1575">
        <v>2020</v>
      </c>
      <c r="C1575" s="1">
        <v>44128</v>
      </c>
      <c r="D1575">
        <v>2411</v>
      </c>
      <c r="E1575" t="s">
        <v>23</v>
      </c>
      <c r="F1575" t="s">
        <v>41</v>
      </c>
      <c r="G1575" t="s">
        <v>51</v>
      </c>
      <c r="H1575">
        <v>88.69</v>
      </c>
      <c r="I1575">
        <v>66.540000000000006</v>
      </c>
      <c r="J1575">
        <v>0.8014</v>
      </c>
      <c r="K1575">
        <v>5.9499999999999997E-2</v>
      </c>
      <c r="L1575">
        <v>0.1391</v>
      </c>
      <c r="M1575">
        <v>2.54</v>
      </c>
      <c r="N1575">
        <v>0.55000000000000004</v>
      </c>
      <c r="O1575">
        <v>69.2</v>
      </c>
      <c r="P1575">
        <v>41.1</v>
      </c>
      <c r="Q1575">
        <v>2</v>
      </c>
      <c r="R1575">
        <v>1</v>
      </c>
      <c r="S1575">
        <v>2.96</v>
      </c>
      <c r="T1575">
        <v>1.45</v>
      </c>
      <c r="U1575">
        <v>1.67</v>
      </c>
      <c r="V1575">
        <v>1.61</v>
      </c>
      <c r="W1575">
        <v>2.1</v>
      </c>
      <c r="X1575">
        <v>1.05</v>
      </c>
    </row>
    <row r="1576" spans="2:24" hidden="1" x14ac:dyDescent="0.35">
      <c r="B1576">
        <v>2020</v>
      </c>
      <c r="C1576" s="1">
        <v>44129</v>
      </c>
      <c r="D1576">
        <v>2411</v>
      </c>
      <c r="E1576" t="s">
        <v>23</v>
      </c>
      <c r="F1576" t="s">
        <v>34</v>
      </c>
      <c r="G1576" t="s">
        <v>28</v>
      </c>
      <c r="H1576">
        <v>72.989999999999995</v>
      </c>
      <c r="I1576">
        <v>76.77</v>
      </c>
      <c r="J1576">
        <v>0.35449999999999998</v>
      </c>
      <c r="K1576">
        <v>0.38869999999999999</v>
      </c>
      <c r="L1576">
        <v>0.25679999999999997</v>
      </c>
      <c r="M1576">
        <v>1.38</v>
      </c>
      <c r="N1576">
        <v>1.46</v>
      </c>
      <c r="O1576">
        <v>19.899999999999999</v>
      </c>
      <c r="P1576">
        <v>50.2</v>
      </c>
      <c r="Q1576">
        <v>2</v>
      </c>
      <c r="R1576">
        <v>0</v>
      </c>
      <c r="S1576">
        <v>0.63</v>
      </c>
      <c r="T1576">
        <v>0.46</v>
      </c>
      <c r="U1576">
        <v>1.56</v>
      </c>
      <c r="V1576">
        <v>0.56000000000000005</v>
      </c>
      <c r="W1576">
        <v>2.1</v>
      </c>
      <c r="X1576">
        <v>0</v>
      </c>
    </row>
    <row r="1577" spans="2:24" hidden="1" x14ac:dyDescent="0.35">
      <c r="B1577">
        <v>2020</v>
      </c>
      <c r="C1577" s="1">
        <v>44129</v>
      </c>
      <c r="D1577">
        <v>2411</v>
      </c>
      <c r="E1577" t="s">
        <v>23</v>
      </c>
      <c r="F1577" t="s">
        <v>49</v>
      </c>
      <c r="G1577" t="s">
        <v>46</v>
      </c>
      <c r="H1577">
        <v>75.599999999999994</v>
      </c>
      <c r="I1577">
        <v>64.290000000000006</v>
      </c>
      <c r="J1577">
        <v>0.52049999999999996</v>
      </c>
      <c r="K1577">
        <v>0.20830000000000001</v>
      </c>
      <c r="L1577">
        <v>0.2712</v>
      </c>
      <c r="M1577">
        <v>1.48</v>
      </c>
      <c r="N1577">
        <v>0.83</v>
      </c>
      <c r="O1577">
        <v>23.9</v>
      </c>
      <c r="P1577">
        <v>33</v>
      </c>
      <c r="Q1577">
        <v>1</v>
      </c>
      <c r="R1577">
        <v>1</v>
      </c>
      <c r="S1577">
        <v>0.88</v>
      </c>
      <c r="T1577">
        <v>0.28000000000000003</v>
      </c>
      <c r="U1577">
        <v>0.76</v>
      </c>
      <c r="V1577">
        <v>0.49</v>
      </c>
      <c r="W1577">
        <v>1.05</v>
      </c>
      <c r="X1577">
        <v>1.05</v>
      </c>
    </row>
    <row r="1578" spans="2:24" hidden="1" x14ac:dyDescent="0.35">
      <c r="B1578">
        <v>2020</v>
      </c>
      <c r="C1578" s="1">
        <v>44129</v>
      </c>
      <c r="D1578">
        <v>2411</v>
      </c>
      <c r="E1578" t="s">
        <v>23</v>
      </c>
      <c r="F1578" t="s">
        <v>40</v>
      </c>
      <c r="G1578" t="s">
        <v>25</v>
      </c>
      <c r="H1578">
        <v>78.650000000000006</v>
      </c>
      <c r="I1578">
        <v>78.77</v>
      </c>
      <c r="J1578">
        <v>0.4219</v>
      </c>
      <c r="K1578">
        <v>0.31879999999999997</v>
      </c>
      <c r="L1578">
        <v>0.25940000000000002</v>
      </c>
      <c r="M1578">
        <v>1.5</v>
      </c>
      <c r="N1578">
        <v>1.27</v>
      </c>
      <c r="O1578">
        <v>48.3</v>
      </c>
      <c r="P1578">
        <v>48.8</v>
      </c>
      <c r="Q1578">
        <v>0</v>
      </c>
      <c r="R1578">
        <v>1</v>
      </c>
      <c r="S1578">
        <v>0.97</v>
      </c>
      <c r="T1578">
        <v>0.75</v>
      </c>
      <c r="U1578">
        <v>1.41</v>
      </c>
      <c r="V1578">
        <v>0.32</v>
      </c>
      <c r="W1578">
        <v>0</v>
      </c>
      <c r="X1578">
        <v>1.05</v>
      </c>
    </row>
    <row r="1579" spans="2:24" hidden="1" x14ac:dyDescent="0.35">
      <c r="B1579">
        <v>2020</v>
      </c>
      <c r="C1579" s="1">
        <v>44130</v>
      </c>
      <c r="D1579">
        <v>2411</v>
      </c>
      <c r="E1579" t="s">
        <v>23</v>
      </c>
      <c r="F1579" t="s">
        <v>45</v>
      </c>
      <c r="G1579" t="s">
        <v>31</v>
      </c>
      <c r="H1579">
        <v>71.53</v>
      </c>
      <c r="I1579">
        <v>58.62</v>
      </c>
      <c r="J1579">
        <v>0.56000000000000005</v>
      </c>
      <c r="K1579">
        <v>0.19439999999999999</v>
      </c>
      <c r="L1579">
        <v>0.24560000000000001</v>
      </c>
      <c r="M1579">
        <v>1.7</v>
      </c>
      <c r="N1579">
        <v>0.89</v>
      </c>
      <c r="O1579">
        <v>30.9</v>
      </c>
      <c r="P1579">
        <v>42.7</v>
      </c>
      <c r="Q1579">
        <v>1</v>
      </c>
      <c r="R1579">
        <v>1</v>
      </c>
      <c r="S1579">
        <v>0.63</v>
      </c>
      <c r="T1579">
        <v>0.38</v>
      </c>
      <c r="U1579">
        <v>0.96</v>
      </c>
      <c r="V1579">
        <v>0.95</v>
      </c>
      <c r="W1579">
        <v>1.05</v>
      </c>
      <c r="X1579">
        <v>1.05</v>
      </c>
    </row>
    <row r="1580" spans="2:24" hidden="1" x14ac:dyDescent="0.35">
      <c r="B1580">
        <v>2020</v>
      </c>
      <c r="C1580" s="1">
        <v>44130</v>
      </c>
      <c r="D1580">
        <v>2411</v>
      </c>
      <c r="E1580" t="s">
        <v>23</v>
      </c>
      <c r="F1580" t="s">
        <v>32</v>
      </c>
      <c r="G1580" t="s">
        <v>29</v>
      </c>
      <c r="H1580">
        <v>68.180000000000007</v>
      </c>
      <c r="I1580">
        <v>81.03</v>
      </c>
      <c r="J1580">
        <v>0.2586</v>
      </c>
      <c r="K1580">
        <v>0.49390000000000001</v>
      </c>
      <c r="L1580">
        <v>0.2475</v>
      </c>
      <c r="M1580">
        <v>1.1499999999999999</v>
      </c>
      <c r="N1580">
        <v>1.68</v>
      </c>
      <c r="O1580">
        <v>38.6</v>
      </c>
      <c r="P1580">
        <v>49</v>
      </c>
      <c r="Q1580">
        <v>0</v>
      </c>
      <c r="R1580">
        <v>1</v>
      </c>
      <c r="S1580">
        <v>1.17</v>
      </c>
      <c r="T1580">
        <v>1.1100000000000001</v>
      </c>
      <c r="U1580">
        <v>1.1200000000000001</v>
      </c>
      <c r="V1580">
        <v>1.22</v>
      </c>
      <c r="W1580">
        <v>0</v>
      </c>
      <c r="X1580">
        <v>1.05</v>
      </c>
    </row>
    <row r="1581" spans="2:24" hidden="1" x14ac:dyDescent="0.35">
      <c r="B1581">
        <v>2020</v>
      </c>
      <c r="C1581" s="1">
        <v>44134</v>
      </c>
      <c r="D1581">
        <v>2411</v>
      </c>
      <c r="E1581" t="s">
        <v>23</v>
      </c>
      <c r="F1581" t="s">
        <v>49</v>
      </c>
      <c r="G1581" t="s">
        <v>30</v>
      </c>
      <c r="H1581">
        <v>75.44</v>
      </c>
      <c r="I1581">
        <v>67.209999999999994</v>
      </c>
      <c r="J1581">
        <v>0.49309999999999998</v>
      </c>
      <c r="K1581">
        <v>0.2215</v>
      </c>
      <c r="L1581">
        <v>0.28539999999999999</v>
      </c>
      <c r="M1581">
        <v>1.37</v>
      </c>
      <c r="N1581">
        <v>0.81</v>
      </c>
      <c r="O1581">
        <v>22.7</v>
      </c>
      <c r="P1581">
        <v>24.6</v>
      </c>
      <c r="Q1581">
        <v>2</v>
      </c>
      <c r="R1581">
        <v>0</v>
      </c>
      <c r="S1581">
        <v>1.64</v>
      </c>
      <c r="T1581">
        <v>0.88</v>
      </c>
      <c r="U1581">
        <v>1.95</v>
      </c>
      <c r="V1581">
        <v>1.01</v>
      </c>
      <c r="W1581">
        <v>2.1</v>
      </c>
      <c r="X1581">
        <v>0</v>
      </c>
    </row>
    <row r="1582" spans="2:24" hidden="1" x14ac:dyDescent="0.35">
      <c r="B1582">
        <v>2020</v>
      </c>
      <c r="C1582" s="1">
        <v>44135</v>
      </c>
      <c r="D1582">
        <v>2411</v>
      </c>
      <c r="E1582" t="s">
        <v>23</v>
      </c>
      <c r="F1582" t="s">
        <v>51</v>
      </c>
      <c r="G1582" t="s">
        <v>36</v>
      </c>
      <c r="H1582">
        <v>67.42</v>
      </c>
      <c r="I1582">
        <v>92.5</v>
      </c>
      <c r="J1582">
        <v>0.1012</v>
      </c>
      <c r="K1582">
        <v>0.72289999999999999</v>
      </c>
      <c r="L1582">
        <v>0.17580000000000001</v>
      </c>
      <c r="M1582">
        <v>0.73</v>
      </c>
      <c r="N1582">
        <v>2.2999999999999998</v>
      </c>
      <c r="O1582">
        <v>38.1</v>
      </c>
      <c r="P1582">
        <v>82</v>
      </c>
      <c r="Q1582">
        <v>0</v>
      </c>
      <c r="R1582">
        <v>1</v>
      </c>
      <c r="S1582">
        <v>0.65</v>
      </c>
      <c r="T1582">
        <v>1.76</v>
      </c>
      <c r="U1582">
        <v>0.41</v>
      </c>
      <c r="V1582">
        <v>1.9</v>
      </c>
      <c r="W1582">
        <v>0</v>
      </c>
      <c r="X1582">
        <v>1.05</v>
      </c>
    </row>
    <row r="1583" spans="2:24" hidden="1" x14ac:dyDescent="0.35">
      <c r="B1583">
        <v>2020</v>
      </c>
      <c r="C1583" s="1">
        <v>44135</v>
      </c>
      <c r="D1583">
        <v>2411</v>
      </c>
      <c r="E1583" t="s">
        <v>23</v>
      </c>
      <c r="F1583" t="s">
        <v>32</v>
      </c>
      <c r="G1583" t="s">
        <v>42</v>
      </c>
      <c r="H1583">
        <v>68.349999999999994</v>
      </c>
      <c r="I1583">
        <v>84.29</v>
      </c>
      <c r="J1583">
        <v>0.216</v>
      </c>
      <c r="K1583">
        <v>0.54049999999999998</v>
      </c>
      <c r="L1583">
        <v>0.24349999999999999</v>
      </c>
      <c r="M1583">
        <v>1</v>
      </c>
      <c r="N1583">
        <v>1.73</v>
      </c>
      <c r="O1583">
        <v>38.9</v>
      </c>
      <c r="P1583">
        <v>59.7</v>
      </c>
      <c r="Q1583">
        <v>0</v>
      </c>
      <c r="R1583">
        <v>3</v>
      </c>
      <c r="S1583">
        <v>0.46</v>
      </c>
      <c r="T1583">
        <v>1.3</v>
      </c>
      <c r="U1583">
        <v>0.87</v>
      </c>
      <c r="V1583">
        <v>1.77</v>
      </c>
      <c r="W1583">
        <v>0</v>
      </c>
      <c r="X1583">
        <v>3.15</v>
      </c>
    </row>
    <row r="1584" spans="2:24" hidden="1" x14ac:dyDescent="0.35">
      <c r="B1584">
        <v>2020</v>
      </c>
      <c r="C1584" s="1">
        <v>44135</v>
      </c>
      <c r="D1584">
        <v>2411</v>
      </c>
      <c r="E1584" t="s">
        <v>23</v>
      </c>
      <c r="F1584" t="s">
        <v>41</v>
      </c>
      <c r="G1584" t="s">
        <v>43</v>
      </c>
      <c r="H1584">
        <v>87.43</v>
      </c>
      <c r="I1584">
        <v>74.430000000000007</v>
      </c>
      <c r="J1584">
        <v>0.65180000000000005</v>
      </c>
      <c r="K1584">
        <v>0.15939999999999999</v>
      </c>
      <c r="L1584">
        <v>0.1888</v>
      </c>
      <c r="M1584">
        <v>2.36</v>
      </c>
      <c r="N1584">
        <v>1.0900000000000001</v>
      </c>
      <c r="O1584">
        <v>55.8</v>
      </c>
      <c r="P1584">
        <v>34.299999999999997</v>
      </c>
      <c r="Q1584">
        <v>2</v>
      </c>
      <c r="R1584">
        <v>1</v>
      </c>
      <c r="S1584">
        <v>1.69</v>
      </c>
      <c r="T1584">
        <v>0.34</v>
      </c>
      <c r="U1584">
        <v>1.58</v>
      </c>
      <c r="V1584">
        <v>0.3</v>
      </c>
      <c r="W1584">
        <v>2.1</v>
      </c>
      <c r="X1584">
        <v>1.05</v>
      </c>
    </row>
    <row r="1585" spans="2:24" hidden="1" x14ac:dyDescent="0.35">
      <c r="B1585">
        <v>2020</v>
      </c>
      <c r="C1585" s="1">
        <v>44136</v>
      </c>
      <c r="D1585">
        <v>2411</v>
      </c>
      <c r="E1585" t="s">
        <v>23</v>
      </c>
      <c r="F1585" t="s">
        <v>52</v>
      </c>
      <c r="G1585" t="s">
        <v>34</v>
      </c>
      <c r="H1585">
        <v>71.23</v>
      </c>
      <c r="I1585">
        <v>74.16</v>
      </c>
      <c r="J1585">
        <v>0.40479999999999999</v>
      </c>
      <c r="K1585">
        <v>0.33710000000000001</v>
      </c>
      <c r="L1585">
        <v>0.2581</v>
      </c>
      <c r="M1585">
        <v>1.48</v>
      </c>
      <c r="N1585">
        <v>1.33</v>
      </c>
      <c r="O1585">
        <v>27.3</v>
      </c>
      <c r="P1585">
        <v>22.2</v>
      </c>
      <c r="Q1585">
        <v>3</v>
      </c>
      <c r="R1585">
        <v>4</v>
      </c>
      <c r="S1585">
        <v>2.3199999999999998</v>
      </c>
      <c r="T1585">
        <v>0.87</v>
      </c>
      <c r="U1585">
        <v>1.94</v>
      </c>
      <c r="V1585">
        <v>0.66</v>
      </c>
      <c r="W1585">
        <v>3.15</v>
      </c>
      <c r="X1585">
        <v>4.2</v>
      </c>
    </row>
    <row r="1586" spans="2:24" hidden="1" x14ac:dyDescent="0.35">
      <c r="B1586">
        <v>2020</v>
      </c>
      <c r="C1586" s="1">
        <v>44136</v>
      </c>
      <c r="D1586">
        <v>2411</v>
      </c>
      <c r="E1586" t="s">
        <v>23</v>
      </c>
      <c r="F1586" t="s">
        <v>46</v>
      </c>
      <c r="G1586" t="s">
        <v>28</v>
      </c>
      <c r="H1586">
        <v>64.88</v>
      </c>
      <c r="I1586">
        <v>75.989999999999995</v>
      </c>
      <c r="J1586">
        <v>0.29199999999999998</v>
      </c>
      <c r="K1586">
        <v>0.44500000000000001</v>
      </c>
      <c r="L1586">
        <v>0.26290000000000002</v>
      </c>
      <c r="M1586">
        <v>1.1599999999999999</v>
      </c>
      <c r="N1586">
        <v>1.5</v>
      </c>
      <c r="O1586">
        <v>30.1</v>
      </c>
      <c r="P1586">
        <v>37</v>
      </c>
      <c r="Q1586">
        <v>2</v>
      </c>
      <c r="R1586">
        <v>1</v>
      </c>
      <c r="S1586">
        <v>2.27</v>
      </c>
      <c r="T1586">
        <v>1.39</v>
      </c>
      <c r="U1586">
        <v>0.98</v>
      </c>
      <c r="V1586">
        <v>1.65</v>
      </c>
      <c r="W1586">
        <v>1.74</v>
      </c>
      <c r="X1586">
        <v>1.05</v>
      </c>
    </row>
    <row r="1587" spans="2:24" hidden="1" x14ac:dyDescent="0.35">
      <c r="B1587">
        <v>2020</v>
      </c>
      <c r="C1587" s="1">
        <v>44136</v>
      </c>
      <c r="D1587">
        <v>2411</v>
      </c>
      <c r="E1587" t="s">
        <v>23</v>
      </c>
      <c r="F1587" t="s">
        <v>39</v>
      </c>
      <c r="G1587" t="s">
        <v>40</v>
      </c>
      <c r="H1587">
        <v>84.41</v>
      </c>
      <c r="I1587">
        <v>79.73</v>
      </c>
      <c r="J1587">
        <v>0.51829999999999998</v>
      </c>
      <c r="K1587">
        <v>0.24079999999999999</v>
      </c>
      <c r="L1587">
        <v>0.2409</v>
      </c>
      <c r="M1587">
        <v>1.76</v>
      </c>
      <c r="N1587">
        <v>1.1299999999999999</v>
      </c>
      <c r="O1587">
        <v>69.2</v>
      </c>
      <c r="P1587">
        <v>53.5</v>
      </c>
      <c r="Q1587">
        <v>0</v>
      </c>
      <c r="R1587">
        <v>1</v>
      </c>
      <c r="S1587">
        <v>0.36</v>
      </c>
      <c r="T1587">
        <v>1.05</v>
      </c>
      <c r="U1587">
        <v>1.6</v>
      </c>
      <c r="V1587">
        <v>1.1299999999999999</v>
      </c>
      <c r="W1587">
        <v>0</v>
      </c>
      <c r="X1587">
        <v>1.05</v>
      </c>
    </row>
    <row r="1588" spans="2:24" hidden="1" x14ac:dyDescent="0.35">
      <c r="B1588">
        <v>2020</v>
      </c>
      <c r="C1588" s="1">
        <v>44136</v>
      </c>
      <c r="D1588">
        <v>2411</v>
      </c>
      <c r="E1588" t="s">
        <v>23</v>
      </c>
      <c r="F1588" t="s">
        <v>29</v>
      </c>
      <c r="G1588" t="s">
        <v>45</v>
      </c>
      <c r="H1588">
        <v>80.41</v>
      </c>
      <c r="I1588">
        <v>71.010000000000005</v>
      </c>
      <c r="J1588">
        <v>0.57569999999999999</v>
      </c>
      <c r="K1588">
        <v>0.19520000000000001</v>
      </c>
      <c r="L1588">
        <v>0.22900000000000001</v>
      </c>
      <c r="M1588">
        <v>1.88</v>
      </c>
      <c r="N1588">
        <v>1</v>
      </c>
      <c r="O1588">
        <v>50.6</v>
      </c>
      <c r="P1588">
        <v>24.3</v>
      </c>
      <c r="Q1588">
        <v>2</v>
      </c>
      <c r="R1588">
        <v>1</v>
      </c>
      <c r="S1588">
        <v>2.14</v>
      </c>
      <c r="T1588">
        <v>0.31</v>
      </c>
      <c r="U1588">
        <v>0.67</v>
      </c>
      <c r="V1588">
        <v>1.21</v>
      </c>
      <c r="W1588">
        <v>2.1</v>
      </c>
      <c r="X1588">
        <v>1.05</v>
      </c>
    </row>
    <row r="1589" spans="2:24" hidden="1" x14ac:dyDescent="0.35">
      <c r="B1589">
        <v>2020</v>
      </c>
      <c r="C1589" s="1">
        <v>44137</v>
      </c>
      <c r="D1589">
        <v>2411</v>
      </c>
      <c r="E1589" t="s">
        <v>23</v>
      </c>
      <c r="F1589" t="s">
        <v>48</v>
      </c>
      <c r="G1589" t="s">
        <v>31</v>
      </c>
      <c r="H1589">
        <v>60.4</v>
      </c>
      <c r="I1589">
        <v>59.62</v>
      </c>
      <c r="J1589">
        <v>0.43990000000000001</v>
      </c>
      <c r="K1589">
        <v>0.28589999999999999</v>
      </c>
      <c r="L1589">
        <v>0.2742</v>
      </c>
      <c r="M1589">
        <v>1.4</v>
      </c>
      <c r="N1589">
        <v>1.07</v>
      </c>
      <c r="O1589">
        <v>44.3</v>
      </c>
      <c r="P1589">
        <v>44.9</v>
      </c>
      <c r="Q1589">
        <v>2</v>
      </c>
      <c r="R1589">
        <v>0</v>
      </c>
      <c r="S1589">
        <v>1.46</v>
      </c>
      <c r="T1589">
        <v>0.54</v>
      </c>
      <c r="U1589">
        <v>0.79</v>
      </c>
      <c r="V1589">
        <v>0.92</v>
      </c>
      <c r="W1589">
        <v>2.1</v>
      </c>
      <c r="X1589">
        <v>0</v>
      </c>
    </row>
    <row r="1590" spans="2:24" hidden="1" x14ac:dyDescent="0.35">
      <c r="B1590">
        <v>2020</v>
      </c>
      <c r="C1590" s="1">
        <v>44137</v>
      </c>
      <c r="D1590">
        <v>2411</v>
      </c>
      <c r="E1590" t="s">
        <v>23</v>
      </c>
      <c r="F1590" t="s">
        <v>53</v>
      </c>
      <c r="G1590" t="s">
        <v>25</v>
      </c>
      <c r="H1590">
        <v>68.84</v>
      </c>
      <c r="I1590">
        <v>79.12</v>
      </c>
      <c r="J1590">
        <v>0.28810000000000002</v>
      </c>
      <c r="K1590">
        <v>0.4602</v>
      </c>
      <c r="L1590">
        <v>0.25169999999999998</v>
      </c>
      <c r="M1590">
        <v>1.23</v>
      </c>
      <c r="N1590">
        <v>1.62</v>
      </c>
      <c r="O1590">
        <v>16.100000000000001</v>
      </c>
      <c r="P1590">
        <v>48.4</v>
      </c>
      <c r="Q1590">
        <v>1</v>
      </c>
      <c r="R1590">
        <v>4</v>
      </c>
      <c r="S1590">
        <v>1.23</v>
      </c>
      <c r="T1590">
        <v>3.03</v>
      </c>
      <c r="U1590">
        <v>1.53</v>
      </c>
      <c r="V1590">
        <v>1.75</v>
      </c>
      <c r="W1590">
        <v>1.05</v>
      </c>
      <c r="X1590">
        <v>3.53</v>
      </c>
    </row>
    <row r="1591" spans="2:24" hidden="1" x14ac:dyDescent="0.35">
      <c r="B1591">
        <v>2020</v>
      </c>
      <c r="C1591" s="1">
        <v>44141</v>
      </c>
      <c r="D1591">
        <v>2411</v>
      </c>
      <c r="E1591" t="s">
        <v>23</v>
      </c>
      <c r="F1591" t="s">
        <v>45</v>
      </c>
      <c r="G1591" t="s">
        <v>32</v>
      </c>
      <c r="H1591">
        <v>71.040000000000006</v>
      </c>
      <c r="I1591">
        <v>67.290000000000006</v>
      </c>
      <c r="J1591">
        <v>0.4592</v>
      </c>
      <c r="K1591">
        <v>0.2661</v>
      </c>
      <c r="L1591">
        <v>0.2747</v>
      </c>
      <c r="M1591">
        <v>1.42</v>
      </c>
      <c r="N1591">
        <v>1.01</v>
      </c>
      <c r="O1591">
        <v>33</v>
      </c>
      <c r="P1591">
        <v>45.3</v>
      </c>
      <c r="Q1591">
        <v>0</v>
      </c>
      <c r="R1591">
        <v>0</v>
      </c>
      <c r="S1591">
        <v>1.68</v>
      </c>
      <c r="T1591">
        <v>0.39</v>
      </c>
      <c r="U1591">
        <v>2.36</v>
      </c>
      <c r="V1591">
        <v>0.8</v>
      </c>
      <c r="W1591">
        <v>0</v>
      </c>
      <c r="X1591">
        <v>0</v>
      </c>
    </row>
    <row r="1592" spans="2:24" hidden="1" x14ac:dyDescent="0.35">
      <c r="B1592">
        <v>2020</v>
      </c>
      <c r="C1592" s="1">
        <v>44141</v>
      </c>
      <c r="D1592">
        <v>2411</v>
      </c>
      <c r="E1592" t="s">
        <v>23</v>
      </c>
      <c r="F1592" t="s">
        <v>34</v>
      </c>
      <c r="G1592" t="s">
        <v>46</v>
      </c>
      <c r="H1592">
        <v>73.42</v>
      </c>
      <c r="I1592">
        <v>65.52</v>
      </c>
      <c r="J1592">
        <v>0.51829999999999998</v>
      </c>
      <c r="K1592">
        <v>0.22989999999999999</v>
      </c>
      <c r="L1592">
        <v>0.25180000000000002</v>
      </c>
      <c r="M1592">
        <v>1.65</v>
      </c>
      <c r="N1592">
        <v>1.01</v>
      </c>
      <c r="O1592">
        <v>22.2</v>
      </c>
      <c r="P1592">
        <v>25.2</v>
      </c>
      <c r="Q1592">
        <v>2</v>
      </c>
      <c r="R1592">
        <v>0</v>
      </c>
      <c r="S1592">
        <v>0.94</v>
      </c>
      <c r="T1592">
        <v>0.28999999999999998</v>
      </c>
      <c r="U1592">
        <v>1.1200000000000001</v>
      </c>
      <c r="V1592">
        <v>0.63</v>
      </c>
      <c r="W1592">
        <v>1.81</v>
      </c>
      <c r="X1592">
        <v>0</v>
      </c>
    </row>
    <row r="1593" spans="2:24" hidden="1" x14ac:dyDescent="0.35">
      <c r="B1593">
        <v>2020</v>
      </c>
      <c r="C1593" s="1">
        <v>44142</v>
      </c>
      <c r="D1593">
        <v>2411</v>
      </c>
      <c r="E1593" t="s">
        <v>23</v>
      </c>
      <c r="F1593" t="s">
        <v>28</v>
      </c>
      <c r="G1593" t="s">
        <v>39</v>
      </c>
      <c r="H1593">
        <v>75.239999999999995</v>
      </c>
      <c r="I1593">
        <v>83.19</v>
      </c>
      <c r="J1593">
        <v>0.31390000000000001</v>
      </c>
      <c r="K1593">
        <v>0.43680000000000002</v>
      </c>
      <c r="L1593">
        <v>0.24940000000000001</v>
      </c>
      <c r="M1593">
        <v>1.33</v>
      </c>
      <c r="N1593">
        <v>1.61</v>
      </c>
      <c r="O1593">
        <v>36.200000000000003</v>
      </c>
      <c r="P1593">
        <v>51.7</v>
      </c>
      <c r="Q1593">
        <v>1</v>
      </c>
      <c r="R1593">
        <v>3</v>
      </c>
      <c r="S1593">
        <v>0.48</v>
      </c>
      <c r="T1593">
        <v>1.77</v>
      </c>
      <c r="U1593">
        <v>1.37</v>
      </c>
      <c r="V1593">
        <v>1.48</v>
      </c>
      <c r="W1593">
        <v>1.05</v>
      </c>
      <c r="X1593">
        <v>2.63</v>
      </c>
    </row>
    <row r="1594" spans="2:24" hidden="1" x14ac:dyDescent="0.35">
      <c r="B1594">
        <v>2020</v>
      </c>
      <c r="C1594" s="1">
        <v>44142</v>
      </c>
      <c r="D1594">
        <v>2411</v>
      </c>
      <c r="E1594" t="s">
        <v>23</v>
      </c>
      <c r="F1594" t="s">
        <v>30</v>
      </c>
      <c r="G1594" t="s">
        <v>53</v>
      </c>
      <c r="H1594">
        <v>66.28</v>
      </c>
      <c r="I1594">
        <v>67.48</v>
      </c>
      <c r="J1594">
        <v>0.4042</v>
      </c>
      <c r="K1594">
        <v>0.33040000000000003</v>
      </c>
      <c r="L1594">
        <v>0.26540000000000002</v>
      </c>
      <c r="M1594">
        <v>1.42</v>
      </c>
      <c r="N1594">
        <v>1.26</v>
      </c>
      <c r="O1594">
        <v>29.6</v>
      </c>
      <c r="P1594">
        <v>21.6</v>
      </c>
      <c r="Q1594">
        <v>4</v>
      </c>
      <c r="R1594">
        <v>1</v>
      </c>
      <c r="S1594">
        <v>1.26</v>
      </c>
      <c r="T1594">
        <v>0.97</v>
      </c>
      <c r="U1594">
        <v>1.05</v>
      </c>
      <c r="V1594">
        <v>1.36</v>
      </c>
      <c r="W1594">
        <v>4.2</v>
      </c>
      <c r="X1594">
        <v>1.05</v>
      </c>
    </row>
    <row r="1595" spans="2:24" hidden="1" x14ac:dyDescent="0.35">
      <c r="B1595">
        <v>2020</v>
      </c>
      <c r="C1595" s="1">
        <v>44142</v>
      </c>
      <c r="D1595">
        <v>2411</v>
      </c>
      <c r="E1595" t="s">
        <v>23</v>
      </c>
      <c r="F1595" t="s">
        <v>42</v>
      </c>
      <c r="G1595" t="s">
        <v>51</v>
      </c>
      <c r="H1595">
        <v>85.6</v>
      </c>
      <c r="I1595">
        <v>67.39</v>
      </c>
      <c r="J1595">
        <v>0.68610000000000004</v>
      </c>
      <c r="K1595">
        <v>0.1105</v>
      </c>
      <c r="L1595">
        <v>0.2034</v>
      </c>
      <c r="M1595">
        <v>1.99</v>
      </c>
      <c r="N1595">
        <v>0.65</v>
      </c>
      <c r="O1595">
        <v>59.7</v>
      </c>
      <c r="P1595">
        <v>40.299999999999997</v>
      </c>
      <c r="Q1595">
        <v>4</v>
      </c>
      <c r="R1595">
        <v>1</v>
      </c>
      <c r="S1595">
        <v>2.81</v>
      </c>
      <c r="T1595">
        <v>0.68</v>
      </c>
      <c r="U1595">
        <v>1.98</v>
      </c>
      <c r="V1595">
        <v>0.32</v>
      </c>
      <c r="W1595">
        <v>3.78</v>
      </c>
      <c r="X1595">
        <v>1.05</v>
      </c>
    </row>
    <row r="1596" spans="2:24" hidden="1" x14ac:dyDescent="0.35">
      <c r="B1596">
        <v>2020</v>
      </c>
      <c r="C1596" s="1">
        <v>44142</v>
      </c>
      <c r="D1596">
        <v>2411</v>
      </c>
      <c r="E1596" t="s">
        <v>23</v>
      </c>
      <c r="F1596" t="s">
        <v>43</v>
      </c>
      <c r="G1596" t="s">
        <v>48</v>
      </c>
      <c r="H1596">
        <v>74.36</v>
      </c>
      <c r="I1596">
        <v>61.36</v>
      </c>
      <c r="J1596">
        <v>0.55189999999999995</v>
      </c>
      <c r="K1596">
        <v>0.2099</v>
      </c>
      <c r="L1596">
        <v>0.2382</v>
      </c>
      <c r="M1596">
        <v>1.79</v>
      </c>
      <c r="N1596">
        <v>1.01</v>
      </c>
      <c r="O1596">
        <v>17.600000000000001</v>
      </c>
      <c r="P1596">
        <v>45.5</v>
      </c>
      <c r="Q1596">
        <v>1</v>
      </c>
      <c r="R1596">
        <v>0</v>
      </c>
      <c r="S1596">
        <v>1.41</v>
      </c>
      <c r="T1596">
        <v>1.74</v>
      </c>
      <c r="U1596">
        <v>1.67</v>
      </c>
      <c r="V1596">
        <v>1.4</v>
      </c>
      <c r="W1596">
        <v>1.05</v>
      </c>
      <c r="X1596">
        <v>0</v>
      </c>
    </row>
    <row r="1597" spans="2:24" hidden="1" x14ac:dyDescent="0.35">
      <c r="B1597">
        <v>2020</v>
      </c>
      <c r="C1597" s="1">
        <v>44143</v>
      </c>
      <c r="D1597">
        <v>2411</v>
      </c>
      <c r="E1597" t="s">
        <v>23</v>
      </c>
      <c r="F1597" t="s">
        <v>31</v>
      </c>
      <c r="G1597" t="s">
        <v>29</v>
      </c>
      <c r="H1597">
        <v>58.99</v>
      </c>
      <c r="I1597">
        <v>82.04</v>
      </c>
      <c r="J1597">
        <v>0.17019999999999999</v>
      </c>
      <c r="K1597">
        <v>0.60960000000000003</v>
      </c>
      <c r="L1597">
        <v>0.2203</v>
      </c>
      <c r="M1597">
        <v>0.92</v>
      </c>
      <c r="N1597">
        <v>1.95</v>
      </c>
      <c r="O1597">
        <v>43.5</v>
      </c>
      <c r="P1597">
        <v>58.2</v>
      </c>
      <c r="Q1597">
        <v>0</v>
      </c>
      <c r="R1597">
        <v>1</v>
      </c>
      <c r="S1597">
        <v>0.77</v>
      </c>
      <c r="T1597">
        <v>2.4500000000000002</v>
      </c>
      <c r="U1597">
        <v>1.38</v>
      </c>
      <c r="V1597">
        <v>1.83</v>
      </c>
      <c r="W1597">
        <v>0</v>
      </c>
      <c r="X1597">
        <v>1.05</v>
      </c>
    </row>
    <row r="1598" spans="2:24" hidden="1" x14ac:dyDescent="0.35">
      <c r="B1598">
        <v>2020</v>
      </c>
      <c r="C1598" s="1">
        <v>44143</v>
      </c>
      <c r="D1598">
        <v>2411</v>
      </c>
      <c r="E1598" t="s">
        <v>23</v>
      </c>
      <c r="F1598" t="s">
        <v>25</v>
      </c>
      <c r="G1598" t="s">
        <v>49</v>
      </c>
      <c r="H1598">
        <v>80.7</v>
      </c>
      <c r="I1598">
        <v>76.13</v>
      </c>
      <c r="J1598">
        <v>0.52829999999999999</v>
      </c>
      <c r="K1598">
        <v>0.20979999999999999</v>
      </c>
      <c r="L1598">
        <v>0.26190000000000002</v>
      </c>
      <c r="M1598">
        <v>1.56</v>
      </c>
      <c r="N1598">
        <v>0.88</v>
      </c>
      <c r="O1598">
        <v>59.8</v>
      </c>
      <c r="P1598">
        <v>27.4</v>
      </c>
      <c r="Q1598">
        <v>1</v>
      </c>
      <c r="R1598">
        <v>0</v>
      </c>
      <c r="S1598">
        <v>1.98</v>
      </c>
      <c r="T1598">
        <v>0.66</v>
      </c>
      <c r="U1598">
        <v>0.55000000000000004</v>
      </c>
      <c r="V1598">
        <v>1.23</v>
      </c>
      <c r="W1598">
        <v>1.05</v>
      </c>
      <c r="X1598">
        <v>0</v>
      </c>
    </row>
    <row r="1599" spans="2:24" hidden="1" x14ac:dyDescent="0.35">
      <c r="B1599">
        <v>2020</v>
      </c>
      <c r="C1599" s="1">
        <v>44143</v>
      </c>
      <c r="D1599">
        <v>2411</v>
      </c>
      <c r="E1599" t="s">
        <v>23</v>
      </c>
      <c r="F1599" t="s">
        <v>36</v>
      </c>
      <c r="G1599" t="s">
        <v>41</v>
      </c>
      <c r="H1599">
        <v>92.97</v>
      </c>
      <c r="I1599">
        <v>88.64</v>
      </c>
      <c r="J1599">
        <v>0.52769999999999995</v>
      </c>
      <c r="K1599">
        <v>0.25369999999999998</v>
      </c>
      <c r="L1599">
        <v>0.2185</v>
      </c>
      <c r="M1599">
        <v>2.06</v>
      </c>
      <c r="N1599">
        <v>1.38</v>
      </c>
      <c r="O1599">
        <v>100</v>
      </c>
      <c r="P1599">
        <v>97.7</v>
      </c>
      <c r="Q1599">
        <v>1</v>
      </c>
      <c r="R1599">
        <v>1</v>
      </c>
      <c r="S1599">
        <v>1.73</v>
      </c>
      <c r="T1599">
        <v>1.19</v>
      </c>
      <c r="U1599">
        <v>0.89</v>
      </c>
      <c r="V1599">
        <v>1.04</v>
      </c>
      <c r="W1599">
        <v>1.05</v>
      </c>
      <c r="X1599">
        <v>1.05</v>
      </c>
    </row>
    <row r="1600" spans="2:24" hidden="1" x14ac:dyDescent="0.35">
      <c r="B1600">
        <v>2020</v>
      </c>
      <c r="C1600" s="1">
        <v>44143</v>
      </c>
      <c r="D1600">
        <v>2411</v>
      </c>
      <c r="E1600" t="s">
        <v>23</v>
      </c>
      <c r="F1600" t="s">
        <v>40</v>
      </c>
      <c r="G1600" t="s">
        <v>52</v>
      </c>
      <c r="H1600">
        <v>81.069999999999993</v>
      </c>
      <c r="I1600">
        <v>71.42</v>
      </c>
      <c r="J1600">
        <v>0.56299999999999994</v>
      </c>
      <c r="K1600">
        <v>0.20399999999999999</v>
      </c>
      <c r="L1600">
        <v>0.23300000000000001</v>
      </c>
      <c r="M1600">
        <v>1.84</v>
      </c>
      <c r="N1600">
        <v>1.01</v>
      </c>
      <c r="O1600">
        <v>53.2</v>
      </c>
      <c r="P1600">
        <v>24.1</v>
      </c>
      <c r="Q1600">
        <v>0</v>
      </c>
      <c r="R1600">
        <v>3</v>
      </c>
      <c r="S1600">
        <v>1.7</v>
      </c>
      <c r="T1600">
        <v>1.7</v>
      </c>
      <c r="U1600">
        <v>1.44</v>
      </c>
      <c r="V1600">
        <v>1.6</v>
      </c>
      <c r="W1600">
        <v>0</v>
      </c>
      <c r="X1600">
        <v>3</v>
      </c>
    </row>
    <row r="1601" spans="2:24" hidden="1" x14ac:dyDescent="0.35">
      <c r="B1601">
        <v>2020</v>
      </c>
      <c r="C1601" s="1">
        <v>44156</v>
      </c>
      <c r="D1601">
        <v>2411</v>
      </c>
      <c r="E1601" t="s">
        <v>23</v>
      </c>
      <c r="F1601" t="s">
        <v>46</v>
      </c>
      <c r="G1601" t="s">
        <v>42</v>
      </c>
      <c r="H1601">
        <v>65.290000000000006</v>
      </c>
      <c r="I1601">
        <v>86.07</v>
      </c>
      <c r="J1601">
        <v>0.16550000000000001</v>
      </c>
      <c r="K1601">
        <v>0.61639999999999995</v>
      </c>
      <c r="L1601">
        <v>0.21809999999999999</v>
      </c>
      <c r="M1601">
        <v>0.91</v>
      </c>
      <c r="N1601">
        <v>1.97</v>
      </c>
      <c r="O1601">
        <v>28.2</v>
      </c>
      <c r="P1601">
        <v>63.6</v>
      </c>
      <c r="Q1601">
        <v>0</v>
      </c>
      <c r="R1601">
        <v>2</v>
      </c>
      <c r="S1601">
        <v>0.41</v>
      </c>
      <c r="T1601">
        <v>1.77</v>
      </c>
      <c r="U1601">
        <v>0.65</v>
      </c>
      <c r="V1601">
        <v>1.21</v>
      </c>
      <c r="W1601">
        <v>0</v>
      </c>
      <c r="X1601">
        <v>2.1</v>
      </c>
    </row>
    <row r="1602" spans="2:24" hidden="1" x14ac:dyDescent="0.35">
      <c r="B1602">
        <v>2020</v>
      </c>
      <c r="C1602" s="1">
        <v>44156</v>
      </c>
      <c r="D1602">
        <v>2411</v>
      </c>
      <c r="E1602" t="s">
        <v>23</v>
      </c>
      <c r="F1602" t="s">
        <v>52</v>
      </c>
      <c r="G1602" t="s">
        <v>45</v>
      </c>
      <c r="H1602">
        <v>73.17</v>
      </c>
      <c r="I1602">
        <v>71.819999999999993</v>
      </c>
      <c r="J1602">
        <v>0.46050000000000002</v>
      </c>
      <c r="K1602">
        <v>0.28810000000000002</v>
      </c>
      <c r="L1602">
        <v>0.25140000000000001</v>
      </c>
      <c r="M1602">
        <v>1.62</v>
      </c>
      <c r="N1602">
        <v>1.23</v>
      </c>
      <c r="O1602">
        <v>29.5</v>
      </c>
      <c r="P1602">
        <v>26.2</v>
      </c>
      <c r="Q1602">
        <v>1</v>
      </c>
      <c r="R1602">
        <v>2</v>
      </c>
      <c r="S1602">
        <v>2.2799999999999998</v>
      </c>
      <c r="T1602">
        <v>1.33</v>
      </c>
      <c r="U1602">
        <v>1.1399999999999999</v>
      </c>
      <c r="V1602">
        <v>0.74</v>
      </c>
      <c r="W1602">
        <v>1.05</v>
      </c>
      <c r="X1602">
        <v>2.1</v>
      </c>
    </row>
    <row r="1603" spans="2:24" hidden="1" x14ac:dyDescent="0.35">
      <c r="B1603">
        <v>2020</v>
      </c>
      <c r="C1603" s="1">
        <v>44156</v>
      </c>
      <c r="D1603">
        <v>2411</v>
      </c>
      <c r="E1603" t="s">
        <v>23</v>
      </c>
      <c r="F1603" t="s">
        <v>29</v>
      </c>
      <c r="G1603" t="s">
        <v>36</v>
      </c>
      <c r="H1603">
        <v>82.27</v>
      </c>
      <c r="I1603">
        <v>92.84</v>
      </c>
      <c r="J1603">
        <v>0.24679999999999999</v>
      </c>
      <c r="K1603">
        <v>0.52549999999999997</v>
      </c>
      <c r="L1603">
        <v>0.22770000000000001</v>
      </c>
      <c r="M1603">
        <v>1.26</v>
      </c>
      <c r="N1603">
        <v>1.93</v>
      </c>
      <c r="O1603">
        <v>67.099999999999994</v>
      </c>
      <c r="P1603">
        <v>78.900000000000006</v>
      </c>
      <c r="Q1603">
        <v>2</v>
      </c>
      <c r="R1603">
        <v>0</v>
      </c>
      <c r="S1603">
        <v>0.87</v>
      </c>
      <c r="T1603">
        <v>2.31</v>
      </c>
      <c r="U1603">
        <v>0.61</v>
      </c>
      <c r="V1603">
        <v>2.48</v>
      </c>
      <c r="W1603">
        <v>2.1</v>
      </c>
      <c r="X1603">
        <v>0</v>
      </c>
    </row>
    <row r="1604" spans="2:24" hidden="1" x14ac:dyDescent="0.35">
      <c r="B1604">
        <v>2020</v>
      </c>
      <c r="C1604" s="1">
        <v>44156</v>
      </c>
      <c r="D1604">
        <v>2411</v>
      </c>
      <c r="E1604" t="s">
        <v>23</v>
      </c>
      <c r="F1604" t="s">
        <v>39</v>
      </c>
      <c r="G1604" t="s">
        <v>31</v>
      </c>
      <c r="H1604">
        <v>83.8</v>
      </c>
      <c r="I1604">
        <v>58.87</v>
      </c>
      <c r="J1604">
        <v>0.78110000000000002</v>
      </c>
      <c r="K1604">
        <v>6.1699999999999998E-2</v>
      </c>
      <c r="L1604">
        <v>0.15720000000000001</v>
      </c>
      <c r="M1604">
        <v>2.2999999999999998</v>
      </c>
      <c r="N1604">
        <v>0.48</v>
      </c>
      <c r="O1604">
        <v>61.9</v>
      </c>
      <c r="P1604">
        <v>36.6</v>
      </c>
      <c r="Q1604">
        <v>1</v>
      </c>
      <c r="R1604">
        <v>0</v>
      </c>
      <c r="S1604">
        <v>2.5</v>
      </c>
      <c r="T1604">
        <v>0.39</v>
      </c>
      <c r="U1604">
        <v>2.54</v>
      </c>
      <c r="V1604">
        <v>0.59</v>
      </c>
      <c r="W1604">
        <v>1.05</v>
      </c>
      <c r="X1604">
        <v>0</v>
      </c>
    </row>
    <row r="1605" spans="2:24" hidden="1" x14ac:dyDescent="0.35">
      <c r="B1605">
        <v>2020</v>
      </c>
      <c r="C1605" s="1">
        <v>44157</v>
      </c>
      <c r="D1605">
        <v>2411</v>
      </c>
      <c r="E1605" t="s">
        <v>23</v>
      </c>
      <c r="F1605" t="s">
        <v>48</v>
      </c>
      <c r="G1605" t="s">
        <v>28</v>
      </c>
      <c r="H1605">
        <v>62</v>
      </c>
      <c r="I1605">
        <v>74.52</v>
      </c>
      <c r="J1605">
        <v>0.30890000000000001</v>
      </c>
      <c r="K1605">
        <v>0.43259999999999998</v>
      </c>
      <c r="L1605">
        <v>0.25840000000000002</v>
      </c>
      <c r="M1605">
        <v>1.25</v>
      </c>
      <c r="N1605">
        <v>1.52</v>
      </c>
      <c r="O1605">
        <v>41.2</v>
      </c>
      <c r="P1605">
        <v>18.100000000000001</v>
      </c>
      <c r="Q1605">
        <v>2</v>
      </c>
      <c r="R1605">
        <v>3</v>
      </c>
      <c r="S1605">
        <v>2.09</v>
      </c>
      <c r="T1605">
        <v>2.14</v>
      </c>
      <c r="U1605">
        <v>1.8</v>
      </c>
      <c r="V1605">
        <v>1.95</v>
      </c>
      <c r="W1605">
        <v>2.1</v>
      </c>
      <c r="X1605">
        <v>3.15</v>
      </c>
    </row>
    <row r="1606" spans="2:24" hidden="1" x14ac:dyDescent="0.35">
      <c r="B1606">
        <v>2020</v>
      </c>
      <c r="C1606" s="1">
        <v>44157</v>
      </c>
      <c r="D1606">
        <v>2411</v>
      </c>
      <c r="E1606" t="s">
        <v>23</v>
      </c>
      <c r="F1606" t="s">
        <v>51</v>
      </c>
      <c r="G1606" t="s">
        <v>43</v>
      </c>
      <c r="H1606">
        <v>66.44</v>
      </c>
      <c r="I1606">
        <v>73.91</v>
      </c>
      <c r="J1606">
        <v>0.34570000000000001</v>
      </c>
      <c r="K1606">
        <v>0.37730000000000002</v>
      </c>
      <c r="L1606">
        <v>0.27700000000000002</v>
      </c>
      <c r="M1606">
        <v>1.22</v>
      </c>
      <c r="N1606">
        <v>1.28</v>
      </c>
      <c r="O1606">
        <v>41</v>
      </c>
      <c r="P1606">
        <v>17</v>
      </c>
      <c r="Q1606">
        <v>0</v>
      </c>
      <c r="R1606">
        <v>1</v>
      </c>
      <c r="S1606">
        <v>0.79</v>
      </c>
      <c r="T1606">
        <v>2.2599999999999998</v>
      </c>
      <c r="U1606">
        <v>0.92</v>
      </c>
      <c r="V1606">
        <v>2.0699999999999998</v>
      </c>
      <c r="W1606">
        <v>0</v>
      </c>
      <c r="X1606">
        <v>1.05</v>
      </c>
    </row>
    <row r="1607" spans="2:24" hidden="1" x14ac:dyDescent="0.35">
      <c r="B1607">
        <v>2020</v>
      </c>
      <c r="C1607" s="1">
        <v>44157</v>
      </c>
      <c r="D1607">
        <v>2411</v>
      </c>
      <c r="E1607" t="s">
        <v>23</v>
      </c>
      <c r="F1607" t="s">
        <v>53</v>
      </c>
      <c r="G1607" t="s">
        <v>40</v>
      </c>
      <c r="H1607">
        <v>66.290000000000006</v>
      </c>
      <c r="I1607">
        <v>79.459999999999994</v>
      </c>
      <c r="J1607">
        <v>0.28220000000000001</v>
      </c>
      <c r="K1607">
        <v>0.46810000000000002</v>
      </c>
      <c r="L1607">
        <v>0.24970000000000001</v>
      </c>
      <c r="M1607">
        <v>1.22</v>
      </c>
      <c r="N1607">
        <v>1.64</v>
      </c>
      <c r="O1607">
        <v>22.8</v>
      </c>
      <c r="P1607">
        <v>34.9</v>
      </c>
      <c r="Q1607">
        <v>0</v>
      </c>
      <c r="R1607">
        <v>0</v>
      </c>
      <c r="S1607">
        <v>2.06</v>
      </c>
      <c r="T1607">
        <v>0.84</v>
      </c>
      <c r="U1607">
        <v>1.99</v>
      </c>
      <c r="V1607">
        <v>0.92</v>
      </c>
      <c r="W1607">
        <v>0</v>
      </c>
      <c r="X1607">
        <v>0</v>
      </c>
    </row>
    <row r="1608" spans="2:24" hidden="1" x14ac:dyDescent="0.35">
      <c r="B1608">
        <v>2020</v>
      </c>
      <c r="C1608" s="1">
        <v>44157</v>
      </c>
      <c r="D1608">
        <v>2411</v>
      </c>
      <c r="E1608" t="s">
        <v>23</v>
      </c>
      <c r="F1608" t="s">
        <v>41</v>
      </c>
      <c r="G1608" t="s">
        <v>25</v>
      </c>
      <c r="H1608">
        <v>88.95</v>
      </c>
      <c r="I1608">
        <v>80.849999999999994</v>
      </c>
      <c r="J1608">
        <v>0.58040000000000003</v>
      </c>
      <c r="K1608">
        <v>0.20449999999999999</v>
      </c>
      <c r="L1608">
        <v>0.2152</v>
      </c>
      <c r="M1608">
        <v>2.0699999999999998</v>
      </c>
      <c r="N1608">
        <v>1.1499999999999999</v>
      </c>
      <c r="O1608">
        <v>68.7</v>
      </c>
      <c r="P1608">
        <v>63.4</v>
      </c>
      <c r="Q1608">
        <v>3</v>
      </c>
      <c r="R1608">
        <v>0</v>
      </c>
      <c r="S1608">
        <v>4.83</v>
      </c>
      <c r="T1608">
        <v>1.94</v>
      </c>
      <c r="U1608">
        <v>2.23</v>
      </c>
      <c r="V1608">
        <v>1.1599999999999999</v>
      </c>
      <c r="W1608">
        <v>2.74</v>
      </c>
      <c r="X1608">
        <v>0</v>
      </c>
    </row>
    <row r="1609" spans="2:24" hidden="1" x14ac:dyDescent="0.35">
      <c r="B1609">
        <v>2020</v>
      </c>
      <c r="C1609" s="1">
        <v>44158</v>
      </c>
      <c r="D1609">
        <v>2411</v>
      </c>
      <c r="E1609" t="s">
        <v>23</v>
      </c>
      <c r="F1609" t="s">
        <v>32</v>
      </c>
      <c r="G1609" t="s">
        <v>30</v>
      </c>
      <c r="H1609">
        <v>66.849999999999994</v>
      </c>
      <c r="I1609">
        <v>67.14</v>
      </c>
      <c r="J1609">
        <v>0.43440000000000001</v>
      </c>
      <c r="K1609">
        <v>0.27939999999999998</v>
      </c>
      <c r="L1609">
        <v>0.28620000000000001</v>
      </c>
      <c r="M1609">
        <v>1.31</v>
      </c>
      <c r="N1609">
        <v>0.99</v>
      </c>
      <c r="O1609">
        <v>48.6</v>
      </c>
      <c r="P1609">
        <v>19.399999999999999</v>
      </c>
      <c r="Q1609">
        <v>1</v>
      </c>
      <c r="R1609">
        <v>0</v>
      </c>
      <c r="S1609">
        <v>1.69</v>
      </c>
      <c r="T1609">
        <v>1.32</v>
      </c>
      <c r="U1609">
        <v>1.1599999999999999</v>
      </c>
      <c r="V1609">
        <v>2.13</v>
      </c>
      <c r="W1609">
        <v>1.05</v>
      </c>
      <c r="X1609">
        <v>0</v>
      </c>
    </row>
    <row r="1610" spans="2:24" hidden="1" x14ac:dyDescent="0.35">
      <c r="B1610">
        <v>2020</v>
      </c>
      <c r="C1610" s="1">
        <v>44158</v>
      </c>
      <c r="D1610">
        <v>2411</v>
      </c>
      <c r="E1610" t="s">
        <v>23</v>
      </c>
      <c r="F1610" t="s">
        <v>49</v>
      </c>
      <c r="G1610" t="s">
        <v>34</v>
      </c>
      <c r="H1610">
        <v>76.19</v>
      </c>
      <c r="I1610">
        <v>74.099999999999994</v>
      </c>
      <c r="J1610">
        <v>0.4163</v>
      </c>
      <c r="K1610">
        <v>0.29659999999999997</v>
      </c>
      <c r="L1610">
        <v>0.28710000000000002</v>
      </c>
      <c r="M1610">
        <v>1.28</v>
      </c>
      <c r="N1610">
        <v>1.03</v>
      </c>
      <c r="O1610">
        <v>20.100000000000001</v>
      </c>
      <c r="P1610">
        <v>27.8</v>
      </c>
      <c r="Q1610">
        <v>1</v>
      </c>
      <c r="R1610">
        <v>1</v>
      </c>
      <c r="S1610">
        <v>1.75</v>
      </c>
      <c r="T1610">
        <v>1.19</v>
      </c>
      <c r="U1610">
        <v>1.28</v>
      </c>
      <c r="V1610">
        <v>1.49</v>
      </c>
      <c r="W1610">
        <v>1.05</v>
      </c>
      <c r="X1610">
        <v>1.05</v>
      </c>
    </row>
    <row r="1611" spans="2:24" hidden="1" x14ac:dyDescent="0.35">
      <c r="B1611">
        <v>2020</v>
      </c>
      <c r="C1611" s="1">
        <v>44162</v>
      </c>
      <c r="D1611">
        <v>2411</v>
      </c>
      <c r="E1611" t="s">
        <v>23</v>
      </c>
      <c r="F1611" t="s">
        <v>30</v>
      </c>
      <c r="G1611" t="s">
        <v>46</v>
      </c>
      <c r="H1611">
        <v>67.16</v>
      </c>
      <c r="I1611">
        <v>64.760000000000005</v>
      </c>
      <c r="J1611">
        <v>0.441</v>
      </c>
      <c r="K1611">
        <v>0.27789999999999998</v>
      </c>
      <c r="L1611">
        <v>0.28110000000000002</v>
      </c>
      <c r="M1611">
        <v>1.35</v>
      </c>
      <c r="N1611">
        <v>1.01</v>
      </c>
      <c r="O1611">
        <v>24.8</v>
      </c>
      <c r="P1611">
        <v>32.799999999999997</v>
      </c>
      <c r="Q1611">
        <v>0</v>
      </c>
      <c r="R1611">
        <v>2</v>
      </c>
      <c r="S1611">
        <v>0.6</v>
      </c>
      <c r="T1611">
        <v>1.4</v>
      </c>
      <c r="U1611">
        <v>1.97</v>
      </c>
      <c r="V1611">
        <v>1.05</v>
      </c>
      <c r="W1611">
        <v>0</v>
      </c>
      <c r="X1611">
        <v>1.6</v>
      </c>
    </row>
    <row r="1612" spans="2:24" hidden="1" x14ac:dyDescent="0.35">
      <c r="B1612">
        <v>2020</v>
      </c>
      <c r="C1612" s="1">
        <v>44163</v>
      </c>
      <c r="D1612">
        <v>2411</v>
      </c>
      <c r="E1612" t="s">
        <v>23</v>
      </c>
      <c r="F1612" t="s">
        <v>45</v>
      </c>
      <c r="G1612" t="s">
        <v>41</v>
      </c>
      <c r="H1612">
        <v>72.08</v>
      </c>
      <c r="I1612">
        <v>88.63</v>
      </c>
      <c r="J1612">
        <v>0.182</v>
      </c>
      <c r="K1612">
        <v>0.60860000000000003</v>
      </c>
      <c r="L1612">
        <v>0.2094</v>
      </c>
      <c r="M1612">
        <v>1.07</v>
      </c>
      <c r="N1612">
        <v>2.11</v>
      </c>
      <c r="O1612">
        <v>20</v>
      </c>
      <c r="P1612">
        <v>63</v>
      </c>
      <c r="Q1612">
        <v>1</v>
      </c>
      <c r="R1612">
        <v>1</v>
      </c>
      <c r="S1612">
        <v>2.15</v>
      </c>
      <c r="T1612">
        <v>0.34</v>
      </c>
      <c r="U1612">
        <v>1.26</v>
      </c>
      <c r="V1612">
        <v>0.62</v>
      </c>
      <c r="W1612">
        <v>1.05</v>
      </c>
      <c r="X1612">
        <v>1.05</v>
      </c>
    </row>
    <row r="1613" spans="2:24" hidden="1" x14ac:dyDescent="0.35">
      <c r="B1613">
        <v>2020</v>
      </c>
      <c r="C1613" s="1">
        <v>44163</v>
      </c>
      <c r="D1613">
        <v>2411</v>
      </c>
      <c r="E1613" t="s">
        <v>23</v>
      </c>
      <c r="F1613" t="s">
        <v>36</v>
      </c>
      <c r="G1613" t="s">
        <v>32</v>
      </c>
      <c r="H1613">
        <v>93.52</v>
      </c>
      <c r="I1613">
        <v>66.739999999999995</v>
      </c>
      <c r="J1613">
        <v>0.84160000000000001</v>
      </c>
      <c r="K1613">
        <v>3.8199999999999998E-2</v>
      </c>
      <c r="L1613">
        <v>0.1202</v>
      </c>
      <c r="M1613">
        <v>2.6</v>
      </c>
      <c r="N1613">
        <v>0.4</v>
      </c>
      <c r="Q1613">
        <v>5</v>
      </c>
      <c r="R1613">
        <v>0</v>
      </c>
      <c r="S1613">
        <v>2.23</v>
      </c>
      <c r="T1613">
        <v>0.4</v>
      </c>
      <c r="U1613">
        <v>2.17</v>
      </c>
      <c r="V1613">
        <v>0.74</v>
      </c>
      <c r="W1613">
        <v>5.25</v>
      </c>
      <c r="X1613">
        <v>0</v>
      </c>
    </row>
    <row r="1614" spans="2:24" hidden="1" x14ac:dyDescent="0.35">
      <c r="B1614">
        <v>2020</v>
      </c>
      <c r="C1614" s="1">
        <v>44163</v>
      </c>
      <c r="D1614">
        <v>2411</v>
      </c>
      <c r="E1614" t="s">
        <v>23</v>
      </c>
      <c r="F1614" t="s">
        <v>28</v>
      </c>
      <c r="G1614" t="s">
        <v>53</v>
      </c>
      <c r="H1614">
        <v>74.03</v>
      </c>
      <c r="I1614">
        <v>67.56</v>
      </c>
      <c r="J1614">
        <v>0.50990000000000002</v>
      </c>
      <c r="K1614">
        <v>0.25319999999999998</v>
      </c>
      <c r="L1614">
        <v>0.2369</v>
      </c>
      <c r="M1614">
        <v>1.81</v>
      </c>
      <c r="N1614">
        <v>1.21</v>
      </c>
      <c r="O1614">
        <v>22.8</v>
      </c>
      <c r="P1614">
        <v>18.600000000000001</v>
      </c>
      <c r="Q1614">
        <v>0</v>
      </c>
      <c r="R1614">
        <v>1</v>
      </c>
      <c r="S1614">
        <v>1.6</v>
      </c>
      <c r="T1614">
        <v>3.17</v>
      </c>
      <c r="U1614">
        <v>1.78</v>
      </c>
      <c r="V1614">
        <v>1.98</v>
      </c>
      <c r="W1614">
        <v>0</v>
      </c>
      <c r="X1614">
        <v>1.05</v>
      </c>
    </row>
    <row r="1615" spans="2:24" hidden="1" x14ac:dyDescent="0.35">
      <c r="B1615">
        <v>2020</v>
      </c>
      <c r="C1615" s="1">
        <v>44163</v>
      </c>
      <c r="D1615">
        <v>2411</v>
      </c>
      <c r="E1615" t="s">
        <v>23</v>
      </c>
      <c r="F1615" t="s">
        <v>31</v>
      </c>
      <c r="G1615" t="s">
        <v>51</v>
      </c>
      <c r="H1615">
        <v>58.65</v>
      </c>
      <c r="I1615">
        <v>65.25</v>
      </c>
      <c r="J1615">
        <v>0.34370000000000001</v>
      </c>
      <c r="K1615">
        <v>0.35289999999999999</v>
      </c>
      <c r="L1615">
        <v>0.3034</v>
      </c>
      <c r="M1615">
        <v>1.06</v>
      </c>
      <c r="N1615">
        <v>1.08</v>
      </c>
      <c r="O1615">
        <v>41.6</v>
      </c>
      <c r="P1615">
        <v>47.1</v>
      </c>
      <c r="Q1615">
        <v>1</v>
      </c>
      <c r="R1615">
        <v>0</v>
      </c>
      <c r="S1615">
        <v>1.66</v>
      </c>
      <c r="T1615">
        <v>3.36</v>
      </c>
      <c r="U1615">
        <v>1.19</v>
      </c>
      <c r="V1615">
        <v>2.2400000000000002</v>
      </c>
      <c r="W1615">
        <v>1.05</v>
      </c>
      <c r="X1615">
        <v>0</v>
      </c>
    </row>
    <row r="1616" spans="2:24" hidden="1" x14ac:dyDescent="0.35">
      <c r="B1616">
        <v>2020</v>
      </c>
      <c r="C1616" s="1">
        <v>44164</v>
      </c>
      <c r="D1616">
        <v>2411</v>
      </c>
      <c r="E1616" t="s">
        <v>23</v>
      </c>
      <c r="F1616" t="s">
        <v>34</v>
      </c>
      <c r="G1616" t="s">
        <v>39</v>
      </c>
      <c r="H1616">
        <v>74.22</v>
      </c>
      <c r="I1616">
        <v>84</v>
      </c>
      <c r="J1616">
        <v>0.27739999999999998</v>
      </c>
      <c r="K1616">
        <v>0.47610000000000002</v>
      </c>
      <c r="L1616">
        <v>0.2465</v>
      </c>
      <c r="M1616">
        <v>1.23</v>
      </c>
      <c r="N1616">
        <v>1.68</v>
      </c>
      <c r="O1616">
        <v>27.2</v>
      </c>
      <c r="P1616">
        <v>57.6</v>
      </c>
      <c r="Q1616">
        <v>2</v>
      </c>
      <c r="R1616">
        <v>3</v>
      </c>
      <c r="S1616">
        <v>0.48</v>
      </c>
      <c r="T1616">
        <v>2.82</v>
      </c>
      <c r="U1616">
        <v>0.39</v>
      </c>
      <c r="V1616">
        <v>1.81</v>
      </c>
      <c r="W1616">
        <v>2.1</v>
      </c>
      <c r="X1616">
        <v>3.15</v>
      </c>
    </row>
    <row r="1617" spans="2:24" hidden="1" x14ac:dyDescent="0.35">
      <c r="B1617">
        <v>2020</v>
      </c>
      <c r="C1617" s="1">
        <v>44164</v>
      </c>
      <c r="D1617">
        <v>2411</v>
      </c>
      <c r="E1617" t="s">
        <v>23</v>
      </c>
      <c r="F1617" t="s">
        <v>42</v>
      </c>
      <c r="G1617" t="s">
        <v>29</v>
      </c>
      <c r="H1617">
        <v>86.44</v>
      </c>
      <c r="I1617">
        <v>83.74</v>
      </c>
      <c r="J1617">
        <v>0.47510000000000002</v>
      </c>
      <c r="K1617">
        <v>0.28639999999999999</v>
      </c>
      <c r="L1617">
        <v>0.23849999999999999</v>
      </c>
      <c r="M1617">
        <v>1.77</v>
      </c>
      <c r="N1617">
        <v>1.33</v>
      </c>
      <c r="O1617">
        <v>71.400000000000006</v>
      </c>
      <c r="P1617">
        <v>68.400000000000006</v>
      </c>
      <c r="Q1617">
        <v>0</v>
      </c>
      <c r="R1617">
        <v>0</v>
      </c>
      <c r="S1617">
        <v>1</v>
      </c>
      <c r="T1617">
        <v>0.21</v>
      </c>
      <c r="U1617">
        <v>1.08</v>
      </c>
      <c r="V1617">
        <v>0.89</v>
      </c>
      <c r="W1617">
        <v>0</v>
      </c>
      <c r="X1617">
        <v>0</v>
      </c>
    </row>
    <row r="1618" spans="2:24" hidden="1" x14ac:dyDescent="0.35">
      <c r="B1618">
        <v>2020</v>
      </c>
      <c r="C1618" s="1">
        <v>44164</v>
      </c>
      <c r="D1618">
        <v>2411</v>
      </c>
      <c r="E1618" t="s">
        <v>23</v>
      </c>
      <c r="F1618" t="s">
        <v>40</v>
      </c>
      <c r="G1618" t="s">
        <v>49</v>
      </c>
      <c r="H1618">
        <v>79.209999999999994</v>
      </c>
      <c r="I1618">
        <v>75.959999999999994</v>
      </c>
      <c r="J1618">
        <v>0.48730000000000001</v>
      </c>
      <c r="K1618">
        <v>0.2316</v>
      </c>
      <c r="L1618">
        <v>0.28120000000000001</v>
      </c>
      <c r="M1618">
        <v>1.39</v>
      </c>
      <c r="N1618">
        <v>0.87</v>
      </c>
      <c r="O1618">
        <v>35.5</v>
      </c>
      <c r="P1618">
        <v>17</v>
      </c>
      <c r="Q1618">
        <v>1</v>
      </c>
      <c r="R1618">
        <v>2</v>
      </c>
      <c r="S1618">
        <v>1.24</v>
      </c>
      <c r="T1618">
        <v>2.16</v>
      </c>
      <c r="U1618">
        <v>1.68</v>
      </c>
      <c r="V1618">
        <v>1.24</v>
      </c>
      <c r="W1618">
        <v>1.05</v>
      </c>
      <c r="X1618">
        <v>2.1</v>
      </c>
    </row>
    <row r="1619" spans="2:24" hidden="1" x14ac:dyDescent="0.35">
      <c r="B1619">
        <v>2020</v>
      </c>
      <c r="C1619" s="1">
        <v>44165</v>
      </c>
      <c r="D1619">
        <v>2411</v>
      </c>
      <c r="E1619" t="s">
        <v>23</v>
      </c>
      <c r="F1619" t="s">
        <v>25</v>
      </c>
      <c r="G1619" t="s">
        <v>48</v>
      </c>
      <c r="H1619">
        <v>79.28</v>
      </c>
      <c r="I1619">
        <v>61.81</v>
      </c>
      <c r="J1619">
        <v>0.64200000000000002</v>
      </c>
      <c r="K1619">
        <v>0.15140000000000001</v>
      </c>
      <c r="L1619">
        <v>0.20649999999999999</v>
      </c>
      <c r="M1619">
        <v>2.08</v>
      </c>
      <c r="N1619">
        <v>0.9</v>
      </c>
      <c r="O1619">
        <v>50.1</v>
      </c>
      <c r="P1619">
        <v>42.2</v>
      </c>
      <c r="Q1619">
        <v>1</v>
      </c>
      <c r="R1619">
        <v>2</v>
      </c>
      <c r="S1619">
        <v>1.52</v>
      </c>
      <c r="T1619">
        <v>1.92</v>
      </c>
      <c r="U1619">
        <v>1.41</v>
      </c>
      <c r="V1619">
        <v>1.07</v>
      </c>
      <c r="W1619">
        <v>1.05</v>
      </c>
      <c r="X1619">
        <v>2.1</v>
      </c>
    </row>
    <row r="1620" spans="2:24" hidden="1" x14ac:dyDescent="0.35">
      <c r="B1620">
        <v>2020</v>
      </c>
      <c r="C1620" s="1">
        <v>44165</v>
      </c>
      <c r="D1620">
        <v>2411</v>
      </c>
      <c r="E1620" t="s">
        <v>23</v>
      </c>
      <c r="F1620" t="s">
        <v>43</v>
      </c>
      <c r="G1620" t="s">
        <v>52</v>
      </c>
      <c r="H1620">
        <v>75.13</v>
      </c>
      <c r="I1620">
        <v>72.89</v>
      </c>
      <c r="J1620">
        <v>0.45</v>
      </c>
      <c r="K1620">
        <v>0.30420000000000003</v>
      </c>
      <c r="L1620">
        <v>0.24579999999999999</v>
      </c>
      <c r="M1620">
        <v>1.67</v>
      </c>
      <c r="N1620">
        <v>1.33</v>
      </c>
      <c r="O1620">
        <v>27</v>
      </c>
      <c r="P1620">
        <v>27.1</v>
      </c>
      <c r="Q1620">
        <v>2</v>
      </c>
      <c r="R1620">
        <v>1</v>
      </c>
      <c r="S1620">
        <v>0.71</v>
      </c>
      <c r="T1620">
        <v>2.48</v>
      </c>
      <c r="U1620">
        <v>0.57999999999999996</v>
      </c>
      <c r="V1620">
        <v>1.85</v>
      </c>
      <c r="W1620">
        <v>2.1</v>
      </c>
      <c r="X1620">
        <v>1.05</v>
      </c>
    </row>
    <row r="1621" spans="2:24" hidden="1" x14ac:dyDescent="0.35">
      <c r="B1621">
        <v>2020</v>
      </c>
      <c r="C1621" s="1">
        <v>44170</v>
      </c>
      <c r="D1621">
        <v>2411</v>
      </c>
      <c r="E1621" t="s">
        <v>23</v>
      </c>
      <c r="F1621" t="s">
        <v>32</v>
      </c>
      <c r="G1621" t="s">
        <v>28</v>
      </c>
      <c r="H1621">
        <v>65.97</v>
      </c>
      <c r="I1621">
        <v>72.510000000000005</v>
      </c>
      <c r="J1621">
        <v>0.35820000000000002</v>
      </c>
      <c r="K1621">
        <v>0.37269999999999998</v>
      </c>
      <c r="L1621">
        <v>0.26910000000000001</v>
      </c>
      <c r="M1621">
        <v>1.3</v>
      </c>
      <c r="N1621">
        <v>1.33</v>
      </c>
      <c r="O1621">
        <v>42</v>
      </c>
      <c r="P1621">
        <v>14.4</v>
      </c>
      <c r="Q1621">
        <v>1</v>
      </c>
      <c r="R1621">
        <v>1</v>
      </c>
      <c r="S1621">
        <v>0.85</v>
      </c>
      <c r="T1621">
        <v>2.27</v>
      </c>
      <c r="U1621">
        <v>1.02</v>
      </c>
      <c r="V1621">
        <v>1.29</v>
      </c>
      <c r="W1621">
        <v>1.05</v>
      </c>
      <c r="X1621">
        <v>1.05</v>
      </c>
    </row>
    <row r="1622" spans="2:24" hidden="1" x14ac:dyDescent="0.35">
      <c r="B1622">
        <v>2020</v>
      </c>
      <c r="C1622" s="1">
        <v>44170</v>
      </c>
      <c r="D1622">
        <v>2411</v>
      </c>
      <c r="E1622" t="s">
        <v>23</v>
      </c>
      <c r="F1622" t="s">
        <v>36</v>
      </c>
      <c r="G1622" t="s">
        <v>48</v>
      </c>
      <c r="H1622">
        <v>93.9</v>
      </c>
      <c r="I1622">
        <v>63.43</v>
      </c>
      <c r="J1622">
        <v>0.87990000000000002</v>
      </c>
      <c r="K1622">
        <v>2.8500000000000001E-2</v>
      </c>
      <c r="L1622">
        <v>9.1600000000000001E-2</v>
      </c>
      <c r="M1622">
        <v>2.99</v>
      </c>
      <c r="N1622">
        <v>0.41</v>
      </c>
      <c r="O1622">
        <v>67.900000000000006</v>
      </c>
      <c r="P1622">
        <v>45.4</v>
      </c>
      <c r="Q1622">
        <v>2</v>
      </c>
      <c r="R1622">
        <v>0</v>
      </c>
      <c r="S1622">
        <v>3.89</v>
      </c>
      <c r="T1622">
        <v>0.27</v>
      </c>
      <c r="U1622">
        <v>2.09</v>
      </c>
      <c r="V1622">
        <v>0.28999999999999998</v>
      </c>
      <c r="W1622">
        <v>2.1</v>
      </c>
      <c r="X1622">
        <v>0</v>
      </c>
    </row>
    <row r="1623" spans="2:24" hidden="1" x14ac:dyDescent="0.35">
      <c r="B1623">
        <v>2020</v>
      </c>
      <c r="C1623" s="1">
        <v>44170</v>
      </c>
      <c r="D1623">
        <v>2411</v>
      </c>
      <c r="E1623" t="s">
        <v>23</v>
      </c>
      <c r="F1623" t="s">
        <v>43</v>
      </c>
      <c r="G1623" t="s">
        <v>39</v>
      </c>
      <c r="H1623">
        <v>74.209999999999994</v>
      </c>
      <c r="I1623">
        <v>84.2</v>
      </c>
      <c r="J1623">
        <v>0.27700000000000002</v>
      </c>
      <c r="K1623">
        <v>0.48039999999999999</v>
      </c>
      <c r="L1623">
        <v>0.24260000000000001</v>
      </c>
      <c r="M1623">
        <v>1.26</v>
      </c>
      <c r="N1623">
        <v>1.73</v>
      </c>
      <c r="O1623">
        <v>31.7</v>
      </c>
      <c r="P1623">
        <v>60.5</v>
      </c>
      <c r="Q1623">
        <v>1</v>
      </c>
      <c r="R1623">
        <v>3</v>
      </c>
      <c r="S1623">
        <v>2.5299999999999998</v>
      </c>
      <c r="T1623">
        <v>1.54</v>
      </c>
      <c r="U1623">
        <v>1.52</v>
      </c>
      <c r="V1623">
        <v>0.85</v>
      </c>
      <c r="W1623">
        <v>1.05</v>
      </c>
      <c r="X1623">
        <v>2.96</v>
      </c>
    </row>
    <row r="1624" spans="2:24" hidden="1" x14ac:dyDescent="0.35">
      <c r="B1624">
        <v>2020</v>
      </c>
      <c r="C1624" s="1">
        <v>44170</v>
      </c>
      <c r="D1624">
        <v>2411</v>
      </c>
      <c r="E1624" t="s">
        <v>23</v>
      </c>
      <c r="F1624" t="s">
        <v>42</v>
      </c>
      <c r="G1624" t="s">
        <v>53</v>
      </c>
      <c r="H1624">
        <v>87.55</v>
      </c>
      <c r="I1624">
        <v>69.069999999999993</v>
      </c>
      <c r="J1624">
        <v>0.70950000000000002</v>
      </c>
      <c r="K1624">
        <v>0.111</v>
      </c>
      <c r="L1624">
        <v>0.17949999999999999</v>
      </c>
      <c r="M1624">
        <v>2.2999999999999998</v>
      </c>
      <c r="N1624">
        <v>0.79</v>
      </c>
      <c r="O1624">
        <v>62.9</v>
      </c>
      <c r="P1624">
        <v>16.8</v>
      </c>
      <c r="Q1624">
        <v>3</v>
      </c>
      <c r="R1624">
        <v>1</v>
      </c>
      <c r="S1624">
        <v>4.8499999999999996</v>
      </c>
      <c r="T1624">
        <v>0.82</v>
      </c>
      <c r="U1624">
        <v>2.2400000000000002</v>
      </c>
      <c r="V1624">
        <v>1.1100000000000001</v>
      </c>
      <c r="W1624">
        <v>2.63</v>
      </c>
      <c r="X1624">
        <v>1.05</v>
      </c>
    </row>
    <row r="1625" spans="2:24" hidden="1" x14ac:dyDescent="0.35">
      <c r="B1625">
        <v>2020</v>
      </c>
      <c r="C1625" s="1">
        <v>44171</v>
      </c>
      <c r="D1625">
        <v>2411</v>
      </c>
      <c r="E1625" t="s">
        <v>23</v>
      </c>
      <c r="F1625" t="s">
        <v>31</v>
      </c>
      <c r="G1625" t="s">
        <v>30</v>
      </c>
      <c r="H1625">
        <v>57.66</v>
      </c>
      <c r="I1625">
        <v>66.16</v>
      </c>
      <c r="J1625">
        <v>0.33829999999999999</v>
      </c>
      <c r="K1625">
        <v>0.37569999999999998</v>
      </c>
      <c r="L1625">
        <v>0.28589999999999999</v>
      </c>
      <c r="M1625">
        <v>1.1399999999999999</v>
      </c>
      <c r="N1625">
        <v>1.22</v>
      </c>
      <c r="O1625">
        <v>44.6</v>
      </c>
      <c r="P1625">
        <v>34.5</v>
      </c>
      <c r="Q1625">
        <v>1</v>
      </c>
      <c r="R1625">
        <v>5</v>
      </c>
      <c r="S1625">
        <v>0.61</v>
      </c>
      <c r="T1625">
        <v>1.53</v>
      </c>
      <c r="U1625">
        <v>0.89</v>
      </c>
      <c r="V1625">
        <v>2.64</v>
      </c>
      <c r="W1625">
        <v>1.05</v>
      </c>
      <c r="X1625">
        <v>4.16</v>
      </c>
    </row>
    <row r="1626" spans="2:24" hidden="1" x14ac:dyDescent="0.35">
      <c r="B1626">
        <v>2020</v>
      </c>
      <c r="C1626" s="1">
        <v>44171</v>
      </c>
      <c r="D1626">
        <v>2411</v>
      </c>
      <c r="E1626" t="s">
        <v>23</v>
      </c>
      <c r="F1626" t="s">
        <v>51</v>
      </c>
      <c r="G1626" t="s">
        <v>25</v>
      </c>
      <c r="H1626">
        <v>65.58</v>
      </c>
      <c r="I1626">
        <v>76.84</v>
      </c>
      <c r="J1626">
        <v>0.29010000000000002</v>
      </c>
      <c r="K1626">
        <v>0.44519999999999998</v>
      </c>
      <c r="L1626">
        <v>0.26479999999999998</v>
      </c>
      <c r="M1626">
        <v>1.1399999999999999</v>
      </c>
      <c r="N1626">
        <v>1.48</v>
      </c>
      <c r="O1626">
        <v>41.7</v>
      </c>
      <c r="P1626">
        <v>37.299999999999997</v>
      </c>
      <c r="Q1626">
        <v>1</v>
      </c>
      <c r="R1626">
        <v>2</v>
      </c>
      <c r="S1626">
        <v>0.23</v>
      </c>
      <c r="T1626">
        <v>1.65</v>
      </c>
      <c r="U1626">
        <v>0.89</v>
      </c>
      <c r="V1626">
        <v>0.88</v>
      </c>
      <c r="W1626">
        <v>1.05</v>
      </c>
      <c r="X1626">
        <v>2.1</v>
      </c>
    </row>
    <row r="1627" spans="2:24" hidden="1" x14ac:dyDescent="0.35">
      <c r="B1627">
        <v>2020</v>
      </c>
      <c r="C1627" s="1">
        <v>44171</v>
      </c>
      <c r="D1627">
        <v>2411</v>
      </c>
      <c r="E1627" t="s">
        <v>23</v>
      </c>
      <c r="F1627" t="s">
        <v>29</v>
      </c>
      <c r="G1627" t="s">
        <v>40</v>
      </c>
      <c r="H1627">
        <v>83.59</v>
      </c>
      <c r="I1627">
        <v>78.66</v>
      </c>
      <c r="J1627">
        <v>0.53359999999999996</v>
      </c>
      <c r="K1627">
        <v>0.2283</v>
      </c>
      <c r="L1627">
        <v>0.23799999999999999</v>
      </c>
      <c r="M1627">
        <v>1.79</v>
      </c>
      <c r="N1627">
        <v>1.0900000000000001</v>
      </c>
      <c r="O1627">
        <v>66.400000000000006</v>
      </c>
      <c r="P1627">
        <v>32.5</v>
      </c>
      <c r="Q1627">
        <v>2</v>
      </c>
      <c r="R1627">
        <v>0</v>
      </c>
      <c r="S1627">
        <v>0.43</v>
      </c>
      <c r="T1627">
        <v>0.81</v>
      </c>
      <c r="U1627">
        <v>0.25</v>
      </c>
      <c r="V1627">
        <v>2.2000000000000002</v>
      </c>
      <c r="W1627">
        <v>2.1</v>
      </c>
      <c r="X1627">
        <v>0</v>
      </c>
    </row>
    <row r="1628" spans="2:24" hidden="1" x14ac:dyDescent="0.35">
      <c r="B1628">
        <v>2020</v>
      </c>
      <c r="C1628" s="1">
        <v>44171</v>
      </c>
      <c r="D1628">
        <v>2411</v>
      </c>
      <c r="E1628" t="s">
        <v>23</v>
      </c>
      <c r="F1628" t="s">
        <v>41</v>
      </c>
      <c r="G1628" t="s">
        <v>49</v>
      </c>
      <c r="H1628">
        <v>87.72</v>
      </c>
      <c r="I1628">
        <v>76.84</v>
      </c>
      <c r="J1628">
        <v>0.63190000000000002</v>
      </c>
      <c r="K1628">
        <v>0.15079999999999999</v>
      </c>
      <c r="L1628">
        <v>0.2172</v>
      </c>
      <c r="M1628">
        <v>1.95</v>
      </c>
      <c r="N1628">
        <v>0.83</v>
      </c>
      <c r="O1628">
        <v>55.7</v>
      </c>
      <c r="P1628">
        <v>29.2</v>
      </c>
      <c r="Q1628">
        <v>4</v>
      </c>
      <c r="R1628">
        <v>0</v>
      </c>
      <c r="S1628">
        <v>1.68</v>
      </c>
      <c r="T1628">
        <v>0.41</v>
      </c>
      <c r="U1628">
        <v>1.46</v>
      </c>
      <c r="V1628">
        <v>0.85</v>
      </c>
      <c r="W1628">
        <v>4.01</v>
      </c>
      <c r="X1628">
        <v>0</v>
      </c>
    </row>
    <row r="1629" spans="2:24" hidden="1" x14ac:dyDescent="0.35">
      <c r="B1629">
        <v>2020</v>
      </c>
      <c r="C1629" s="1">
        <v>44172</v>
      </c>
      <c r="D1629">
        <v>2411</v>
      </c>
      <c r="E1629" t="s">
        <v>23</v>
      </c>
      <c r="F1629" t="s">
        <v>45</v>
      </c>
      <c r="G1629" t="s">
        <v>34</v>
      </c>
      <c r="H1629">
        <v>73.599999999999994</v>
      </c>
      <c r="I1629">
        <v>73</v>
      </c>
      <c r="J1629">
        <v>0.42249999999999999</v>
      </c>
      <c r="K1629">
        <v>0.311</v>
      </c>
      <c r="L1629">
        <v>0.26650000000000001</v>
      </c>
      <c r="M1629">
        <v>1.44</v>
      </c>
      <c r="N1629">
        <v>1.2</v>
      </c>
      <c r="O1629">
        <v>17.2</v>
      </c>
      <c r="P1629">
        <v>19.899999999999999</v>
      </c>
      <c r="Q1629">
        <v>1</v>
      </c>
      <c r="R1629">
        <v>2</v>
      </c>
      <c r="S1629">
        <v>2.11</v>
      </c>
      <c r="T1629">
        <v>1.4</v>
      </c>
      <c r="U1629">
        <v>1.17</v>
      </c>
      <c r="V1629">
        <v>1.06</v>
      </c>
      <c r="W1629">
        <v>1.05</v>
      </c>
      <c r="X1629">
        <v>2.1</v>
      </c>
    </row>
    <row r="1630" spans="2:24" hidden="1" x14ac:dyDescent="0.35">
      <c r="B1630">
        <v>2020</v>
      </c>
      <c r="C1630" s="1">
        <v>44176</v>
      </c>
      <c r="D1630">
        <v>2411</v>
      </c>
      <c r="E1630" t="s">
        <v>23</v>
      </c>
      <c r="F1630" t="s">
        <v>53</v>
      </c>
      <c r="G1630" t="s">
        <v>43</v>
      </c>
      <c r="H1630">
        <v>68.23</v>
      </c>
      <c r="I1630">
        <v>74.45</v>
      </c>
      <c r="J1630">
        <v>0.36380000000000001</v>
      </c>
      <c r="K1630">
        <v>0.38650000000000001</v>
      </c>
      <c r="L1630">
        <v>0.24959999999999999</v>
      </c>
      <c r="M1630">
        <v>1.47</v>
      </c>
      <c r="N1630">
        <v>1.52</v>
      </c>
      <c r="O1630">
        <v>17.2</v>
      </c>
      <c r="P1630">
        <v>19.2</v>
      </c>
      <c r="Q1630">
        <v>1</v>
      </c>
      <c r="R1630">
        <v>2</v>
      </c>
      <c r="S1630">
        <v>1.47</v>
      </c>
      <c r="T1630">
        <v>1.95</v>
      </c>
      <c r="U1630">
        <v>1.49</v>
      </c>
      <c r="V1630">
        <v>1.67</v>
      </c>
      <c r="W1630">
        <v>1.05</v>
      </c>
      <c r="X1630">
        <v>2.1</v>
      </c>
    </row>
    <row r="1631" spans="2:24" hidden="1" x14ac:dyDescent="0.35">
      <c r="B1631">
        <v>2020</v>
      </c>
      <c r="C1631" s="1">
        <v>44177</v>
      </c>
      <c r="D1631">
        <v>2411</v>
      </c>
      <c r="E1631" t="s">
        <v>23</v>
      </c>
      <c r="F1631" t="s">
        <v>49</v>
      </c>
      <c r="G1631" t="s">
        <v>52</v>
      </c>
      <c r="H1631">
        <v>75.959999999999994</v>
      </c>
      <c r="I1631">
        <v>73.86</v>
      </c>
      <c r="J1631">
        <v>0.41720000000000002</v>
      </c>
      <c r="K1631">
        <v>0.313</v>
      </c>
      <c r="L1631">
        <v>0.26979999999999998</v>
      </c>
      <c r="M1631">
        <v>1.4</v>
      </c>
      <c r="N1631">
        <v>1.18</v>
      </c>
      <c r="O1631">
        <v>15.7</v>
      </c>
      <c r="P1631">
        <v>22.6</v>
      </c>
      <c r="Q1631">
        <v>0</v>
      </c>
      <c r="R1631">
        <v>1</v>
      </c>
      <c r="S1631">
        <v>1.29</v>
      </c>
      <c r="T1631">
        <v>1.38</v>
      </c>
      <c r="U1631">
        <v>1.18</v>
      </c>
      <c r="V1631">
        <v>1.1299999999999999</v>
      </c>
      <c r="W1631">
        <v>0</v>
      </c>
      <c r="X1631">
        <v>1.05</v>
      </c>
    </row>
    <row r="1632" spans="2:24" hidden="1" x14ac:dyDescent="0.35">
      <c r="B1632">
        <v>2020</v>
      </c>
      <c r="C1632" s="1">
        <v>44177</v>
      </c>
      <c r="D1632">
        <v>2411</v>
      </c>
      <c r="E1632" t="s">
        <v>23</v>
      </c>
      <c r="F1632" t="s">
        <v>46</v>
      </c>
      <c r="G1632" t="s">
        <v>31</v>
      </c>
      <c r="H1632">
        <v>65.84</v>
      </c>
      <c r="I1632">
        <v>55.2</v>
      </c>
      <c r="J1632">
        <v>0.52180000000000004</v>
      </c>
      <c r="K1632">
        <v>0.2089</v>
      </c>
      <c r="L1632">
        <v>0.26929999999999998</v>
      </c>
      <c r="M1632">
        <v>1.49</v>
      </c>
      <c r="N1632">
        <v>0.84</v>
      </c>
      <c r="O1632">
        <v>33.1</v>
      </c>
      <c r="P1632">
        <v>34.4</v>
      </c>
      <c r="Q1632">
        <v>2</v>
      </c>
      <c r="R1632">
        <v>1</v>
      </c>
      <c r="S1632">
        <v>0.99</v>
      </c>
      <c r="T1632">
        <v>0.75</v>
      </c>
      <c r="U1632">
        <v>1.34</v>
      </c>
      <c r="V1632">
        <v>0.71</v>
      </c>
      <c r="W1632">
        <v>2.1</v>
      </c>
      <c r="X1632">
        <v>1.05</v>
      </c>
    </row>
    <row r="1633" spans="2:24" hidden="1" x14ac:dyDescent="0.35">
      <c r="B1633">
        <v>2020</v>
      </c>
      <c r="C1633" s="1">
        <v>44177</v>
      </c>
      <c r="D1633">
        <v>2411</v>
      </c>
      <c r="E1633" t="s">
        <v>23</v>
      </c>
      <c r="F1633" t="s">
        <v>39</v>
      </c>
      <c r="G1633" t="s">
        <v>36</v>
      </c>
      <c r="H1633">
        <v>84.18</v>
      </c>
      <c r="I1633">
        <v>93.95</v>
      </c>
      <c r="J1633">
        <v>0.25069999999999998</v>
      </c>
      <c r="K1633">
        <v>0.52139999999999997</v>
      </c>
      <c r="L1633">
        <v>0.22789999999999999</v>
      </c>
      <c r="M1633">
        <v>1.28</v>
      </c>
      <c r="N1633">
        <v>1.92</v>
      </c>
      <c r="Q1633">
        <v>0</v>
      </c>
      <c r="R1633">
        <v>0</v>
      </c>
      <c r="S1633">
        <v>0.63</v>
      </c>
      <c r="T1633">
        <v>1.84</v>
      </c>
      <c r="U1633">
        <v>0.76</v>
      </c>
      <c r="V1633">
        <v>1.1200000000000001</v>
      </c>
      <c r="W1633">
        <v>0</v>
      </c>
      <c r="X1633">
        <v>0</v>
      </c>
    </row>
    <row r="1634" spans="2:24" hidden="1" x14ac:dyDescent="0.35">
      <c r="B1634">
        <v>2020</v>
      </c>
      <c r="C1634" s="1">
        <v>44177</v>
      </c>
      <c r="D1634">
        <v>2411</v>
      </c>
      <c r="E1634" t="s">
        <v>23</v>
      </c>
      <c r="F1634" t="s">
        <v>28</v>
      </c>
      <c r="G1634" t="s">
        <v>42</v>
      </c>
      <c r="H1634">
        <v>73.010000000000005</v>
      </c>
      <c r="I1634">
        <v>87.43</v>
      </c>
      <c r="J1634">
        <v>0.219</v>
      </c>
      <c r="K1634">
        <v>0.55620000000000003</v>
      </c>
      <c r="L1634">
        <v>0.22470000000000001</v>
      </c>
      <c r="M1634">
        <v>1.1499999999999999</v>
      </c>
      <c r="N1634">
        <v>1.95</v>
      </c>
      <c r="O1634">
        <v>17.399999999999999</v>
      </c>
      <c r="P1634">
        <v>59.9</v>
      </c>
      <c r="Q1634">
        <v>1</v>
      </c>
      <c r="R1634">
        <v>0</v>
      </c>
      <c r="S1634">
        <v>1.1399999999999999</v>
      </c>
      <c r="T1634">
        <v>1.05</v>
      </c>
      <c r="U1634">
        <v>0.8</v>
      </c>
      <c r="V1634">
        <v>1.74</v>
      </c>
      <c r="W1634">
        <v>1.05</v>
      </c>
      <c r="X1634">
        <v>0</v>
      </c>
    </row>
    <row r="1635" spans="2:24" hidden="1" x14ac:dyDescent="0.35">
      <c r="B1635">
        <v>2020</v>
      </c>
      <c r="C1635" s="1">
        <v>44178</v>
      </c>
      <c r="D1635">
        <v>2411</v>
      </c>
      <c r="E1635" t="s">
        <v>23</v>
      </c>
      <c r="F1635" t="s">
        <v>34</v>
      </c>
      <c r="G1635" t="s">
        <v>51</v>
      </c>
      <c r="H1635">
        <v>73.28</v>
      </c>
      <c r="I1635">
        <v>65.09</v>
      </c>
      <c r="J1635">
        <v>0.51229999999999998</v>
      </c>
      <c r="K1635">
        <v>0.22650000000000001</v>
      </c>
      <c r="L1635">
        <v>0.26119999999999999</v>
      </c>
      <c r="M1635">
        <v>1.56</v>
      </c>
      <c r="N1635">
        <v>0.94</v>
      </c>
      <c r="O1635">
        <v>22.3</v>
      </c>
      <c r="P1635">
        <v>39.200000000000003</v>
      </c>
      <c r="Q1635">
        <v>3</v>
      </c>
      <c r="R1635">
        <v>0</v>
      </c>
      <c r="S1635">
        <v>2.27</v>
      </c>
      <c r="T1635">
        <v>0.31</v>
      </c>
      <c r="U1635">
        <v>1.6</v>
      </c>
      <c r="V1635">
        <v>0.56999999999999995</v>
      </c>
      <c r="W1635">
        <v>2.83</v>
      </c>
      <c r="X1635">
        <v>0</v>
      </c>
    </row>
    <row r="1636" spans="2:24" hidden="1" x14ac:dyDescent="0.35">
      <c r="B1636">
        <v>2020</v>
      </c>
      <c r="C1636" s="1">
        <v>44178</v>
      </c>
      <c r="D1636">
        <v>2411</v>
      </c>
      <c r="E1636" t="s">
        <v>23</v>
      </c>
      <c r="F1636" t="s">
        <v>30</v>
      </c>
      <c r="G1636" t="s">
        <v>29</v>
      </c>
      <c r="H1636">
        <v>67.900000000000006</v>
      </c>
      <c r="I1636">
        <v>83.63</v>
      </c>
      <c r="J1636">
        <v>0.2056</v>
      </c>
      <c r="K1636">
        <v>0.55859999999999999</v>
      </c>
      <c r="L1636">
        <v>0.23580000000000001</v>
      </c>
      <c r="M1636">
        <v>1</v>
      </c>
      <c r="N1636">
        <v>1.81</v>
      </c>
      <c r="O1636">
        <v>14.4</v>
      </c>
      <c r="P1636">
        <v>66.099999999999994</v>
      </c>
      <c r="Q1636">
        <v>1</v>
      </c>
      <c r="R1636">
        <v>1</v>
      </c>
      <c r="S1636">
        <v>1.74</v>
      </c>
      <c r="T1636">
        <v>1.58</v>
      </c>
      <c r="U1636">
        <v>2.0699999999999998</v>
      </c>
      <c r="V1636">
        <v>1.02</v>
      </c>
      <c r="W1636">
        <v>1.05</v>
      </c>
      <c r="X1636">
        <v>1.05</v>
      </c>
    </row>
    <row r="1637" spans="2:24" hidden="1" x14ac:dyDescent="0.35">
      <c r="B1637">
        <v>2020</v>
      </c>
      <c r="C1637" s="1">
        <v>44178</v>
      </c>
      <c r="D1637">
        <v>2411</v>
      </c>
      <c r="E1637" t="s">
        <v>23</v>
      </c>
      <c r="F1637" t="s">
        <v>48</v>
      </c>
      <c r="G1637" t="s">
        <v>41</v>
      </c>
      <c r="H1637">
        <v>63.04</v>
      </c>
      <c r="I1637">
        <v>87.37</v>
      </c>
      <c r="J1637">
        <v>0.14729999999999999</v>
      </c>
      <c r="K1637">
        <v>0.66390000000000005</v>
      </c>
      <c r="L1637">
        <v>0.18890000000000001</v>
      </c>
      <c r="M1637">
        <v>1</v>
      </c>
      <c r="N1637">
        <v>2.31</v>
      </c>
      <c r="O1637">
        <v>42.7</v>
      </c>
      <c r="P1637">
        <v>64.8</v>
      </c>
      <c r="Q1637">
        <v>1</v>
      </c>
      <c r="R1637">
        <v>1</v>
      </c>
      <c r="S1637">
        <v>1.54</v>
      </c>
      <c r="T1637">
        <v>2.04</v>
      </c>
      <c r="U1637">
        <v>0.93</v>
      </c>
      <c r="V1637">
        <v>1.23</v>
      </c>
      <c r="W1637">
        <v>1.05</v>
      </c>
      <c r="X1637">
        <v>1.05</v>
      </c>
    </row>
    <row r="1638" spans="2:24" hidden="1" x14ac:dyDescent="0.35">
      <c r="B1638">
        <v>2020</v>
      </c>
      <c r="C1638" s="1">
        <v>44178</v>
      </c>
      <c r="D1638">
        <v>2411</v>
      </c>
      <c r="E1638" t="s">
        <v>23</v>
      </c>
      <c r="F1638" t="s">
        <v>25</v>
      </c>
      <c r="G1638" t="s">
        <v>45</v>
      </c>
      <c r="H1638">
        <v>77.709999999999994</v>
      </c>
      <c r="I1638">
        <v>73.19</v>
      </c>
      <c r="J1638">
        <v>0.51070000000000004</v>
      </c>
      <c r="K1638">
        <v>0.23830000000000001</v>
      </c>
      <c r="L1638">
        <v>0.25090000000000001</v>
      </c>
      <c r="M1638">
        <v>1.65</v>
      </c>
      <c r="N1638">
        <v>1.05</v>
      </c>
      <c r="O1638">
        <v>43.2</v>
      </c>
      <c r="P1638">
        <v>18.100000000000001</v>
      </c>
      <c r="Q1638">
        <v>3</v>
      </c>
      <c r="R1638">
        <v>0</v>
      </c>
      <c r="S1638">
        <v>1.77</v>
      </c>
      <c r="T1638">
        <v>0.89</v>
      </c>
      <c r="U1638">
        <v>1.41</v>
      </c>
      <c r="V1638">
        <v>0.87</v>
      </c>
      <c r="W1638">
        <v>3.15</v>
      </c>
      <c r="X1638">
        <v>0</v>
      </c>
    </row>
    <row r="1639" spans="2:24" hidden="1" x14ac:dyDescent="0.35">
      <c r="B1639">
        <v>2020</v>
      </c>
      <c r="C1639" s="1">
        <v>44178</v>
      </c>
      <c r="D1639">
        <v>2411</v>
      </c>
      <c r="E1639" t="s">
        <v>23</v>
      </c>
      <c r="F1639" t="s">
        <v>40</v>
      </c>
      <c r="G1639" t="s">
        <v>32</v>
      </c>
      <c r="H1639">
        <v>79.61</v>
      </c>
      <c r="I1639">
        <v>65.510000000000005</v>
      </c>
      <c r="J1639">
        <v>0.57240000000000002</v>
      </c>
      <c r="K1639">
        <v>0.18</v>
      </c>
      <c r="L1639">
        <v>0.2475</v>
      </c>
      <c r="M1639">
        <v>1.68</v>
      </c>
      <c r="N1639">
        <v>0.82</v>
      </c>
      <c r="O1639">
        <v>21.5</v>
      </c>
      <c r="P1639">
        <v>46.3</v>
      </c>
      <c r="Q1639">
        <v>0</v>
      </c>
      <c r="R1639">
        <v>1</v>
      </c>
      <c r="S1639">
        <v>2.2400000000000002</v>
      </c>
      <c r="T1639">
        <v>1.1499999999999999</v>
      </c>
      <c r="U1639">
        <v>2.31</v>
      </c>
      <c r="V1639">
        <v>0.74</v>
      </c>
      <c r="W1639">
        <v>0</v>
      </c>
      <c r="X1639">
        <v>0.84</v>
      </c>
    </row>
    <row r="1640" spans="2:24" hidden="1" x14ac:dyDescent="0.35">
      <c r="B1640">
        <v>2020</v>
      </c>
      <c r="C1640" s="1">
        <v>44180</v>
      </c>
      <c r="D1640">
        <v>2411</v>
      </c>
      <c r="E1640" t="s">
        <v>23</v>
      </c>
      <c r="F1640" t="s">
        <v>49</v>
      </c>
      <c r="G1640" t="s">
        <v>42</v>
      </c>
      <c r="H1640">
        <v>75.459999999999994</v>
      </c>
      <c r="I1640">
        <v>87.22</v>
      </c>
      <c r="J1640">
        <v>0.2172</v>
      </c>
      <c r="K1640">
        <v>0.52310000000000001</v>
      </c>
      <c r="L1640">
        <v>0.2596</v>
      </c>
      <c r="M1640">
        <v>0.92</v>
      </c>
      <c r="N1640">
        <v>1.57</v>
      </c>
      <c r="O1640">
        <v>16.8</v>
      </c>
      <c r="P1640">
        <v>65.3</v>
      </c>
      <c r="Q1640">
        <v>2</v>
      </c>
      <c r="R1640">
        <v>1</v>
      </c>
      <c r="S1640">
        <v>0.46</v>
      </c>
      <c r="T1640">
        <v>1.54</v>
      </c>
      <c r="U1640">
        <v>0.92</v>
      </c>
      <c r="V1640">
        <v>1.37</v>
      </c>
      <c r="W1640">
        <v>2.1</v>
      </c>
      <c r="X1640">
        <v>1.05</v>
      </c>
    </row>
    <row r="1641" spans="2:24" hidden="1" x14ac:dyDescent="0.35">
      <c r="B1641">
        <v>2020</v>
      </c>
      <c r="C1641" s="1">
        <v>44180</v>
      </c>
      <c r="D1641">
        <v>2411</v>
      </c>
      <c r="E1641" t="s">
        <v>23</v>
      </c>
      <c r="F1641" t="s">
        <v>36</v>
      </c>
      <c r="G1641" t="s">
        <v>31</v>
      </c>
      <c r="H1641">
        <v>93.68</v>
      </c>
      <c r="I1641">
        <v>55.23</v>
      </c>
      <c r="J1641">
        <v>0.92869999999999997</v>
      </c>
      <c r="K1641">
        <v>1.01E-2</v>
      </c>
      <c r="L1641">
        <v>6.1199999999999997E-2</v>
      </c>
      <c r="M1641">
        <v>3.18</v>
      </c>
      <c r="N1641">
        <v>0.2</v>
      </c>
      <c r="O1641">
        <v>100</v>
      </c>
      <c r="P1641">
        <v>33.6</v>
      </c>
      <c r="Q1641">
        <v>1</v>
      </c>
      <c r="R1641">
        <v>1</v>
      </c>
      <c r="S1641">
        <v>2.78</v>
      </c>
      <c r="T1641">
        <v>0.27</v>
      </c>
      <c r="U1641">
        <v>3.06</v>
      </c>
      <c r="V1641">
        <v>0.18</v>
      </c>
      <c r="W1641">
        <v>1.05</v>
      </c>
      <c r="X1641">
        <v>1.05</v>
      </c>
    </row>
    <row r="1642" spans="2:24" hidden="1" x14ac:dyDescent="0.35">
      <c r="B1642">
        <v>2020</v>
      </c>
      <c r="C1642" s="1">
        <v>44181</v>
      </c>
      <c r="D1642">
        <v>2411</v>
      </c>
      <c r="E1642" t="s">
        <v>23</v>
      </c>
      <c r="F1642" t="s">
        <v>25</v>
      </c>
      <c r="G1642" t="s">
        <v>28</v>
      </c>
      <c r="H1642">
        <v>78.67</v>
      </c>
      <c r="I1642">
        <v>73.64</v>
      </c>
      <c r="J1642">
        <v>0.51419999999999999</v>
      </c>
      <c r="K1642">
        <v>0.245</v>
      </c>
      <c r="L1642">
        <v>0.24079999999999999</v>
      </c>
      <c r="M1642">
        <v>1.76</v>
      </c>
      <c r="N1642">
        <v>1.1499999999999999</v>
      </c>
      <c r="O1642">
        <v>52.6</v>
      </c>
      <c r="P1642">
        <v>25.5</v>
      </c>
      <c r="Q1642">
        <v>0</v>
      </c>
      <c r="R1642">
        <v>2</v>
      </c>
      <c r="S1642">
        <v>1.03</v>
      </c>
      <c r="T1642">
        <v>1.8</v>
      </c>
      <c r="U1642">
        <v>1.1299999999999999</v>
      </c>
      <c r="V1642">
        <v>1.19</v>
      </c>
      <c r="W1642">
        <v>0</v>
      </c>
      <c r="X1642">
        <v>2.06</v>
      </c>
    </row>
    <row r="1643" spans="2:24" hidden="1" x14ac:dyDescent="0.35">
      <c r="B1643">
        <v>2020</v>
      </c>
      <c r="C1643" s="1">
        <v>44181</v>
      </c>
      <c r="D1643">
        <v>2411</v>
      </c>
      <c r="E1643" t="s">
        <v>23</v>
      </c>
      <c r="F1643" t="s">
        <v>53</v>
      </c>
      <c r="G1643" t="s">
        <v>46</v>
      </c>
      <c r="H1643">
        <v>67.67</v>
      </c>
      <c r="I1643">
        <v>65.819999999999993</v>
      </c>
      <c r="J1643">
        <v>0.46870000000000001</v>
      </c>
      <c r="K1643">
        <v>0.27200000000000002</v>
      </c>
      <c r="L1643">
        <v>0.25940000000000002</v>
      </c>
      <c r="M1643">
        <v>1.55</v>
      </c>
      <c r="N1643">
        <v>1.1200000000000001</v>
      </c>
      <c r="O1643">
        <v>23.5</v>
      </c>
      <c r="P1643">
        <v>21.4</v>
      </c>
      <c r="Q1643">
        <v>5</v>
      </c>
      <c r="R1643">
        <v>2</v>
      </c>
      <c r="S1643">
        <v>2.79</v>
      </c>
      <c r="T1643">
        <v>1.62</v>
      </c>
      <c r="U1643">
        <v>2.72</v>
      </c>
      <c r="V1643">
        <v>0.96</v>
      </c>
      <c r="W1643">
        <v>4.41</v>
      </c>
      <c r="X1643">
        <v>2.1</v>
      </c>
    </row>
    <row r="1644" spans="2:24" hidden="1" x14ac:dyDescent="0.35">
      <c r="B1644">
        <v>2020</v>
      </c>
      <c r="C1644" s="1">
        <v>44181</v>
      </c>
      <c r="D1644">
        <v>2411</v>
      </c>
      <c r="E1644" t="s">
        <v>23</v>
      </c>
      <c r="F1644" t="s">
        <v>40</v>
      </c>
      <c r="G1644" t="s">
        <v>34</v>
      </c>
      <c r="H1644">
        <v>79.28</v>
      </c>
      <c r="I1644">
        <v>74.67</v>
      </c>
      <c r="J1644">
        <v>0.46650000000000003</v>
      </c>
      <c r="K1644">
        <v>0.27760000000000001</v>
      </c>
      <c r="L1644">
        <v>0.25590000000000002</v>
      </c>
      <c r="M1644">
        <v>1.58</v>
      </c>
      <c r="N1644">
        <v>1.1599999999999999</v>
      </c>
      <c r="O1644">
        <v>18.600000000000001</v>
      </c>
      <c r="P1644">
        <v>35.5</v>
      </c>
      <c r="Q1644">
        <v>1</v>
      </c>
      <c r="R1644">
        <v>1</v>
      </c>
      <c r="S1644">
        <v>0.73</v>
      </c>
      <c r="T1644">
        <v>1.17</v>
      </c>
      <c r="U1644">
        <v>0.82</v>
      </c>
      <c r="V1644">
        <v>1.54</v>
      </c>
      <c r="W1644">
        <v>1.05</v>
      </c>
      <c r="X1644">
        <v>1.05</v>
      </c>
    </row>
    <row r="1645" spans="2:24" hidden="1" x14ac:dyDescent="0.35">
      <c r="B1645">
        <v>2020</v>
      </c>
      <c r="C1645" s="1">
        <v>44181</v>
      </c>
      <c r="D1645">
        <v>2411</v>
      </c>
      <c r="E1645" t="s">
        <v>23</v>
      </c>
      <c r="F1645" t="s">
        <v>48</v>
      </c>
      <c r="G1645" t="s">
        <v>45</v>
      </c>
      <c r="H1645">
        <v>63.95</v>
      </c>
      <c r="I1645">
        <v>72.17</v>
      </c>
      <c r="J1645">
        <v>0.35680000000000001</v>
      </c>
      <c r="K1645">
        <v>0.37340000000000001</v>
      </c>
      <c r="L1645">
        <v>0.26989999999999997</v>
      </c>
      <c r="M1645">
        <v>1.29</v>
      </c>
      <c r="N1645">
        <v>1.32</v>
      </c>
      <c r="O1645">
        <v>50.5</v>
      </c>
      <c r="P1645">
        <v>32.6</v>
      </c>
      <c r="Q1645">
        <v>0</v>
      </c>
      <c r="R1645">
        <v>0</v>
      </c>
      <c r="S1645">
        <v>1.1599999999999999</v>
      </c>
      <c r="T1645">
        <v>0.46</v>
      </c>
      <c r="U1645">
        <v>0.67</v>
      </c>
      <c r="V1645">
        <v>0.86</v>
      </c>
      <c r="W1645">
        <v>0</v>
      </c>
      <c r="X1645">
        <v>0</v>
      </c>
    </row>
    <row r="1646" spans="2:24" hidden="1" x14ac:dyDescent="0.35">
      <c r="B1646">
        <v>2020</v>
      </c>
      <c r="C1646" s="1">
        <v>44181</v>
      </c>
      <c r="D1646">
        <v>2411</v>
      </c>
      <c r="E1646" t="s">
        <v>23</v>
      </c>
      <c r="F1646" t="s">
        <v>43</v>
      </c>
      <c r="G1646" t="s">
        <v>30</v>
      </c>
      <c r="H1646">
        <v>74.89</v>
      </c>
      <c r="I1646">
        <v>68.959999999999994</v>
      </c>
      <c r="J1646">
        <v>0.51419999999999999</v>
      </c>
      <c r="K1646">
        <v>0.23719999999999999</v>
      </c>
      <c r="L1646">
        <v>0.24859999999999999</v>
      </c>
      <c r="M1646">
        <v>1.68</v>
      </c>
      <c r="N1646">
        <v>1.06</v>
      </c>
      <c r="O1646">
        <v>27.9</v>
      </c>
      <c r="P1646">
        <v>14.1</v>
      </c>
      <c r="Q1646">
        <v>1</v>
      </c>
      <c r="R1646">
        <v>1</v>
      </c>
      <c r="S1646">
        <v>0.45</v>
      </c>
      <c r="T1646">
        <v>1.0900000000000001</v>
      </c>
      <c r="U1646">
        <v>0.97</v>
      </c>
      <c r="V1646">
        <v>1.24</v>
      </c>
      <c r="W1646">
        <v>1.05</v>
      </c>
      <c r="X1646">
        <v>1.05</v>
      </c>
    </row>
    <row r="1647" spans="2:24" hidden="1" x14ac:dyDescent="0.35">
      <c r="B1647">
        <v>2020</v>
      </c>
      <c r="C1647" s="1">
        <v>44181</v>
      </c>
      <c r="D1647">
        <v>2411</v>
      </c>
      <c r="E1647" t="s">
        <v>23</v>
      </c>
      <c r="F1647" t="s">
        <v>41</v>
      </c>
      <c r="G1647" t="s">
        <v>29</v>
      </c>
      <c r="H1647">
        <v>86.89</v>
      </c>
      <c r="I1647">
        <v>82.75</v>
      </c>
      <c r="J1647">
        <v>0.5081</v>
      </c>
      <c r="K1647">
        <v>0.26029999999999998</v>
      </c>
      <c r="L1647">
        <v>0.2316</v>
      </c>
      <c r="M1647">
        <v>1.87</v>
      </c>
      <c r="N1647">
        <v>1.29</v>
      </c>
      <c r="O1647">
        <v>70.7</v>
      </c>
      <c r="P1647">
        <v>68.099999999999994</v>
      </c>
      <c r="Q1647">
        <v>2</v>
      </c>
      <c r="R1647">
        <v>1</v>
      </c>
      <c r="S1647">
        <v>1.25</v>
      </c>
      <c r="T1647">
        <v>1.62</v>
      </c>
      <c r="U1647">
        <v>2.38</v>
      </c>
      <c r="V1647">
        <v>0.3</v>
      </c>
      <c r="W1647">
        <v>2.1</v>
      </c>
      <c r="X1647">
        <v>1.05</v>
      </c>
    </row>
    <row r="1648" spans="2:24" hidden="1" x14ac:dyDescent="0.35">
      <c r="B1648">
        <v>2020</v>
      </c>
      <c r="C1648" s="1">
        <v>44182</v>
      </c>
      <c r="D1648">
        <v>2411</v>
      </c>
      <c r="E1648" t="s">
        <v>23</v>
      </c>
      <c r="F1648" t="s">
        <v>52</v>
      </c>
      <c r="G1648" t="s">
        <v>32</v>
      </c>
      <c r="H1648">
        <v>74.61</v>
      </c>
      <c r="I1648">
        <v>65.91</v>
      </c>
      <c r="J1648">
        <v>0.54469999999999996</v>
      </c>
      <c r="K1648">
        <v>0.2089</v>
      </c>
      <c r="L1648">
        <v>0.24629999999999999</v>
      </c>
      <c r="M1648">
        <v>1.7</v>
      </c>
      <c r="N1648">
        <v>0.95</v>
      </c>
      <c r="Q1648">
        <v>0</v>
      </c>
      <c r="R1648">
        <v>0</v>
      </c>
      <c r="S1648">
        <v>1.9</v>
      </c>
      <c r="T1648">
        <v>0.28999999999999998</v>
      </c>
      <c r="U1648">
        <v>1.86</v>
      </c>
      <c r="V1648">
        <v>0.59</v>
      </c>
      <c r="W1648">
        <v>0</v>
      </c>
      <c r="X1648">
        <v>0</v>
      </c>
    </row>
    <row r="1649" spans="2:24" hidden="1" x14ac:dyDescent="0.35">
      <c r="B1649">
        <v>2020</v>
      </c>
      <c r="C1649" s="1">
        <v>44182</v>
      </c>
      <c r="D1649">
        <v>2411</v>
      </c>
      <c r="E1649" t="s">
        <v>23</v>
      </c>
      <c r="F1649" t="s">
        <v>51</v>
      </c>
      <c r="G1649" t="s">
        <v>39</v>
      </c>
      <c r="H1649">
        <v>63.64</v>
      </c>
      <c r="I1649">
        <v>84.18</v>
      </c>
      <c r="J1649">
        <v>0.17560000000000001</v>
      </c>
      <c r="K1649">
        <v>0.59419999999999995</v>
      </c>
      <c r="L1649">
        <v>0.23019999999999999</v>
      </c>
      <c r="M1649">
        <v>0.89</v>
      </c>
      <c r="N1649">
        <v>1.84</v>
      </c>
      <c r="O1649">
        <v>37.4</v>
      </c>
      <c r="P1649">
        <v>62</v>
      </c>
      <c r="Q1649">
        <v>2</v>
      </c>
      <c r="R1649">
        <v>3</v>
      </c>
      <c r="S1649">
        <v>1.33</v>
      </c>
      <c r="T1649">
        <v>1.83</v>
      </c>
      <c r="U1649">
        <v>1.47</v>
      </c>
      <c r="V1649">
        <v>1.0900000000000001</v>
      </c>
      <c r="W1649">
        <v>2.1</v>
      </c>
      <c r="X1649">
        <v>3.15</v>
      </c>
    </row>
    <row r="1650" spans="2:24" hidden="1" x14ac:dyDescent="0.35">
      <c r="B1650">
        <v>2020</v>
      </c>
      <c r="C1650" s="1">
        <v>44184</v>
      </c>
      <c r="D1650">
        <v>2411</v>
      </c>
      <c r="E1650" t="s">
        <v>23</v>
      </c>
      <c r="F1650" t="s">
        <v>30</v>
      </c>
      <c r="G1650" t="s">
        <v>41</v>
      </c>
      <c r="H1650">
        <v>69.98</v>
      </c>
      <c r="I1650">
        <v>87.15</v>
      </c>
      <c r="J1650">
        <v>0.1764</v>
      </c>
      <c r="K1650">
        <v>0.61040000000000005</v>
      </c>
      <c r="L1650">
        <v>0.2132</v>
      </c>
      <c r="M1650">
        <v>1</v>
      </c>
      <c r="N1650">
        <v>2.0499999999999998</v>
      </c>
      <c r="O1650">
        <v>12.7</v>
      </c>
      <c r="P1650">
        <v>67.8</v>
      </c>
      <c r="Q1650">
        <v>0</v>
      </c>
      <c r="R1650">
        <v>7</v>
      </c>
      <c r="S1650">
        <v>0.57999999999999996</v>
      </c>
      <c r="T1650">
        <v>3.21</v>
      </c>
      <c r="U1650">
        <v>0.75</v>
      </c>
      <c r="V1650">
        <v>1.57</v>
      </c>
      <c r="W1650">
        <v>0</v>
      </c>
      <c r="X1650">
        <v>6.72</v>
      </c>
    </row>
    <row r="1651" spans="2:24" hidden="1" x14ac:dyDescent="0.35">
      <c r="B1651">
        <v>2020</v>
      </c>
      <c r="C1651" s="1">
        <v>44184</v>
      </c>
      <c r="D1651">
        <v>2411</v>
      </c>
      <c r="E1651" t="s">
        <v>23</v>
      </c>
      <c r="F1651" t="s">
        <v>34</v>
      </c>
      <c r="G1651" t="s">
        <v>36</v>
      </c>
      <c r="H1651">
        <v>75.59</v>
      </c>
      <c r="I1651">
        <v>93.53</v>
      </c>
      <c r="J1651">
        <v>0.14380000000000001</v>
      </c>
      <c r="K1651">
        <v>0.65529999999999999</v>
      </c>
      <c r="L1651">
        <v>0.2009</v>
      </c>
      <c r="M1651">
        <v>0.88</v>
      </c>
      <c r="N1651">
        <v>2.13</v>
      </c>
      <c r="O1651">
        <v>42</v>
      </c>
      <c r="P1651">
        <v>79.8</v>
      </c>
      <c r="Q1651">
        <v>0</v>
      </c>
      <c r="R1651">
        <v>1</v>
      </c>
      <c r="S1651">
        <v>0.67</v>
      </c>
      <c r="T1651">
        <v>1.26</v>
      </c>
      <c r="U1651">
        <v>1.08</v>
      </c>
      <c r="V1651">
        <v>1.23</v>
      </c>
      <c r="W1651">
        <v>0</v>
      </c>
      <c r="X1651">
        <v>1.05</v>
      </c>
    </row>
    <row r="1652" spans="2:24" hidden="1" x14ac:dyDescent="0.35">
      <c r="B1652">
        <v>2020</v>
      </c>
      <c r="C1652" s="1">
        <v>44184</v>
      </c>
      <c r="D1652">
        <v>2411</v>
      </c>
      <c r="E1652" t="s">
        <v>23</v>
      </c>
      <c r="F1652" t="s">
        <v>28</v>
      </c>
      <c r="G1652" t="s">
        <v>40</v>
      </c>
      <c r="H1652">
        <v>75.11</v>
      </c>
      <c r="I1652">
        <v>78.61</v>
      </c>
      <c r="J1652">
        <v>0.40339999999999998</v>
      </c>
      <c r="K1652">
        <v>0.33589999999999998</v>
      </c>
      <c r="L1652">
        <v>0.26079999999999998</v>
      </c>
      <c r="M1652">
        <v>1.45</v>
      </c>
      <c r="N1652">
        <v>1.31</v>
      </c>
      <c r="O1652">
        <v>31</v>
      </c>
      <c r="P1652">
        <v>14.8</v>
      </c>
      <c r="Q1652">
        <v>2</v>
      </c>
      <c r="R1652">
        <v>1</v>
      </c>
      <c r="S1652">
        <v>0.64</v>
      </c>
      <c r="T1652">
        <v>1.37</v>
      </c>
      <c r="U1652">
        <v>0.69</v>
      </c>
      <c r="V1652">
        <v>1.52</v>
      </c>
      <c r="W1652">
        <v>2.1</v>
      </c>
      <c r="X1652">
        <v>1.05</v>
      </c>
    </row>
    <row r="1653" spans="2:24" hidden="1" x14ac:dyDescent="0.35">
      <c r="B1653">
        <v>2020</v>
      </c>
      <c r="C1653" s="1">
        <v>44184</v>
      </c>
      <c r="D1653">
        <v>2411</v>
      </c>
      <c r="E1653" t="s">
        <v>23</v>
      </c>
      <c r="F1653" t="s">
        <v>46</v>
      </c>
      <c r="G1653" t="s">
        <v>48</v>
      </c>
      <c r="H1653">
        <v>63.96</v>
      </c>
      <c r="I1653">
        <v>64.5</v>
      </c>
      <c r="J1653">
        <v>0.40050000000000002</v>
      </c>
      <c r="K1653">
        <v>0.32269999999999999</v>
      </c>
      <c r="L1653">
        <v>0.2767</v>
      </c>
      <c r="M1653">
        <v>1.33</v>
      </c>
      <c r="N1653">
        <v>1.1599999999999999</v>
      </c>
      <c r="O1653">
        <v>36.1</v>
      </c>
      <c r="P1653">
        <v>50.4</v>
      </c>
      <c r="Q1653">
        <v>1</v>
      </c>
      <c r="R1653">
        <v>1</v>
      </c>
      <c r="S1653">
        <v>1.19</v>
      </c>
      <c r="T1653">
        <v>1.18</v>
      </c>
      <c r="U1653">
        <v>0.74</v>
      </c>
      <c r="V1653">
        <v>1.41</v>
      </c>
      <c r="W1653">
        <v>0.84</v>
      </c>
      <c r="X1653">
        <v>1.05</v>
      </c>
    </row>
    <row r="1654" spans="2:24" hidden="1" x14ac:dyDescent="0.35">
      <c r="B1654">
        <v>2020</v>
      </c>
      <c r="C1654" s="1">
        <v>44185</v>
      </c>
      <c r="D1654">
        <v>2411</v>
      </c>
      <c r="E1654" t="s">
        <v>23</v>
      </c>
      <c r="F1654" t="s">
        <v>45</v>
      </c>
      <c r="G1654" t="s">
        <v>51</v>
      </c>
      <c r="H1654">
        <v>72.36</v>
      </c>
      <c r="I1654">
        <v>64.209999999999994</v>
      </c>
      <c r="J1654">
        <v>0.50449999999999995</v>
      </c>
      <c r="K1654">
        <v>0.2225</v>
      </c>
      <c r="L1654">
        <v>0.27300000000000002</v>
      </c>
      <c r="M1654">
        <v>1.46</v>
      </c>
      <c r="N1654">
        <v>0.87</v>
      </c>
      <c r="O1654">
        <v>35.799999999999997</v>
      </c>
      <c r="P1654">
        <v>40</v>
      </c>
      <c r="Q1654">
        <v>1</v>
      </c>
      <c r="R1654">
        <v>1</v>
      </c>
      <c r="S1654">
        <v>2.89</v>
      </c>
      <c r="T1654">
        <v>0.95</v>
      </c>
      <c r="U1654">
        <v>3.35</v>
      </c>
      <c r="V1654">
        <v>0.53</v>
      </c>
      <c r="W1654">
        <v>0.84</v>
      </c>
      <c r="X1654">
        <v>1.05</v>
      </c>
    </row>
    <row r="1655" spans="2:24" hidden="1" x14ac:dyDescent="0.35">
      <c r="B1655">
        <v>2020</v>
      </c>
      <c r="C1655" s="1">
        <v>44185</v>
      </c>
      <c r="D1655">
        <v>2411</v>
      </c>
      <c r="E1655" t="s">
        <v>23</v>
      </c>
      <c r="F1655" t="s">
        <v>29</v>
      </c>
      <c r="G1655" t="s">
        <v>25</v>
      </c>
      <c r="H1655">
        <v>82.51</v>
      </c>
      <c r="I1655">
        <v>77.44</v>
      </c>
      <c r="J1655">
        <v>0.52329999999999999</v>
      </c>
      <c r="K1655">
        <v>0.23580000000000001</v>
      </c>
      <c r="L1655">
        <v>0.2409</v>
      </c>
      <c r="M1655">
        <v>1.76</v>
      </c>
      <c r="N1655">
        <v>1.1100000000000001</v>
      </c>
      <c r="O1655">
        <v>74.900000000000006</v>
      </c>
      <c r="P1655">
        <v>46.9</v>
      </c>
      <c r="Q1655">
        <v>0</v>
      </c>
      <c r="R1655">
        <v>2</v>
      </c>
      <c r="S1655">
        <v>1.25</v>
      </c>
      <c r="T1655">
        <v>1.8</v>
      </c>
      <c r="U1655">
        <v>2.17</v>
      </c>
      <c r="V1655">
        <v>1.55</v>
      </c>
      <c r="W1655">
        <v>0</v>
      </c>
      <c r="X1655">
        <v>2.1</v>
      </c>
    </row>
    <row r="1656" spans="2:24" hidden="1" x14ac:dyDescent="0.35">
      <c r="B1656">
        <v>2020</v>
      </c>
      <c r="C1656" s="1">
        <v>44185</v>
      </c>
      <c r="D1656">
        <v>2411</v>
      </c>
      <c r="E1656" t="s">
        <v>23</v>
      </c>
      <c r="F1656" t="s">
        <v>39</v>
      </c>
      <c r="G1656" t="s">
        <v>53</v>
      </c>
      <c r="H1656">
        <v>83.42</v>
      </c>
      <c r="I1656">
        <v>68.56</v>
      </c>
      <c r="J1656">
        <v>0.66379999999999995</v>
      </c>
      <c r="K1656">
        <v>0.1482</v>
      </c>
      <c r="L1656">
        <v>0.188</v>
      </c>
      <c r="M1656">
        <v>2.33</v>
      </c>
      <c r="N1656">
        <v>1.01</v>
      </c>
      <c r="O1656">
        <v>64.8</v>
      </c>
      <c r="P1656">
        <v>10.5</v>
      </c>
      <c r="Q1656">
        <v>6</v>
      </c>
      <c r="R1656">
        <v>2</v>
      </c>
      <c r="S1656">
        <v>4.28</v>
      </c>
      <c r="T1656">
        <v>1.99</v>
      </c>
      <c r="U1656">
        <v>3.16</v>
      </c>
      <c r="V1656">
        <v>1.34</v>
      </c>
      <c r="W1656">
        <v>6.3</v>
      </c>
      <c r="X1656">
        <v>2.1</v>
      </c>
    </row>
    <row r="1657" spans="2:24" hidden="1" x14ac:dyDescent="0.35">
      <c r="B1657">
        <v>2020</v>
      </c>
      <c r="C1657" s="1">
        <v>44185</v>
      </c>
      <c r="D1657">
        <v>2411</v>
      </c>
      <c r="E1657" t="s">
        <v>23</v>
      </c>
      <c r="F1657" t="s">
        <v>31</v>
      </c>
      <c r="G1657" t="s">
        <v>52</v>
      </c>
      <c r="H1657">
        <v>56.05</v>
      </c>
      <c r="I1657">
        <v>75.19</v>
      </c>
      <c r="J1657">
        <v>0.2281</v>
      </c>
      <c r="K1657">
        <v>0.52729999999999999</v>
      </c>
      <c r="L1657">
        <v>0.2447</v>
      </c>
      <c r="M1657">
        <v>1.05</v>
      </c>
      <c r="N1657">
        <v>1.72</v>
      </c>
      <c r="O1657">
        <v>30.3</v>
      </c>
      <c r="P1657">
        <v>26.5</v>
      </c>
      <c r="Q1657">
        <v>0</v>
      </c>
      <c r="R1657">
        <v>3</v>
      </c>
      <c r="S1657">
        <v>0.04</v>
      </c>
      <c r="T1657">
        <v>2.44</v>
      </c>
      <c r="U1657">
        <v>0.23</v>
      </c>
      <c r="V1657">
        <v>2.21</v>
      </c>
      <c r="W1657">
        <v>0</v>
      </c>
      <c r="X1657">
        <v>2.08</v>
      </c>
    </row>
    <row r="1658" spans="2:24" hidden="1" x14ac:dyDescent="0.35">
      <c r="B1658">
        <v>2020</v>
      </c>
      <c r="C1658" s="1">
        <v>44186</v>
      </c>
      <c r="D1658">
        <v>2411</v>
      </c>
      <c r="E1658" t="s">
        <v>23</v>
      </c>
      <c r="F1658" t="s">
        <v>32</v>
      </c>
      <c r="G1658" t="s">
        <v>49</v>
      </c>
      <c r="H1658">
        <v>65.8</v>
      </c>
      <c r="I1658">
        <v>75.78</v>
      </c>
      <c r="J1658">
        <v>0.33760000000000001</v>
      </c>
      <c r="K1658">
        <v>0.35389999999999999</v>
      </c>
      <c r="L1658">
        <v>0.30859999999999999</v>
      </c>
      <c r="M1658">
        <v>1.02</v>
      </c>
      <c r="N1658">
        <v>1.06</v>
      </c>
      <c r="O1658">
        <v>45.6</v>
      </c>
      <c r="P1658">
        <v>14.9</v>
      </c>
      <c r="Q1658">
        <v>2</v>
      </c>
      <c r="R1658">
        <v>1</v>
      </c>
      <c r="S1658">
        <v>1.42</v>
      </c>
      <c r="T1658">
        <v>1.49</v>
      </c>
      <c r="U1658">
        <v>1.24</v>
      </c>
      <c r="V1658">
        <v>1.46</v>
      </c>
      <c r="W1658">
        <v>2.1</v>
      </c>
      <c r="X1658">
        <v>1.05</v>
      </c>
    </row>
    <row r="1659" spans="2:24" hidden="1" x14ac:dyDescent="0.35">
      <c r="B1659">
        <v>2020</v>
      </c>
      <c r="C1659" s="1">
        <v>44186</v>
      </c>
      <c r="D1659">
        <v>2411</v>
      </c>
      <c r="E1659" t="s">
        <v>23</v>
      </c>
      <c r="F1659" t="s">
        <v>42</v>
      </c>
      <c r="G1659" t="s">
        <v>43</v>
      </c>
      <c r="H1659">
        <v>86.96</v>
      </c>
      <c r="I1659">
        <v>74.209999999999994</v>
      </c>
      <c r="J1659">
        <v>0.64190000000000003</v>
      </c>
      <c r="K1659">
        <v>0.14949999999999999</v>
      </c>
      <c r="L1659">
        <v>0.20860000000000001</v>
      </c>
      <c r="M1659">
        <v>2.0499999999999998</v>
      </c>
      <c r="N1659">
        <v>0.87</v>
      </c>
      <c r="O1659">
        <v>71.5</v>
      </c>
      <c r="P1659">
        <v>31.3</v>
      </c>
      <c r="Q1659">
        <v>3</v>
      </c>
      <c r="R1659">
        <v>0</v>
      </c>
      <c r="S1659">
        <v>2.44</v>
      </c>
      <c r="T1659">
        <v>0.41</v>
      </c>
      <c r="U1659">
        <v>1.43</v>
      </c>
      <c r="V1659">
        <v>1.56</v>
      </c>
      <c r="W1659">
        <v>2.72</v>
      </c>
      <c r="X1659">
        <v>0</v>
      </c>
    </row>
    <row r="1660" spans="2:24" hidden="1" x14ac:dyDescent="0.35">
      <c r="B1660">
        <v>2020</v>
      </c>
      <c r="C1660" s="1">
        <v>44191</v>
      </c>
      <c r="D1660">
        <v>2411</v>
      </c>
      <c r="E1660" t="s">
        <v>23</v>
      </c>
      <c r="F1660" t="s">
        <v>25</v>
      </c>
      <c r="G1660" t="s">
        <v>39</v>
      </c>
      <c r="H1660">
        <v>78.52</v>
      </c>
      <c r="I1660">
        <v>83.91</v>
      </c>
      <c r="J1660">
        <v>0.33639999999999998</v>
      </c>
      <c r="K1660">
        <v>0.42170000000000002</v>
      </c>
      <c r="L1660">
        <v>0.24179999999999999</v>
      </c>
      <c r="M1660">
        <v>1.47</v>
      </c>
      <c r="N1660">
        <v>1.67</v>
      </c>
      <c r="O1660">
        <v>57.7</v>
      </c>
      <c r="P1660">
        <v>74.099999999999994</v>
      </c>
      <c r="Q1660">
        <v>2</v>
      </c>
      <c r="R1660">
        <v>2</v>
      </c>
      <c r="S1660">
        <v>1.6</v>
      </c>
      <c r="T1660">
        <v>2.2599999999999998</v>
      </c>
      <c r="U1660">
        <v>0.75</v>
      </c>
      <c r="V1660">
        <v>1.0900000000000001</v>
      </c>
      <c r="W1660">
        <v>2.1</v>
      </c>
      <c r="X1660">
        <v>2.1</v>
      </c>
    </row>
    <row r="1661" spans="2:24" hidden="1" x14ac:dyDescent="0.35">
      <c r="B1661">
        <v>2020</v>
      </c>
      <c r="C1661" s="1">
        <v>44191</v>
      </c>
      <c r="D1661">
        <v>2411</v>
      </c>
      <c r="E1661" t="s">
        <v>23</v>
      </c>
      <c r="F1661" t="s">
        <v>48</v>
      </c>
      <c r="G1661" t="s">
        <v>34</v>
      </c>
      <c r="H1661">
        <v>65.2</v>
      </c>
      <c r="I1661">
        <v>75.89</v>
      </c>
      <c r="J1661">
        <v>0.3266</v>
      </c>
      <c r="K1661">
        <v>0.4032</v>
      </c>
      <c r="L1661">
        <v>0.2702</v>
      </c>
      <c r="M1661">
        <v>1.21</v>
      </c>
      <c r="N1661">
        <v>1.38</v>
      </c>
      <c r="O1661">
        <v>48.8</v>
      </c>
      <c r="P1661">
        <v>24.8</v>
      </c>
      <c r="Q1661">
        <v>0</v>
      </c>
      <c r="R1661">
        <v>0</v>
      </c>
      <c r="S1661">
        <v>0.78</v>
      </c>
      <c r="T1661">
        <v>0.16</v>
      </c>
      <c r="U1661">
        <v>1.03</v>
      </c>
      <c r="V1661">
        <v>0.46</v>
      </c>
      <c r="W1661">
        <v>0</v>
      </c>
      <c r="X1661">
        <v>0</v>
      </c>
    </row>
    <row r="1662" spans="2:24" hidden="1" x14ac:dyDescent="0.35">
      <c r="B1662">
        <v>2020</v>
      </c>
      <c r="C1662" s="1">
        <v>44191</v>
      </c>
      <c r="D1662">
        <v>2411</v>
      </c>
      <c r="E1662" t="s">
        <v>23</v>
      </c>
      <c r="F1662" t="s">
        <v>52</v>
      </c>
      <c r="G1662" t="s">
        <v>30</v>
      </c>
      <c r="H1662">
        <v>76.95</v>
      </c>
      <c r="I1662">
        <v>67.53</v>
      </c>
      <c r="J1662">
        <v>0.55940000000000001</v>
      </c>
      <c r="K1662">
        <v>0.20219999999999999</v>
      </c>
      <c r="L1662">
        <v>0.2384</v>
      </c>
      <c r="M1662">
        <v>1.78</v>
      </c>
      <c r="N1662">
        <v>0.97</v>
      </c>
      <c r="O1662">
        <v>35.1</v>
      </c>
      <c r="P1662">
        <v>17.600000000000001</v>
      </c>
      <c r="Q1662">
        <v>3</v>
      </c>
      <c r="R1662">
        <v>0</v>
      </c>
      <c r="S1662">
        <v>4.91</v>
      </c>
      <c r="T1662">
        <v>0.88</v>
      </c>
      <c r="U1662">
        <v>1.85</v>
      </c>
      <c r="V1662">
        <v>1.19</v>
      </c>
      <c r="W1662">
        <v>3.01</v>
      </c>
      <c r="X1662">
        <v>0</v>
      </c>
    </row>
    <row r="1663" spans="2:24" hidden="1" x14ac:dyDescent="0.35">
      <c r="B1663">
        <v>2020</v>
      </c>
      <c r="C1663" s="1">
        <v>44191</v>
      </c>
      <c r="D1663">
        <v>2411</v>
      </c>
      <c r="E1663" t="s">
        <v>23</v>
      </c>
      <c r="F1663" t="s">
        <v>40</v>
      </c>
      <c r="G1663" t="s">
        <v>42</v>
      </c>
      <c r="H1663">
        <v>78.900000000000006</v>
      </c>
      <c r="I1663">
        <v>87.34</v>
      </c>
      <c r="J1663">
        <v>0.25940000000000002</v>
      </c>
      <c r="K1663">
        <v>0.48880000000000001</v>
      </c>
      <c r="L1663">
        <v>0.25190000000000001</v>
      </c>
      <c r="M1663">
        <v>1.1200000000000001</v>
      </c>
      <c r="N1663">
        <v>1.64</v>
      </c>
      <c r="O1663">
        <v>11.1</v>
      </c>
      <c r="P1663">
        <v>67.8</v>
      </c>
      <c r="Q1663">
        <v>3</v>
      </c>
      <c r="R1663">
        <v>1</v>
      </c>
      <c r="S1663">
        <v>1.81</v>
      </c>
      <c r="T1663">
        <v>2.34</v>
      </c>
      <c r="U1663">
        <v>0.71</v>
      </c>
      <c r="V1663">
        <v>2.06</v>
      </c>
      <c r="W1663">
        <v>3.15</v>
      </c>
      <c r="X1663">
        <v>1.05</v>
      </c>
    </row>
    <row r="1664" spans="2:24" hidden="1" x14ac:dyDescent="0.35">
      <c r="B1664">
        <v>2020</v>
      </c>
      <c r="C1664" s="1">
        <v>44191</v>
      </c>
      <c r="D1664">
        <v>2411</v>
      </c>
      <c r="E1664" t="s">
        <v>23</v>
      </c>
      <c r="F1664" t="s">
        <v>51</v>
      </c>
      <c r="G1664" t="s">
        <v>28</v>
      </c>
      <c r="H1664">
        <v>62.98</v>
      </c>
      <c r="I1664">
        <v>74.900000000000006</v>
      </c>
      <c r="J1664">
        <v>0.28860000000000002</v>
      </c>
      <c r="K1664">
        <v>0.44750000000000001</v>
      </c>
      <c r="L1664">
        <v>0.26390000000000002</v>
      </c>
      <c r="M1664">
        <v>1.1499999999999999</v>
      </c>
      <c r="N1664">
        <v>1.49</v>
      </c>
      <c r="O1664">
        <v>32.4</v>
      </c>
      <c r="P1664">
        <v>31.7</v>
      </c>
      <c r="Q1664">
        <v>0</v>
      </c>
      <c r="R1664">
        <v>1</v>
      </c>
      <c r="S1664">
        <v>1.01</v>
      </c>
      <c r="T1664">
        <v>0.68</v>
      </c>
      <c r="U1664">
        <v>1.1599999999999999</v>
      </c>
      <c r="V1664">
        <v>1.49</v>
      </c>
      <c r="W1664">
        <v>0</v>
      </c>
      <c r="X1664">
        <v>1.05</v>
      </c>
    </row>
    <row r="1665" spans="2:24" hidden="1" x14ac:dyDescent="0.35">
      <c r="B1665">
        <v>2020</v>
      </c>
      <c r="C1665" s="1">
        <v>44191</v>
      </c>
      <c r="D1665">
        <v>2411</v>
      </c>
      <c r="E1665" t="s">
        <v>23</v>
      </c>
      <c r="F1665" t="s">
        <v>36</v>
      </c>
      <c r="G1665" t="s">
        <v>46</v>
      </c>
      <c r="H1665">
        <v>93.28</v>
      </c>
      <c r="I1665">
        <v>63.45</v>
      </c>
      <c r="J1665">
        <v>0.89359999999999995</v>
      </c>
      <c r="K1665">
        <v>1.7500000000000002E-2</v>
      </c>
      <c r="L1665">
        <v>8.8900000000000007E-2</v>
      </c>
      <c r="M1665">
        <v>2.79</v>
      </c>
      <c r="N1665">
        <v>0.24</v>
      </c>
      <c r="O1665">
        <v>78.599999999999994</v>
      </c>
      <c r="P1665">
        <v>26.6</v>
      </c>
      <c r="Q1665">
        <v>2</v>
      </c>
      <c r="R1665">
        <v>0</v>
      </c>
      <c r="S1665">
        <v>3.43</v>
      </c>
      <c r="T1665">
        <v>0.27</v>
      </c>
      <c r="U1665">
        <v>2.52</v>
      </c>
      <c r="V1665">
        <v>0.62</v>
      </c>
      <c r="W1665">
        <v>2.1</v>
      </c>
      <c r="X1665">
        <v>0</v>
      </c>
    </row>
    <row r="1666" spans="2:24" hidden="1" x14ac:dyDescent="0.35">
      <c r="B1666">
        <v>2020</v>
      </c>
      <c r="C1666" s="1">
        <v>44192</v>
      </c>
      <c r="D1666">
        <v>2411</v>
      </c>
      <c r="E1666" t="s">
        <v>23</v>
      </c>
      <c r="F1666" t="s">
        <v>53</v>
      </c>
      <c r="G1666" t="s">
        <v>32</v>
      </c>
      <c r="H1666">
        <v>67.03</v>
      </c>
      <c r="I1666">
        <v>66.19</v>
      </c>
      <c r="J1666">
        <v>0.45729999999999998</v>
      </c>
      <c r="K1666">
        <v>0.29099999999999998</v>
      </c>
      <c r="L1666">
        <v>0.25159999999999999</v>
      </c>
      <c r="M1666">
        <v>1.61</v>
      </c>
      <c r="N1666">
        <v>1.24</v>
      </c>
      <c r="O1666">
        <v>19.600000000000001</v>
      </c>
      <c r="P1666">
        <v>36.700000000000003</v>
      </c>
      <c r="Q1666">
        <v>1</v>
      </c>
      <c r="R1666">
        <v>0</v>
      </c>
      <c r="S1666">
        <v>1.94</v>
      </c>
      <c r="T1666">
        <v>1.77</v>
      </c>
      <c r="U1666">
        <v>0.79</v>
      </c>
      <c r="V1666">
        <v>2.14</v>
      </c>
      <c r="W1666">
        <v>1.05</v>
      </c>
      <c r="X1666">
        <v>0</v>
      </c>
    </row>
    <row r="1667" spans="2:24" hidden="1" x14ac:dyDescent="0.35">
      <c r="B1667">
        <v>2020</v>
      </c>
      <c r="C1667" s="1">
        <v>44192</v>
      </c>
      <c r="D1667">
        <v>2411</v>
      </c>
      <c r="E1667" t="s">
        <v>23</v>
      </c>
      <c r="F1667" t="s">
        <v>43</v>
      </c>
      <c r="G1667" t="s">
        <v>45</v>
      </c>
      <c r="H1667">
        <v>73.709999999999994</v>
      </c>
      <c r="I1667">
        <v>73.11</v>
      </c>
      <c r="J1667">
        <v>0.433</v>
      </c>
      <c r="K1667">
        <v>0.30059999999999998</v>
      </c>
      <c r="L1667">
        <v>0.26640000000000003</v>
      </c>
      <c r="M1667">
        <v>1.45</v>
      </c>
      <c r="N1667">
        <v>1.17</v>
      </c>
      <c r="O1667">
        <v>16.5</v>
      </c>
      <c r="P1667">
        <v>23</v>
      </c>
      <c r="Q1667">
        <v>2</v>
      </c>
      <c r="R1667">
        <v>2</v>
      </c>
      <c r="S1667">
        <v>1.5</v>
      </c>
      <c r="T1667">
        <v>1.41</v>
      </c>
      <c r="U1667">
        <v>1.5</v>
      </c>
      <c r="V1667">
        <v>0.99</v>
      </c>
      <c r="W1667">
        <v>2.1</v>
      </c>
      <c r="X1667">
        <v>2.1</v>
      </c>
    </row>
    <row r="1668" spans="2:24" hidden="1" x14ac:dyDescent="0.35">
      <c r="B1668">
        <v>2020</v>
      </c>
      <c r="C1668" s="1">
        <v>44192</v>
      </c>
      <c r="D1668">
        <v>2411</v>
      </c>
      <c r="E1668" t="s">
        <v>23</v>
      </c>
      <c r="F1668" t="s">
        <v>41</v>
      </c>
      <c r="G1668" t="s">
        <v>31</v>
      </c>
      <c r="H1668">
        <v>88.6</v>
      </c>
      <c r="I1668">
        <v>54.39</v>
      </c>
      <c r="J1668">
        <v>0.8901</v>
      </c>
      <c r="K1668">
        <v>2.2700000000000001E-2</v>
      </c>
      <c r="L1668">
        <v>8.72E-2</v>
      </c>
      <c r="M1668">
        <v>2.95</v>
      </c>
      <c r="N1668">
        <v>0.33</v>
      </c>
      <c r="O1668">
        <v>76.7</v>
      </c>
      <c r="P1668">
        <v>26.9</v>
      </c>
      <c r="Q1668">
        <v>1</v>
      </c>
      <c r="R1668">
        <v>1</v>
      </c>
      <c r="S1668">
        <v>1.72</v>
      </c>
      <c r="T1668">
        <v>0.73</v>
      </c>
      <c r="U1668">
        <v>2.85</v>
      </c>
      <c r="V1668">
        <v>0.49</v>
      </c>
      <c r="W1668">
        <v>1.05</v>
      </c>
      <c r="X1668">
        <v>1.05</v>
      </c>
    </row>
    <row r="1669" spans="2:24" hidden="1" x14ac:dyDescent="0.35">
      <c r="B1669">
        <v>2020</v>
      </c>
      <c r="C1669" s="1">
        <v>44192</v>
      </c>
      <c r="D1669">
        <v>2411</v>
      </c>
      <c r="E1669" t="s">
        <v>23</v>
      </c>
      <c r="F1669" t="s">
        <v>49</v>
      </c>
      <c r="G1669" t="s">
        <v>29</v>
      </c>
      <c r="H1669">
        <v>74.989999999999995</v>
      </c>
      <c r="I1669">
        <v>81.48</v>
      </c>
      <c r="J1669">
        <v>0.2848</v>
      </c>
      <c r="K1669">
        <v>0.44379999999999997</v>
      </c>
      <c r="L1669">
        <v>0.27139999999999997</v>
      </c>
      <c r="M1669">
        <v>1.0900000000000001</v>
      </c>
      <c r="N1669">
        <v>1.43</v>
      </c>
      <c r="O1669">
        <v>16.3</v>
      </c>
      <c r="P1669">
        <v>64.8</v>
      </c>
      <c r="Q1669">
        <v>1</v>
      </c>
      <c r="R1669">
        <v>1</v>
      </c>
      <c r="S1669">
        <v>0.96</v>
      </c>
      <c r="T1669">
        <v>0.41</v>
      </c>
      <c r="U1669">
        <v>1.29</v>
      </c>
      <c r="V1669">
        <v>0.92</v>
      </c>
      <c r="W1669">
        <v>1.05</v>
      </c>
      <c r="X1669">
        <v>1.05</v>
      </c>
    </row>
    <row r="1670" spans="2:24" hidden="1" x14ac:dyDescent="0.35">
      <c r="B1670">
        <v>2020</v>
      </c>
      <c r="C1670" s="1">
        <v>44193</v>
      </c>
      <c r="D1670">
        <v>2411</v>
      </c>
      <c r="E1670" t="s">
        <v>23</v>
      </c>
      <c r="F1670" t="s">
        <v>30</v>
      </c>
      <c r="G1670" t="s">
        <v>25</v>
      </c>
      <c r="H1670">
        <v>65.48</v>
      </c>
      <c r="I1670">
        <v>78.349999999999994</v>
      </c>
      <c r="J1670">
        <v>0.26390000000000002</v>
      </c>
      <c r="K1670">
        <v>0.48570000000000002</v>
      </c>
      <c r="L1670">
        <v>0.25040000000000001</v>
      </c>
      <c r="M1670">
        <v>1.1499999999999999</v>
      </c>
      <c r="N1670">
        <v>1.65</v>
      </c>
      <c r="O1670">
        <v>25.4</v>
      </c>
      <c r="P1670">
        <v>50.3</v>
      </c>
      <c r="Q1670">
        <v>1</v>
      </c>
      <c r="R1670">
        <v>1</v>
      </c>
      <c r="S1670">
        <v>0.42</v>
      </c>
      <c r="T1670">
        <v>2.06</v>
      </c>
      <c r="U1670">
        <v>0.52</v>
      </c>
      <c r="V1670">
        <v>0.89</v>
      </c>
      <c r="W1670">
        <v>1.05</v>
      </c>
      <c r="X1670">
        <v>1.05</v>
      </c>
    </row>
    <row r="1671" spans="2:24" hidden="1" x14ac:dyDescent="0.35">
      <c r="B1671">
        <v>2020</v>
      </c>
      <c r="C1671" s="1">
        <v>44193</v>
      </c>
      <c r="D1671">
        <v>2411</v>
      </c>
      <c r="E1671" t="s">
        <v>23</v>
      </c>
      <c r="F1671" t="s">
        <v>42</v>
      </c>
      <c r="G1671" t="s">
        <v>52</v>
      </c>
      <c r="H1671">
        <v>86.9</v>
      </c>
      <c r="I1671">
        <v>78.38</v>
      </c>
      <c r="J1671">
        <v>0.56810000000000005</v>
      </c>
      <c r="K1671">
        <v>0.20660000000000001</v>
      </c>
      <c r="L1671">
        <v>0.22539999999999999</v>
      </c>
      <c r="M1671">
        <v>1.93</v>
      </c>
      <c r="N1671">
        <v>1.08</v>
      </c>
      <c r="O1671">
        <v>77.900000000000006</v>
      </c>
      <c r="P1671">
        <v>64</v>
      </c>
      <c r="Q1671">
        <v>1</v>
      </c>
      <c r="R1671">
        <v>1</v>
      </c>
      <c r="S1671">
        <v>1.58</v>
      </c>
      <c r="T1671">
        <v>0.88</v>
      </c>
      <c r="U1671">
        <v>1.7</v>
      </c>
      <c r="V1671">
        <v>0.93</v>
      </c>
      <c r="W1671">
        <v>1.05</v>
      </c>
      <c r="X1671">
        <v>1.05</v>
      </c>
    </row>
    <row r="1672" spans="2:24" hidden="1" x14ac:dyDescent="0.35">
      <c r="B1672">
        <v>2020</v>
      </c>
      <c r="C1672" s="1">
        <v>44194</v>
      </c>
      <c r="D1672">
        <v>2411</v>
      </c>
      <c r="E1672" t="s">
        <v>23</v>
      </c>
      <c r="F1672" t="s">
        <v>45</v>
      </c>
      <c r="G1672" t="s">
        <v>40</v>
      </c>
      <c r="H1672">
        <v>73.12</v>
      </c>
      <c r="I1672">
        <v>79.2</v>
      </c>
      <c r="J1672">
        <v>0.35399999999999998</v>
      </c>
      <c r="K1672">
        <v>0.376</v>
      </c>
      <c r="L1672">
        <v>0.27</v>
      </c>
      <c r="M1672">
        <v>1.28</v>
      </c>
      <c r="N1672">
        <v>1.33</v>
      </c>
      <c r="O1672">
        <v>23</v>
      </c>
      <c r="P1672">
        <v>15.9</v>
      </c>
      <c r="Q1672">
        <v>0</v>
      </c>
      <c r="R1672">
        <v>1</v>
      </c>
      <c r="S1672">
        <v>0.89</v>
      </c>
      <c r="T1672">
        <v>1.31</v>
      </c>
      <c r="U1672">
        <v>1.38</v>
      </c>
      <c r="V1672">
        <v>0.74</v>
      </c>
      <c r="W1672">
        <v>0</v>
      </c>
      <c r="X1672">
        <v>1.05</v>
      </c>
    </row>
    <row r="1673" spans="2:24" hidden="1" x14ac:dyDescent="0.35">
      <c r="B1673">
        <v>2020</v>
      </c>
      <c r="C1673" s="1">
        <v>44194</v>
      </c>
      <c r="D1673">
        <v>2411</v>
      </c>
      <c r="E1673" t="s">
        <v>23</v>
      </c>
      <c r="F1673" t="s">
        <v>34</v>
      </c>
      <c r="G1673" t="s">
        <v>43</v>
      </c>
      <c r="H1673">
        <v>75.78</v>
      </c>
      <c r="I1673">
        <v>73.48</v>
      </c>
      <c r="J1673">
        <v>0.44969999999999999</v>
      </c>
      <c r="K1673">
        <v>0.28739999999999999</v>
      </c>
      <c r="L1673">
        <v>0.26290000000000002</v>
      </c>
      <c r="M1673">
        <v>1.5</v>
      </c>
      <c r="N1673">
        <v>1.1499999999999999</v>
      </c>
      <c r="O1673">
        <v>25.8</v>
      </c>
      <c r="P1673">
        <v>18.5</v>
      </c>
      <c r="Q1673">
        <v>0</v>
      </c>
      <c r="R1673">
        <v>0</v>
      </c>
      <c r="S1673">
        <v>0.65</v>
      </c>
      <c r="T1673">
        <v>1.1000000000000001</v>
      </c>
      <c r="U1673">
        <v>0.95</v>
      </c>
      <c r="V1673">
        <v>1.78</v>
      </c>
      <c r="W1673">
        <v>0</v>
      </c>
      <c r="X1673">
        <v>0</v>
      </c>
    </row>
    <row r="1674" spans="2:24" hidden="1" x14ac:dyDescent="0.35">
      <c r="B1674">
        <v>2020</v>
      </c>
      <c r="C1674" s="1">
        <v>44194</v>
      </c>
      <c r="D1674">
        <v>2411</v>
      </c>
      <c r="E1674" t="s">
        <v>23</v>
      </c>
      <c r="F1674" t="s">
        <v>31</v>
      </c>
      <c r="G1674" t="s">
        <v>53</v>
      </c>
      <c r="H1674">
        <v>55.47</v>
      </c>
      <c r="I1674">
        <v>66.569999999999993</v>
      </c>
      <c r="J1674">
        <v>0.29899999999999999</v>
      </c>
      <c r="K1674">
        <v>0.45279999999999998</v>
      </c>
      <c r="L1674">
        <v>0.2482</v>
      </c>
      <c r="M1674">
        <v>1.29</v>
      </c>
      <c r="N1674">
        <v>1.64</v>
      </c>
      <c r="O1674">
        <v>31.3</v>
      </c>
      <c r="P1674">
        <v>15.9</v>
      </c>
      <c r="Q1674">
        <v>0</v>
      </c>
      <c r="R1674">
        <v>5</v>
      </c>
      <c r="S1674">
        <v>0.55000000000000004</v>
      </c>
      <c r="T1674">
        <v>1.35</v>
      </c>
      <c r="U1674">
        <v>0.46</v>
      </c>
      <c r="V1674">
        <v>1.84</v>
      </c>
      <c r="W1674">
        <v>0</v>
      </c>
      <c r="X1674">
        <v>5.22</v>
      </c>
    </row>
    <row r="1675" spans="2:24" hidden="1" x14ac:dyDescent="0.35">
      <c r="B1675">
        <v>2020</v>
      </c>
      <c r="C1675" s="1">
        <v>44194</v>
      </c>
      <c r="D1675">
        <v>2411</v>
      </c>
      <c r="E1675" t="s">
        <v>23</v>
      </c>
      <c r="F1675" t="s">
        <v>32</v>
      </c>
      <c r="G1675" t="s">
        <v>51</v>
      </c>
      <c r="H1675">
        <v>66.739999999999995</v>
      </c>
      <c r="I1675">
        <v>63.05</v>
      </c>
      <c r="J1675">
        <v>0.46629999999999999</v>
      </c>
      <c r="K1675">
        <v>0.2455</v>
      </c>
      <c r="L1675">
        <v>0.28820000000000001</v>
      </c>
      <c r="M1675">
        <v>1.33</v>
      </c>
      <c r="N1675">
        <v>0.88</v>
      </c>
      <c r="O1675">
        <v>48.8</v>
      </c>
      <c r="P1675">
        <v>32.200000000000003</v>
      </c>
      <c r="Q1675">
        <v>1</v>
      </c>
      <c r="R1675">
        <v>0</v>
      </c>
      <c r="S1675">
        <v>1.1299999999999999</v>
      </c>
      <c r="T1675">
        <v>0.57999999999999996</v>
      </c>
      <c r="U1675">
        <v>1.01</v>
      </c>
      <c r="V1675">
        <v>0.4</v>
      </c>
      <c r="W1675">
        <v>1.05</v>
      </c>
      <c r="X1675">
        <v>0</v>
      </c>
    </row>
    <row r="1676" spans="2:24" hidden="1" x14ac:dyDescent="0.35">
      <c r="B1676">
        <v>2020</v>
      </c>
      <c r="C1676" s="1">
        <v>44194</v>
      </c>
      <c r="D1676">
        <v>2411</v>
      </c>
      <c r="E1676" t="s">
        <v>23</v>
      </c>
      <c r="F1676" t="s">
        <v>39</v>
      </c>
      <c r="G1676" t="s">
        <v>49</v>
      </c>
      <c r="H1676">
        <v>84.02</v>
      </c>
      <c r="I1676">
        <v>75.510000000000005</v>
      </c>
      <c r="J1676">
        <v>0.6179</v>
      </c>
      <c r="K1676">
        <v>0.159</v>
      </c>
      <c r="L1676">
        <v>0.22320000000000001</v>
      </c>
      <c r="M1676">
        <v>1.9</v>
      </c>
      <c r="N1676">
        <v>0.84</v>
      </c>
      <c r="O1676">
        <v>73.099999999999994</v>
      </c>
      <c r="P1676">
        <v>16.7</v>
      </c>
      <c r="Q1676">
        <v>1</v>
      </c>
      <c r="R1676">
        <v>0</v>
      </c>
      <c r="S1676">
        <v>1.92</v>
      </c>
      <c r="T1676">
        <v>0.43</v>
      </c>
      <c r="U1676">
        <v>1.77</v>
      </c>
      <c r="V1676">
        <v>0.69</v>
      </c>
      <c r="W1676">
        <v>1.05</v>
      </c>
      <c r="X1676">
        <v>0</v>
      </c>
    </row>
    <row r="1677" spans="2:24" hidden="1" x14ac:dyDescent="0.35">
      <c r="B1677">
        <v>2020</v>
      </c>
      <c r="C1677" s="1">
        <v>44195</v>
      </c>
      <c r="D1677">
        <v>2411</v>
      </c>
      <c r="E1677" t="s">
        <v>23</v>
      </c>
      <c r="F1677" t="s">
        <v>46</v>
      </c>
      <c r="G1677" t="s">
        <v>41</v>
      </c>
      <c r="H1677">
        <v>63.16</v>
      </c>
      <c r="I1677">
        <v>88.01</v>
      </c>
      <c r="J1677">
        <v>0.12670000000000001</v>
      </c>
      <c r="K1677">
        <v>0.68740000000000001</v>
      </c>
      <c r="L1677">
        <v>0.18590000000000001</v>
      </c>
      <c r="M1677">
        <v>0.86</v>
      </c>
      <c r="N1677">
        <v>2.2799999999999998</v>
      </c>
      <c r="O1677">
        <v>27.4</v>
      </c>
      <c r="P1677">
        <v>69.599999999999994</v>
      </c>
      <c r="Q1677">
        <v>0</v>
      </c>
      <c r="R1677">
        <v>0</v>
      </c>
      <c r="S1677">
        <v>0.73</v>
      </c>
      <c r="T1677">
        <v>1.75</v>
      </c>
      <c r="U1677">
        <v>0.86</v>
      </c>
      <c r="V1677">
        <v>1.99</v>
      </c>
      <c r="W1677">
        <v>0</v>
      </c>
      <c r="X1677">
        <v>0</v>
      </c>
    </row>
    <row r="1678" spans="2:24" hidden="1" x14ac:dyDescent="0.35">
      <c r="B1678">
        <v>2020</v>
      </c>
      <c r="C1678" s="1">
        <v>44197</v>
      </c>
      <c r="D1678">
        <v>2411</v>
      </c>
      <c r="E1678" t="s">
        <v>23</v>
      </c>
      <c r="F1678" t="s">
        <v>28</v>
      </c>
      <c r="G1678" t="s">
        <v>43</v>
      </c>
      <c r="H1678">
        <v>75.2</v>
      </c>
      <c r="I1678">
        <v>74.45</v>
      </c>
      <c r="J1678">
        <v>0.46060000000000001</v>
      </c>
      <c r="K1678">
        <v>0.28320000000000001</v>
      </c>
      <c r="L1678">
        <v>0.25619999999999998</v>
      </c>
      <c r="M1678">
        <v>1.57</v>
      </c>
      <c r="N1678">
        <v>1.18</v>
      </c>
      <c r="O1678">
        <v>45.6</v>
      </c>
      <c r="P1678">
        <v>18.3</v>
      </c>
      <c r="Q1678">
        <v>0</v>
      </c>
      <c r="R1678">
        <v>1</v>
      </c>
      <c r="S1678">
        <v>0.39</v>
      </c>
      <c r="T1678">
        <v>1.18</v>
      </c>
      <c r="U1678">
        <v>1.02</v>
      </c>
      <c r="V1678">
        <v>0.98</v>
      </c>
      <c r="W1678">
        <v>0</v>
      </c>
      <c r="X1678">
        <v>1.05</v>
      </c>
    </row>
    <row r="1679" spans="2:24" hidden="1" x14ac:dyDescent="0.35">
      <c r="B1679">
        <v>2020</v>
      </c>
      <c r="C1679" s="1">
        <v>44197</v>
      </c>
      <c r="D1679">
        <v>2411</v>
      </c>
      <c r="E1679" t="s">
        <v>23</v>
      </c>
      <c r="F1679" t="s">
        <v>39</v>
      </c>
      <c r="G1679" t="s">
        <v>52</v>
      </c>
      <c r="H1679">
        <v>84.51</v>
      </c>
      <c r="I1679">
        <v>78.66</v>
      </c>
      <c r="J1679">
        <v>0.53639999999999999</v>
      </c>
      <c r="K1679">
        <v>0.23680000000000001</v>
      </c>
      <c r="L1679">
        <v>0.22689999999999999</v>
      </c>
      <c r="M1679">
        <v>1.93</v>
      </c>
      <c r="N1679">
        <v>1.22</v>
      </c>
      <c r="O1679">
        <v>73.5</v>
      </c>
      <c r="P1679">
        <v>58.3</v>
      </c>
      <c r="Q1679">
        <v>2</v>
      </c>
      <c r="R1679">
        <v>1</v>
      </c>
      <c r="S1679">
        <v>2.4300000000000002</v>
      </c>
      <c r="T1679">
        <v>1.62</v>
      </c>
      <c r="U1679">
        <v>2.02</v>
      </c>
      <c r="V1679">
        <v>1.58</v>
      </c>
      <c r="W1679">
        <v>2.1</v>
      </c>
      <c r="X1679">
        <v>1.05</v>
      </c>
    </row>
    <row r="1680" spans="2:24" hidden="1" x14ac:dyDescent="0.35">
      <c r="B1680">
        <v>2020</v>
      </c>
      <c r="C1680" s="1">
        <v>44198</v>
      </c>
      <c r="D1680">
        <v>2411</v>
      </c>
      <c r="E1680" t="s">
        <v>23</v>
      </c>
      <c r="F1680" t="s">
        <v>29</v>
      </c>
      <c r="G1680" t="s">
        <v>53</v>
      </c>
      <c r="H1680">
        <v>81.2</v>
      </c>
      <c r="I1680">
        <v>68.81</v>
      </c>
      <c r="J1680">
        <v>0.61929999999999996</v>
      </c>
      <c r="K1680">
        <v>0.17680000000000001</v>
      </c>
      <c r="L1680">
        <v>0.20380000000000001</v>
      </c>
      <c r="M1680">
        <v>2.1800000000000002</v>
      </c>
      <c r="N1680">
        <v>1.08</v>
      </c>
      <c r="O1680">
        <v>63.8</v>
      </c>
      <c r="P1680">
        <v>9.8000000000000007</v>
      </c>
      <c r="Q1680">
        <v>3</v>
      </c>
      <c r="R1680">
        <v>0</v>
      </c>
      <c r="S1680">
        <v>2.78</v>
      </c>
      <c r="T1680">
        <v>1.27</v>
      </c>
      <c r="U1680">
        <v>1.81</v>
      </c>
      <c r="V1680">
        <v>1.89</v>
      </c>
      <c r="W1680">
        <v>3.15</v>
      </c>
      <c r="X1680">
        <v>0</v>
      </c>
    </row>
    <row r="1681" spans="2:24" hidden="1" x14ac:dyDescent="0.35">
      <c r="B1681">
        <v>2020</v>
      </c>
      <c r="C1681" s="1">
        <v>44198</v>
      </c>
      <c r="D1681">
        <v>2411</v>
      </c>
      <c r="E1681" t="s">
        <v>23</v>
      </c>
      <c r="F1681" t="s">
        <v>30</v>
      </c>
      <c r="G1681" t="s">
        <v>51</v>
      </c>
      <c r="H1681">
        <v>65.239999999999995</v>
      </c>
      <c r="I1681">
        <v>62.81</v>
      </c>
      <c r="J1681">
        <v>0.46279999999999999</v>
      </c>
      <c r="K1681">
        <v>0.25900000000000001</v>
      </c>
      <c r="L1681">
        <v>0.2782</v>
      </c>
      <c r="M1681">
        <v>1.39</v>
      </c>
      <c r="N1681">
        <v>0.97</v>
      </c>
      <c r="O1681">
        <v>31.5</v>
      </c>
      <c r="P1681">
        <v>23.5</v>
      </c>
      <c r="Q1681">
        <v>2</v>
      </c>
      <c r="R1681">
        <v>0</v>
      </c>
      <c r="S1681">
        <v>0.59</v>
      </c>
      <c r="T1681">
        <v>0.38</v>
      </c>
      <c r="U1681">
        <v>1.02</v>
      </c>
      <c r="V1681">
        <v>0.69</v>
      </c>
      <c r="W1681">
        <v>2.1</v>
      </c>
      <c r="X1681">
        <v>0</v>
      </c>
    </row>
    <row r="1682" spans="2:24" hidden="1" x14ac:dyDescent="0.35">
      <c r="B1682">
        <v>2020</v>
      </c>
      <c r="C1682" s="1">
        <v>44198</v>
      </c>
      <c r="D1682">
        <v>2411</v>
      </c>
      <c r="E1682" t="s">
        <v>23</v>
      </c>
      <c r="F1682" t="s">
        <v>45</v>
      </c>
      <c r="G1682" t="s">
        <v>49</v>
      </c>
      <c r="H1682">
        <v>73</v>
      </c>
      <c r="I1682">
        <v>75.2</v>
      </c>
      <c r="J1682">
        <v>0.42349999999999999</v>
      </c>
      <c r="K1682">
        <v>0.28189999999999998</v>
      </c>
      <c r="L1682">
        <v>0.29459999999999997</v>
      </c>
      <c r="M1682">
        <v>1.24</v>
      </c>
      <c r="N1682">
        <v>0.96</v>
      </c>
      <c r="O1682">
        <v>30.5</v>
      </c>
      <c r="P1682">
        <v>7.1</v>
      </c>
      <c r="Q1682">
        <v>3</v>
      </c>
      <c r="R1682">
        <v>3</v>
      </c>
      <c r="S1682">
        <v>2.4300000000000002</v>
      </c>
      <c r="T1682">
        <v>1.8</v>
      </c>
      <c r="U1682">
        <v>2.14</v>
      </c>
      <c r="V1682">
        <v>0.55000000000000004</v>
      </c>
      <c r="W1682">
        <v>3.15</v>
      </c>
      <c r="X1682">
        <v>3.15</v>
      </c>
    </row>
    <row r="1683" spans="2:24" hidden="1" x14ac:dyDescent="0.35">
      <c r="B1683">
        <v>2020</v>
      </c>
      <c r="C1683" s="1">
        <v>44198</v>
      </c>
      <c r="D1683">
        <v>2411</v>
      </c>
      <c r="E1683" t="s">
        <v>23</v>
      </c>
      <c r="F1683" t="s">
        <v>31</v>
      </c>
      <c r="G1683" t="s">
        <v>40</v>
      </c>
      <c r="H1683">
        <v>53.26</v>
      </c>
      <c r="I1683">
        <v>79.59</v>
      </c>
      <c r="J1683">
        <v>0.17299999999999999</v>
      </c>
      <c r="K1683">
        <v>0.59079999999999999</v>
      </c>
      <c r="L1683">
        <v>0.23619999999999999</v>
      </c>
      <c r="M1683">
        <v>0.84</v>
      </c>
      <c r="N1683">
        <v>1.78</v>
      </c>
      <c r="O1683">
        <v>21.1</v>
      </c>
      <c r="P1683">
        <v>15.9</v>
      </c>
      <c r="Q1683">
        <v>0</v>
      </c>
      <c r="R1683">
        <v>4</v>
      </c>
      <c r="S1683">
        <v>1.1200000000000001</v>
      </c>
      <c r="T1683">
        <v>4.12</v>
      </c>
      <c r="U1683">
        <v>1.06</v>
      </c>
      <c r="V1683">
        <v>1.06</v>
      </c>
      <c r="W1683">
        <v>0</v>
      </c>
      <c r="X1683">
        <v>4.2</v>
      </c>
    </row>
    <row r="1684" spans="2:24" hidden="1" x14ac:dyDescent="0.35">
      <c r="B1684">
        <v>2020</v>
      </c>
      <c r="C1684" s="1">
        <v>44199</v>
      </c>
      <c r="D1684">
        <v>2411</v>
      </c>
      <c r="E1684" t="s">
        <v>23</v>
      </c>
      <c r="F1684" t="s">
        <v>46</v>
      </c>
      <c r="G1684" t="s">
        <v>25</v>
      </c>
      <c r="H1684">
        <v>63.53</v>
      </c>
      <c r="I1684">
        <v>78.86</v>
      </c>
      <c r="J1684">
        <v>0.23100000000000001</v>
      </c>
      <c r="K1684">
        <v>0.51300000000000001</v>
      </c>
      <c r="L1684">
        <v>0.25590000000000002</v>
      </c>
      <c r="M1684">
        <v>0.99</v>
      </c>
      <c r="N1684">
        <v>1.61</v>
      </c>
      <c r="O1684">
        <v>24.8</v>
      </c>
      <c r="P1684">
        <v>52.7</v>
      </c>
      <c r="Q1684">
        <v>1</v>
      </c>
      <c r="R1684">
        <v>2</v>
      </c>
      <c r="S1684">
        <v>0.51</v>
      </c>
      <c r="T1684">
        <v>0.66</v>
      </c>
      <c r="U1684">
        <v>0.68</v>
      </c>
      <c r="V1684">
        <v>1.1599999999999999</v>
      </c>
      <c r="W1684">
        <v>1.05</v>
      </c>
      <c r="X1684">
        <v>2.0499999999999998</v>
      </c>
    </row>
    <row r="1685" spans="2:24" hidden="1" x14ac:dyDescent="0.35">
      <c r="B1685">
        <v>2020</v>
      </c>
      <c r="C1685" s="1">
        <v>44199</v>
      </c>
      <c r="D1685">
        <v>2411</v>
      </c>
      <c r="E1685" t="s">
        <v>23</v>
      </c>
      <c r="F1685" t="s">
        <v>42</v>
      </c>
      <c r="G1685" t="s">
        <v>36</v>
      </c>
      <c r="H1685">
        <v>86.79</v>
      </c>
      <c r="I1685">
        <v>93.3</v>
      </c>
      <c r="J1685">
        <v>0.27050000000000002</v>
      </c>
      <c r="K1685">
        <v>0.48089999999999999</v>
      </c>
      <c r="L1685">
        <v>0.24859999999999999</v>
      </c>
      <c r="M1685">
        <v>1.19</v>
      </c>
      <c r="N1685">
        <v>1.67</v>
      </c>
      <c r="O1685">
        <v>76.400000000000006</v>
      </c>
      <c r="P1685">
        <v>94</v>
      </c>
      <c r="Q1685">
        <v>1</v>
      </c>
      <c r="R1685">
        <v>3</v>
      </c>
      <c r="S1685">
        <v>0.74</v>
      </c>
      <c r="T1685">
        <v>3.75</v>
      </c>
      <c r="U1685">
        <v>1.05</v>
      </c>
      <c r="V1685">
        <v>1.57</v>
      </c>
      <c r="W1685">
        <v>1.05</v>
      </c>
      <c r="X1685">
        <v>3.15</v>
      </c>
    </row>
    <row r="1686" spans="2:24" hidden="1" x14ac:dyDescent="0.35">
      <c r="B1686">
        <v>2020</v>
      </c>
      <c r="C1686" s="1">
        <v>44200</v>
      </c>
      <c r="D1686">
        <v>2411</v>
      </c>
      <c r="E1686" t="s">
        <v>23</v>
      </c>
      <c r="F1686" t="s">
        <v>34</v>
      </c>
      <c r="G1686" t="s">
        <v>41</v>
      </c>
      <c r="H1686">
        <v>75.260000000000005</v>
      </c>
      <c r="I1686">
        <v>88.07</v>
      </c>
      <c r="J1686">
        <v>0.2218</v>
      </c>
      <c r="K1686">
        <v>0.54079999999999995</v>
      </c>
      <c r="L1686">
        <v>0.2374</v>
      </c>
      <c r="M1686">
        <v>1.07</v>
      </c>
      <c r="N1686">
        <v>1.8</v>
      </c>
      <c r="O1686">
        <v>24.2</v>
      </c>
      <c r="P1686">
        <v>56.9</v>
      </c>
      <c r="Q1686">
        <v>1</v>
      </c>
      <c r="R1686">
        <v>0</v>
      </c>
      <c r="S1686">
        <v>0.28000000000000003</v>
      </c>
      <c r="T1686">
        <v>1.7</v>
      </c>
      <c r="U1686">
        <v>0.54</v>
      </c>
      <c r="V1686">
        <v>3.64</v>
      </c>
      <c r="W1686">
        <v>1.05</v>
      </c>
      <c r="X1686">
        <v>0</v>
      </c>
    </row>
    <row r="1687" spans="2:24" hidden="1" x14ac:dyDescent="0.35">
      <c r="B1687">
        <v>2020</v>
      </c>
      <c r="C1687" s="1">
        <v>44208</v>
      </c>
      <c r="D1687">
        <v>2411</v>
      </c>
      <c r="E1687" t="s">
        <v>23</v>
      </c>
      <c r="F1687" t="s">
        <v>51</v>
      </c>
      <c r="G1687" t="s">
        <v>46</v>
      </c>
      <c r="H1687">
        <v>62.4</v>
      </c>
      <c r="I1687">
        <v>63.52</v>
      </c>
      <c r="J1687">
        <v>0.38540000000000002</v>
      </c>
      <c r="K1687">
        <v>0.31419999999999998</v>
      </c>
      <c r="L1687">
        <v>0.3004</v>
      </c>
      <c r="M1687">
        <v>1.1499999999999999</v>
      </c>
      <c r="N1687">
        <v>1.01</v>
      </c>
      <c r="O1687">
        <v>17.2</v>
      </c>
      <c r="P1687">
        <v>29.8</v>
      </c>
      <c r="Q1687">
        <v>1</v>
      </c>
      <c r="R1687">
        <v>0</v>
      </c>
      <c r="S1687">
        <v>2.09</v>
      </c>
      <c r="T1687">
        <v>0.95</v>
      </c>
      <c r="U1687">
        <v>1.67</v>
      </c>
      <c r="V1687">
        <v>0.77</v>
      </c>
      <c r="W1687">
        <v>0.84</v>
      </c>
      <c r="X1687">
        <v>0</v>
      </c>
    </row>
    <row r="1688" spans="2:24" hidden="1" x14ac:dyDescent="0.35">
      <c r="B1688">
        <v>2020</v>
      </c>
      <c r="C1688" s="1">
        <v>44208</v>
      </c>
      <c r="D1688">
        <v>2411</v>
      </c>
      <c r="E1688" t="s">
        <v>23</v>
      </c>
      <c r="F1688" t="s">
        <v>49</v>
      </c>
      <c r="G1688" t="s">
        <v>28</v>
      </c>
      <c r="H1688">
        <v>74.069999999999993</v>
      </c>
      <c r="I1688">
        <v>74.540000000000006</v>
      </c>
      <c r="J1688">
        <v>0.37880000000000003</v>
      </c>
      <c r="K1688">
        <v>0.3392</v>
      </c>
      <c r="L1688">
        <v>0.28199999999999997</v>
      </c>
      <c r="M1688">
        <v>1.25</v>
      </c>
      <c r="N1688">
        <v>1.17</v>
      </c>
      <c r="O1688">
        <v>6</v>
      </c>
      <c r="P1688">
        <v>32.9</v>
      </c>
      <c r="Q1688">
        <v>1</v>
      </c>
      <c r="R1688">
        <v>2</v>
      </c>
      <c r="S1688">
        <v>1.02</v>
      </c>
      <c r="T1688">
        <v>0.28999999999999998</v>
      </c>
      <c r="U1688">
        <v>1.1599999999999999</v>
      </c>
      <c r="V1688">
        <v>0.8</v>
      </c>
      <c r="W1688">
        <v>1.05</v>
      </c>
      <c r="X1688">
        <v>2.1</v>
      </c>
    </row>
    <row r="1689" spans="2:24" hidden="1" x14ac:dyDescent="0.35">
      <c r="B1689">
        <v>2020</v>
      </c>
      <c r="C1689" s="1">
        <v>44208</v>
      </c>
      <c r="D1689">
        <v>2411</v>
      </c>
      <c r="E1689" t="s">
        <v>23</v>
      </c>
      <c r="F1689" t="s">
        <v>32</v>
      </c>
      <c r="G1689" t="s">
        <v>39</v>
      </c>
      <c r="H1689">
        <v>67.47</v>
      </c>
      <c r="I1689">
        <v>84.52</v>
      </c>
      <c r="J1689">
        <v>0.1903</v>
      </c>
      <c r="K1689">
        <v>0.57869999999999999</v>
      </c>
      <c r="L1689">
        <v>0.23100000000000001</v>
      </c>
      <c r="M1689">
        <v>0.96</v>
      </c>
      <c r="N1689">
        <v>1.85</v>
      </c>
      <c r="O1689">
        <v>32.4</v>
      </c>
      <c r="P1689">
        <v>65.099999999999994</v>
      </c>
      <c r="Q1689">
        <v>0</v>
      </c>
      <c r="R1689">
        <v>1</v>
      </c>
      <c r="S1689">
        <v>0.63</v>
      </c>
      <c r="T1689">
        <v>1.57</v>
      </c>
      <c r="U1689">
        <v>0.74</v>
      </c>
      <c r="V1689">
        <v>2.38</v>
      </c>
      <c r="W1689">
        <v>0</v>
      </c>
      <c r="X1689">
        <v>1.05</v>
      </c>
    </row>
    <row r="1690" spans="2:24" hidden="1" x14ac:dyDescent="0.35">
      <c r="B1690">
        <v>2020</v>
      </c>
      <c r="C1690" s="1">
        <v>44209</v>
      </c>
      <c r="D1690">
        <v>2411</v>
      </c>
      <c r="E1690" t="s">
        <v>23</v>
      </c>
      <c r="F1690" t="s">
        <v>36</v>
      </c>
      <c r="G1690" t="s">
        <v>45</v>
      </c>
      <c r="H1690">
        <v>93.69</v>
      </c>
      <c r="I1690">
        <v>73.17</v>
      </c>
      <c r="J1690">
        <v>0.85450000000000004</v>
      </c>
      <c r="K1690">
        <v>3.2800000000000003E-2</v>
      </c>
      <c r="L1690">
        <v>0.11269999999999999</v>
      </c>
      <c r="M1690">
        <v>2.65</v>
      </c>
      <c r="N1690">
        <v>0.36</v>
      </c>
      <c r="O1690">
        <v>100</v>
      </c>
      <c r="P1690">
        <v>22.9</v>
      </c>
      <c r="Q1690">
        <v>1</v>
      </c>
      <c r="R1690">
        <v>0</v>
      </c>
      <c r="S1690">
        <v>3.08</v>
      </c>
      <c r="T1690">
        <v>0.21</v>
      </c>
      <c r="U1690">
        <v>2.87</v>
      </c>
      <c r="V1690">
        <v>0.57999999999999996</v>
      </c>
      <c r="W1690">
        <v>1.05</v>
      </c>
      <c r="X1690">
        <v>0</v>
      </c>
    </row>
    <row r="1691" spans="2:24" hidden="1" x14ac:dyDescent="0.35">
      <c r="B1691">
        <v>2020</v>
      </c>
      <c r="C1691" s="1">
        <v>44209</v>
      </c>
      <c r="D1691">
        <v>2411</v>
      </c>
      <c r="E1691" t="s">
        <v>23</v>
      </c>
      <c r="F1691" t="s">
        <v>29</v>
      </c>
      <c r="G1691" t="s">
        <v>48</v>
      </c>
      <c r="H1691">
        <v>81.61</v>
      </c>
      <c r="I1691">
        <v>66.13</v>
      </c>
      <c r="J1691">
        <v>0.64049999999999996</v>
      </c>
      <c r="K1691">
        <v>0.14099999999999999</v>
      </c>
      <c r="L1691">
        <v>0.2185</v>
      </c>
      <c r="M1691">
        <v>1.91</v>
      </c>
      <c r="N1691">
        <v>0.76</v>
      </c>
      <c r="O1691">
        <v>65.900000000000006</v>
      </c>
      <c r="P1691">
        <v>44.1</v>
      </c>
      <c r="Q1691">
        <v>1</v>
      </c>
      <c r="R1691">
        <v>1</v>
      </c>
      <c r="S1691">
        <v>4.13</v>
      </c>
      <c r="T1691">
        <v>0.9</v>
      </c>
      <c r="U1691">
        <v>1.82</v>
      </c>
      <c r="V1691">
        <v>1.28</v>
      </c>
      <c r="W1691">
        <v>1.05</v>
      </c>
      <c r="X1691">
        <v>1.05</v>
      </c>
    </row>
    <row r="1692" spans="2:24" hidden="1" x14ac:dyDescent="0.35">
      <c r="B1692">
        <v>2020</v>
      </c>
      <c r="C1692" s="1">
        <v>44210</v>
      </c>
      <c r="D1692">
        <v>2411</v>
      </c>
      <c r="E1692" t="s">
        <v>23</v>
      </c>
      <c r="F1692" t="s">
        <v>40</v>
      </c>
      <c r="G1692" t="s">
        <v>30</v>
      </c>
      <c r="H1692">
        <v>80.510000000000005</v>
      </c>
      <c r="I1692">
        <v>66.099999999999994</v>
      </c>
      <c r="J1692">
        <v>0.60529999999999995</v>
      </c>
      <c r="K1692">
        <v>0.1641</v>
      </c>
      <c r="L1692">
        <v>0.2306</v>
      </c>
      <c r="M1692">
        <v>1.83</v>
      </c>
      <c r="N1692">
        <v>0.83</v>
      </c>
      <c r="O1692">
        <v>21.3</v>
      </c>
      <c r="P1692">
        <v>14.2</v>
      </c>
      <c r="Q1692">
        <v>0</v>
      </c>
      <c r="R1692">
        <v>0</v>
      </c>
      <c r="S1692">
        <v>0.47</v>
      </c>
      <c r="T1692">
        <v>0.72</v>
      </c>
      <c r="U1692">
        <v>1.77</v>
      </c>
      <c r="V1692">
        <v>1.05</v>
      </c>
      <c r="W1692">
        <v>0</v>
      </c>
      <c r="X1692">
        <v>0</v>
      </c>
    </row>
    <row r="1693" spans="2:24" hidden="1" x14ac:dyDescent="0.35">
      <c r="B1693">
        <v>2020</v>
      </c>
      <c r="C1693" s="1">
        <v>44212</v>
      </c>
      <c r="D1693">
        <v>2411</v>
      </c>
      <c r="E1693" t="s">
        <v>23</v>
      </c>
      <c r="F1693" t="s">
        <v>49</v>
      </c>
      <c r="G1693" t="s">
        <v>31</v>
      </c>
      <c r="H1693">
        <v>73.94</v>
      </c>
      <c r="I1693">
        <v>51.63</v>
      </c>
      <c r="J1693">
        <v>0.63500000000000001</v>
      </c>
      <c r="K1693">
        <v>0.13</v>
      </c>
      <c r="L1693">
        <v>0.23499999999999999</v>
      </c>
      <c r="M1693">
        <v>1.73</v>
      </c>
      <c r="N1693">
        <v>0.63</v>
      </c>
      <c r="O1693">
        <v>8.1</v>
      </c>
      <c r="P1693">
        <v>17.3</v>
      </c>
      <c r="Q1693">
        <v>2</v>
      </c>
      <c r="R1693">
        <v>3</v>
      </c>
      <c r="S1693">
        <v>2.15</v>
      </c>
      <c r="T1693">
        <v>2.46</v>
      </c>
      <c r="U1693">
        <v>2.41</v>
      </c>
      <c r="V1693">
        <v>0.68</v>
      </c>
      <c r="W1693">
        <v>2.1</v>
      </c>
      <c r="X1693">
        <v>3.15</v>
      </c>
    </row>
    <row r="1694" spans="2:24" hidden="1" x14ac:dyDescent="0.35">
      <c r="B1694">
        <v>2020</v>
      </c>
      <c r="C1694" s="1">
        <v>44212</v>
      </c>
      <c r="D1694">
        <v>2411</v>
      </c>
      <c r="E1694" t="s">
        <v>23</v>
      </c>
      <c r="F1694" t="s">
        <v>43</v>
      </c>
      <c r="G1694" t="s">
        <v>32</v>
      </c>
      <c r="H1694">
        <v>75.540000000000006</v>
      </c>
      <c r="I1694">
        <v>66.97</v>
      </c>
      <c r="J1694">
        <v>0.51700000000000002</v>
      </c>
      <c r="K1694">
        <v>0.21229999999999999</v>
      </c>
      <c r="L1694">
        <v>0.27079999999999999</v>
      </c>
      <c r="M1694">
        <v>1.48</v>
      </c>
      <c r="N1694">
        <v>0.84</v>
      </c>
      <c r="O1694">
        <v>20.100000000000001</v>
      </c>
      <c r="P1694">
        <v>32.9</v>
      </c>
      <c r="Q1694">
        <v>1</v>
      </c>
      <c r="R1694">
        <v>0</v>
      </c>
      <c r="S1694">
        <v>1.7</v>
      </c>
      <c r="T1694">
        <v>0.48</v>
      </c>
      <c r="U1694">
        <v>1.44</v>
      </c>
      <c r="V1694">
        <v>1.25</v>
      </c>
      <c r="W1694">
        <v>1.05</v>
      </c>
      <c r="X1694">
        <v>0</v>
      </c>
    </row>
    <row r="1695" spans="2:24" hidden="1" x14ac:dyDescent="0.35">
      <c r="B1695">
        <v>2020</v>
      </c>
      <c r="C1695" s="1">
        <v>44212</v>
      </c>
      <c r="D1695">
        <v>2411</v>
      </c>
      <c r="E1695" t="s">
        <v>23</v>
      </c>
      <c r="F1695" t="s">
        <v>53</v>
      </c>
      <c r="G1695" t="s">
        <v>45</v>
      </c>
      <c r="H1695">
        <v>68.19</v>
      </c>
      <c r="I1695">
        <v>72.8</v>
      </c>
      <c r="J1695">
        <v>0.38300000000000001</v>
      </c>
      <c r="K1695">
        <v>0.37180000000000002</v>
      </c>
      <c r="L1695">
        <v>0.2452</v>
      </c>
      <c r="M1695">
        <v>1.56</v>
      </c>
      <c r="N1695">
        <v>1.53</v>
      </c>
      <c r="O1695">
        <v>7.6</v>
      </c>
      <c r="P1695">
        <v>29</v>
      </c>
      <c r="Q1695">
        <v>0</v>
      </c>
      <c r="R1695">
        <v>1</v>
      </c>
      <c r="S1695">
        <v>0.3</v>
      </c>
      <c r="T1695">
        <v>1.06</v>
      </c>
      <c r="U1695">
        <v>1.22</v>
      </c>
      <c r="V1695">
        <v>1.54</v>
      </c>
      <c r="W1695">
        <v>0</v>
      </c>
      <c r="X1695">
        <v>1.05</v>
      </c>
    </row>
    <row r="1696" spans="2:24" hidden="1" x14ac:dyDescent="0.35">
      <c r="B1696">
        <v>2020</v>
      </c>
      <c r="C1696" s="1">
        <v>44212</v>
      </c>
      <c r="D1696">
        <v>2411</v>
      </c>
      <c r="E1696" t="s">
        <v>23</v>
      </c>
      <c r="F1696" t="s">
        <v>48</v>
      </c>
      <c r="G1696" t="s">
        <v>42</v>
      </c>
      <c r="H1696">
        <v>65.92</v>
      </c>
      <c r="I1696">
        <v>85.78</v>
      </c>
      <c r="J1696">
        <v>0.1895</v>
      </c>
      <c r="K1696">
        <v>0.58079999999999998</v>
      </c>
      <c r="L1696">
        <v>0.2298</v>
      </c>
      <c r="M1696">
        <v>0.96</v>
      </c>
      <c r="N1696">
        <v>1.87</v>
      </c>
      <c r="O1696">
        <v>46.7</v>
      </c>
      <c r="P1696">
        <v>58.2</v>
      </c>
      <c r="Q1696">
        <v>0</v>
      </c>
      <c r="R1696">
        <v>1</v>
      </c>
      <c r="S1696">
        <v>0.51</v>
      </c>
      <c r="T1696">
        <v>1.58</v>
      </c>
      <c r="U1696">
        <v>0.77</v>
      </c>
      <c r="V1696">
        <v>2.41</v>
      </c>
      <c r="W1696">
        <v>0</v>
      </c>
      <c r="X1696">
        <v>0.84</v>
      </c>
    </row>
    <row r="1697" spans="2:24" hidden="1" x14ac:dyDescent="0.35">
      <c r="B1697">
        <v>2020</v>
      </c>
      <c r="C1697" s="1">
        <v>44212</v>
      </c>
      <c r="D1697">
        <v>2411</v>
      </c>
      <c r="E1697" t="s">
        <v>23</v>
      </c>
      <c r="F1697" t="s">
        <v>25</v>
      </c>
      <c r="G1697" t="s">
        <v>34</v>
      </c>
      <c r="H1697">
        <v>79.09</v>
      </c>
      <c r="I1697">
        <v>74.73</v>
      </c>
      <c r="J1697">
        <v>0.51629999999999998</v>
      </c>
      <c r="K1697">
        <v>0.22320000000000001</v>
      </c>
      <c r="L1697">
        <v>0.26050000000000001</v>
      </c>
      <c r="M1697">
        <v>1.57</v>
      </c>
      <c r="N1697">
        <v>0.93</v>
      </c>
      <c r="O1697">
        <v>60.6</v>
      </c>
      <c r="P1697">
        <v>27.1</v>
      </c>
      <c r="Q1697">
        <v>2</v>
      </c>
      <c r="R1697">
        <v>0</v>
      </c>
      <c r="S1697">
        <v>2.34</v>
      </c>
      <c r="T1697">
        <v>0.42</v>
      </c>
      <c r="U1697">
        <v>1.44</v>
      </c>
      <c r="V1697">
        <v>0.92</v>
      </c>
      <c r="W1697">
        <v>1.58</v>
      </c>
      <c r="X1697">
        <v>0</v>
      </c>
    </row>
    <row r="1698" spans="2:24" hidden="1" x14ac:dyDescent="0.35">
      <c r="B1698">
        <v>2020</v>
      </c>
      <c r="C1698" s="1">
        <v>44213</v>
      </c>
      <c r="D1698">
        <v>2411</v>
      </c>
      <c r="E1698" t="s">
        <v>23</v>
      </c>
      <c r="F1698" t="s">
        <v>51</v>
      </c>
      <c r="G1698" t="s">
        <v>29</v>
      </c>
      <c r="H1698">
        <v>63.41</v>
      </c>
      <c r="I1698">
        <v>81.540000000000006</v>
      </c>
      <c r="J1698">
        <v>0.1885</v>
      </c>
      <c r="K1698">
        <v>0.56940000000000002</v>
      </c>
      <c r="L1698">
        <v>0.24210000000000001</v>
      </c>
      <c r="M1698">
        <v>0.89</v>
      </c>
      <c r="N1698">
        <v>1.73</v>
      </c>
      <c r="O1698">
        <v>24.2</v>
      </c>
      <c r="P1698">
        <v>63.5</v>
      </c>
      <c r="Q1698">
        <v>1</v>
      </c>
      <c r="R1698">
        <v>3</v>
      </c>
      <c r="S1698">
        <v>0.93</v>
      </c>
      <c r="T1698">
        <v>1.34</v>
      </c>
      <c r="U1698">
        <v>0.92</v>
      </c>
      <c r="V1698">
        <v>1.31</v>
      </c>
      <c r="W1698">
        <v>1.05</v>
      </c>
      <c r="X1698">
        <v>3.15</v>
      </c>
    </row>
    <row r="1699" spans="2:24" hidden="1" x14ac:dyDescent="0.35">
      <c r="B1699">
        <v>2020</v>
      </c>
      <c r="C1699" s="1">
        <v>44213</v>
      </c>
      <c r="D1699">
        <v>2411</v>
      </c>
      <c r="E1699" t="s">
        <v>23</v>
      </c>
      <c r="F1699" t="s">
        <v>41</v>
      </c>
      <c r="G1699" t="s">
        <v>39</v>
      </c>
      <c r="H1699">
        <v>88.56</v>
      </c>
      <c r="I1699">
        <v>85.11</v>
      </c>
      <c r="J1699">
        <v>0.49349999999999999</v>
      </c>
      <c r="K1699">
        <v>0.27610000000000001</v>
      </c>
      <c r="L1699">
        <v>0.23050000000000001</v>
      </c>
      <c r="M1699">
        <v>1.88</v>
      </c>
      <c r="N1699">
        <v>1.36</v>
      </c>
      <c r="O1699">
        <v>59</v>
      </c>
      <c r="P1699">
        <v>58.1</v>
      </c>
      <c r="Q1699">
        <v>0</v>
      </c>
      <c r="R1699">
        <v>0</v>
      </c>
      <c r="S1699">
        <v>1.66</v>
      </c>
      <c r="T1699">
        <v>1.1599999999999999</v>
      </c>
      <c r="U1699">
        <v>2.63</v>
      </c>
      <c r="V1699">
        <v>0.84</v>
      </c>
      <c r="W1699">
        <v>0</v>
      </c>
      <c r="X1699">
        <v>0</v>
      </c>
    </row>
    <row r="1700" spans="2:24" hidden="1" x14ac:dyDescent="0.35">
      <c r="B1700">
        <v>2020</v>
      </c>
      <c r="C1700" s="1">
        <v>44213</v>
      </c>
      <c r="D1700">
        <v>2411</v>
      </c>
      <c r="E1700" t="s">
        <v>23</v>
      </c>
      <c r="F1700" t="s">
        <v>36</v>
      </c>
      <c r="G1700" t="s">
        <v>30</v>
      </c>
      <c r="H1700">
        <v>93.67</v>
      </c>
      <c r="I1700">
        <v>67.05</v>
      </c>
      <c r="J1700">
        <v>0.90039999999999998</v>
      </c>
      <c r="K1700">
        <v>1.44E-2</v>
      </c>
      <c r="L1700">
        <v>8.5199999999999998E-2</v>
      </c>
      <c r="M1700">
        <v>2.79</v>
      </c>
      <c r="N1700">
        <v>0.2</v>
      </c>
      <c r="O1700">
        <v>95</v>
      </c>
      <c r="P1700">
        <v>8</v>
      </c>
      <c r="Q1700">
        <v>4</v>
      </c>
      <c r="R1700">
        <v>0</v>
      </c>
      <c r="S1700">
        <v>1.04</v>
      </c>
      <c r="T1700">
        <v>0.05</v>
      </c>
      <c r="U1700">
        <v>1.91</v>
      </c>
      <c r="V1700">
        <v>0.45</v>
      </c>
      <c r="W1700">
        <v>3.74</v>
      </c>
      <c r="X1700">
        <v>0</v>
      </c>
    </row>
    <row r="1701" spans="2:24" hidden="1" x14ac:dyDescent="0.35">
      <c r="B1701">
        <v>2020</v>
      </c>
      <c r="C1701" s="1">
        <v>44214</v>
      </c>
      <c r="D1701">
        <v>2411</v>
      </c>
      <c r="E1701" t="s">
        <v>23</v>
      </c>
      <c r="F1701" t="s">
        <v>40</v>
      </c>
      <c r="G1701" t="s">
        <v>46</v>
      </c>
      <c r="H1701">
        <v>80.16</v>
      </c>
      <c r="I1701">
        <v>62.53</v>
      </c>
      <c r="J1701">
        <v>0.60980000000000001</v>
      </c>
      <c r="K1701">
        <v>0.1535</v>
      </c>
      <c r="L1701">
        <v>0.23669999999999999</v>
      </c>
      <c r="M1701">
        <v>1.75</v>
      </c>
      <c r="N1701">
        <v>0.74</v>
      </c>
      <c r="O1701">
        <v>12.4</v>
      </c>
      <c r="P1701">
        <v>33.299999999999997</v>
      </c>
      <c r="Q1701">
        <v>3</v>
      </c>
      <c r="R1701">
        <v>0</v>
      </c>
      <c r="S1701">
        <v>2.4300000000000002</v>
      </c>
      <c r="T1701">
        <v>0.2</v>
      </c>
      <c r="U1701">
        <v>2.35</v>
      </c>
      <c r="V1701">
        <v>0.46</v>
      </c>
      <c r="W1701">
        <v>2.98</v>
      </c>
      <c r="X1701">
        <v>0</v>
      </c>
    </row>
    <row r="1702" spans="2:24" hidden="1" x14ac:dyDescent="0.35">
      <c r="B1702">
        <v>2020</v>
      </c>
      <c r="C1702" s="1">
        <v>44215</v>
      </c>
      <c r="D1702">
        <v>2411</v>
      </c>
      <c r="E1702" t="s">
        <v>23</v>
      </c>
      <c r="F1702" t="s">
        <v>43</v>
      </c>
      <c r="G1702" t="s">
        <v>31</v>
      </c>
      <c r="H1702">
        <v>75.81</v>
      </c>
      <c r="I1702">
        <v>52.83</v>
      </c>
      <c r="J1702">
        <v>0.66120000000000001</v>
      </c>
      <c r="K1702">
        <v>0.12870000000000001</v>
      </c>
      <c r="L1702">
        <v>0.21010000000000001</v>
      </c>
      <c r="M1702">
        <v>1.97</v>
      </c>
      <c r="N1702">
        <v>0.73</v>
      </c>
      <c r="O1702">
        <v>17.8</v>
      </c>
      <c r="P1702">
        <v>25.7</v>
      </c>
      <c r="Q1702">
        <v>2</v>
      </c>
      <c r="R1702">
        <v>1</v>
      </c>
      <c r="S1702">
        <v>2.04</v>
      </c>
      <c r="T1702">
        <v>0.62</v>
      </c>
      <c r="U1702">
        <v>1.69</v>
      </c>
      <c r="V1702">
        <v>0.75</v>
      </c>
      <c r="W1702">
        <v>2.1</v>
      </c>
      <c r="X1702">
        <v>1.05</v>
      </c>
    </row>
    <row r="1703" spans="2:24" hidden="1" x14ac:dyDescent="0.35">
      <c r="B1703">
        <v>2020</v>
      </c>
      <c r="C1703" s="1">
        <v>44215</v>
      </c>
      <c r="D1703">
        <v>2411</v>
      </c>
      <c r="E1703" t="s">
        <v>23</v>
      </c>
      <c r="F1703" t="s">
        <v>25</v>
      </c>
      <c r="G1703" t="s">
        <v>42</v>
      </c>
      <c r="H1703">
        <v>79.97</v>
      </c>
      <c r="I1703">
        <v>86.31</v>
      </c>
      <c r="J1703">
        <v>0.33189999999999997</v>
      </c>
      <c r="K1703">
        <v>0.40920000000000001</v>
      </c>
      <c r="L1703">
        <v>0.25879999999999997</v>
      </c>
      <c r="M1703">
        <v>1.31</v>
      </c>
      <c r="N1703">
        <v>1.48</v>
      </c>
      <c r="O1703">
        <v>77.7</v>
      </c>
      <c r="P1703">
        <v>79.8</v>
      </c>
      <c r="Q1703">
        <v>2</v>
      </c>
      <c r="R1703">
        <v>0</v>
      </c>
      <c r="S1703">
        <v>1.37</v>
      </c>
      <c r="T1703">
        <v>0.57999999999999996</v>
      </c>
      <c r="U1703">
        <v>1.08</v>
      </c>
      <c r="V1703">
        <v>1.43</v>
      </c>
      <c r="W1703">
        <v>2.1</v>
      </c>
      <c r="X1703">
        <v>0</v>
      </c>
    </row>
    <row r="1704" spans="2:24" hidden="1" x14ac:dyDescent="0.35">
      <c r="B1704">
        <v>2020</v>
      </c>
      <c r="C1704" s="1">
        <v>44216</v>
      </c>
      <c r="D1704">
        <v>2411</v>
      </c>
      <c r="E1704" t="s">
        <v>23</v>
      </c>
      <c r="F1704" t="s">
        <v>36</v>
      </c>
      <c r="G1704" t="s">
        <v>52</v>
      </c>
      <c r="H1704">
        <v>93.6</v>
      </c>
      <c r="I1704">
        <v>78.55</v>
      </c>
      <c r="J1704">
        <v>0.78390000000000004</v>
      </c>
      <c r="K1704">
        <v>6.6699999999999995E-2</v>
      </c>
      <c r="L1704">
        <v>0.14940000000000001</v>
      </c>
      <c r="M1704">
        <v>2.4500000000000002</v>
      </c>
      <c r="N1704">
        <v>0.56999999999999995</v>
      </c>
      <c r="O1704">
        <v>98.5</v>
      </c>
      <c r="P1704">
        <v>57.8</v>
      </c>
      <c r="Q1704">
        <v>2</v>
      </c>
      <c r="R1704">
        <v>0</v>
      </c>
      <c r="S1704">
        <v>3.87</v>
      </c>
      <c r="T1704">
        <v>0.64</v>
      </c>
      <c r="U1704">
        <v>3.19</v>
      </c>
      <c r="V1704">
        <v>0.56000000000000005</v>
      </c>
      <c r="W1704">
        <v>1.58</v>
      </c>
      <c r="X1704">
        <v>0</v>
      </c>
    </row>
    <row r="1705" spans="2:24" hidden="1" x14ac:dyDescent="0.35">
      <c r="B1705">
        <v>2020</v>
      </c>
      <c r="C1705" s="1">
        <v>44216</v>
      </c>
      <c r="D1705">
        <v>2411</v>
      </c>
      <c r="E1705" t="s">
        <v>23</v>
      </c>
      <c r="F1705" t="s">
        <v>48</v>
      </c>
      <c r="G1705" t="s">
        <v>39</v>
      </c>
      <c r="H1705">
        <v>65.5</v>
      </c>
      <c r="I1705">
        <v>85</v>
      </c>
      <c r="J1705">
        <v>0.18709999999999999</v>
      </c>
      <c r="K1705">
        <v>0.58640000000000003</v>
      </c>
      <c r="L1705">
        <v>0.22650000000000001</v>
      </c>
      <c r="M1705">
        <v>0.97</v>
      </c>
      <c r="N1705">
        <v>1.9</v>
      </c>
      <c r="O1705">
        <v>45.6</v>
      </c>
      <c r="P1705">
        <v>63.3</v>
      </c>
      <c r="Q1705">
        <v>1</v>
      </c>
      <c r="R1705">
        <v>2</v>
      </c>
      <c r="S1705">
        <v>0.8</v>
      </c>
      <c r="T1705">
        <v>1.73</v>
      </c>
      <c r="U1705">
        <v>0.87</v>
      </c>
      <c r="V1705">
        <v>1.49</v>
      </c>
      <c r="W1705">
        <v>1.05</v>
      </c>
      <c r="X1705">
        <v>2.1</v>
      </c>
    </row>
    <row r="1706" spans="2:24" hidden="1" x14ac:dyDescent="0.35">
      <c r="B1706">
        <v>2020</v>
      </c>
      <c r="C1706" s="1">
        <v>44217</v>
      </c>
      <c r="D1706">
        <v>2411</v>
      </c>
      <c r="E1706" t="s">
        <v>23</v>
      </c>
      <c r="F1706" t="s">
        <v>41</v>
      </c>
      <c r="G1706" t="s">
        <v>32</v>
      </c>
      <c r="H1706">
        <v>88.83</v>
      </c>
      <c r="I1706">
        <v>66.86</v>
      </c>
      <c r="J1706">
        <v>0.78649999999999998</v>
      </c>
      <c r="K1706">
        <v>5.6800000000000003E-2</v>
      </c>
      <c r="L1706">
        <v>0.15670000000000001</v>
      </c>
      <c r="M1706">
        <v>2.2599999999999998</v>
      </c>
      <c r="N1706">
        <v>0.44</v>
      </c>
      <c r="O1706">
        <v>63.6</v>
      </c>
      <c r="P1706">
        <v>32.700000000000003</v>
      </c>
      <c r="Q1706">
        <v>0</v>
      </c>
      <c r="R1706">
        <v>1</v>
      </c>
      <c r="S1706">
        <v>1.95</v>
      </c>
      <c r="T1706">
        <v>1.08</v>
      </c>
      <c r="U1706">
        <v>3.77</v>
      </c>
      <c r="V1706">
        <v>0.48</v>
      </c>
      <c r="W1706">
        <v>0</v>
      </c>
      <c r="X1706">
        <v>1.05</v>
      </c>
    </row>
    <row r="1707" spans="2:24" hidden="1" x14ac:dyDescent="0.35">
      <c r="B1707">
        <v>2020</v>
      </c>
      <c r="C1707" s="1">
        <v>44219</v>
      </c>
      <c r="D1707">
        <v>2411</v>
      </c>
      <c r="E1707" t="s">
        <v>23</v>
      </c>
      <c r="F1707" t="s">
        <v>52</v>
      </c>
      <c r="G1707" t="s">
        <v>46</v>
      </c>
      <c r="H1707">
        <v>77.73</v>
      </c>
      <c r="I1707">
        <v>61.01</v>
      </c>
      <c r="J1707">
        <v>0.626</v>
      </c>
      <c r="K1707">
        <v>0.151</v>
      </c>
      <c r="L1707">
        <v>0.22309999999999999</v>
      </c>
      <c r="M1707">
        <v>1.88</v>
      </c>
      <c r="N1707">
        <v>0.8</v>
      </c>
      <c r="O1707">
        <v>35.799999999999997</v>
      </c>
      <c r="P1707">
        <v>39</v>
      </c>
      <c r="Q1707">
        <v>2</v>
      </c>
      <c r="R1707">
        <v>0</v>
      </c>
      <c r="S1707">
        <v>2.27</v>
      </c>
      <c r="T1707">
        <v>0.57999999999999996</v>
      </c>
      <c r="U1707">
        <v>1.71</v>
      </c>
      <c r="V1707">
        <v>0.53</v>
      </c>
      <c r="W1707">
        <v>2.1</v>
      </c>
      <c r="X1707">
        <v>0</v>
      </c>
    </row>
    <row r="1708" spans="2:24" hidden="1" x14ac:dyDescent="0.35">
      <c r="B1708">
        <v>2020</v>
      </c>
      <c r="C1708" s="1">
        <v>44222</v>
      </c>
      <c r="D1708">
        <v>2411</v>
      </c>
      <c r="E1708" t="s">
        <v>23</v>
      </c>
      <c r="F1708" t="s">
        <v>30</v>
      </c>
      <c r="G1708" t="s">
        <v>43</v>
      </c>
      <c r="H1708">
        <v>66.900000000000006</v>
      </c>
      <c r="I1708">
        <v>75.64</v>
      </c>
      <c r="J1708">
        <v>0.31119999999999998</v>
      </c>
      <c r="K1708">
        <v>0.41160000000000002</v>
      </c>
      <c r="L1708">
        <v>0.2772</v>
      </c>
      <c r="M1708">
        <v>1.1299999999999999</v>
      </c>
      <c r="N1708">
        <v>1.34</v>
      </c>
      <c r="O1708">
        <v>11.8</v>
      </c>
      <c r="P1708">
        <v>22</v>
      </c>
      <c r="Q1708">
        <v>2</v>
      </c>
      <c r="R1708">
        <v>3</v>
      </c>
      <c r="S1708">
        <v>0.67</v>
      </c>
      <c r="T1708">
        <v>3.45</v>
      </c>
      <c r="U1708">
        <v>1.77</v>
      </c>
      <c r="V1708">
        <v>1.04</v>
      </c>
      <c r="W1708">
        <v>2.1</v>
      </c>
      <c r="X1708">
        <v>3.15</v>
      </c>
    </row>
    <row r="1709" spans="2:24" hidden="1" x14ac:dyDescent="0.35">
      <c r="B1709">
        <v>2020</v>
      </c>
      <c r="C1709" s="1">
        <v>44222</v>
      </c>
      <c r="D1709">
        <v>2411</v>
      </c>
      <c r="E1709" t="s">
        <v>23</v>
      </c>
      <c r="F1709" t="s">
        <v>46</v>
      </c>
      <c r="G1709" t="s">
        <v>53</v>
      </c>
      <c r="H1709">
        <v>60.39</v>
      </c>
      <c r="I1709">
        <v>67.55</v>
      </c>
      <c r="J1709">
        <v>0.35339999999999999</v>
      </c>
      <c r="K1709">
        <v>0.38790000000000002</v>
      </c>
      <c r="L1709">
        <v>0.25869999999999999</v>
      </c>
      <c r="M1709">
        <v>1.37</v>
      </c>
      <c r="N1709">
        <v>1.44</v>
      </c>
      <c r="O1709">
        <v>44.8</v>
      </c>
      <c r="P1709">
        <v>8.6999999999999993</v>
      </c>
      <c r="Q1709">
        <v>1</v>
      </c>
      <c r="R1709">
        <v>2</v>
      </c>
      <c r="S1709">
        <v>1.42</v>
      </c>
      <c r="T1709">
        <v>0.77</v>
      </c>
      <c r="U1709">
        <v>1.53</v>
      </c>
      <c r="V1709">
        <v>1.52</v>
      </c>
      <c r="W1709">
        <v>1.05</v>
      </c>
      <c r="X1709">
        <v>2.1</v>
      </c>
    </row>
    <row r="1710" spans="2:24" hidden="1" x14ac:dyDescent="0.35">
      <c r="B1710">
        <v>2020</v>
      </c>
      <c r="C1710" s="1">
        <v>44222</v>
      </c>
      <c r="D1710">
        <v>2411</v>
      </c>
      <c r="E1710" t="s">
        <v>23</v>
      </c>
      <c r="F1710" t="s">
        <v>31</v>
      </c>
      <c r="G1710" t="s">
        <v>36</v>
      </c>
      <c r="H1710">
        <v>52.98</v>
      </c>
      <c r="I1710">
        <v>93.77</v>
      </c>
      <c r="J1710">
        <v>2.8299999999999999E-2</v>
      </c>
      <c r="K1710">
        <v>0.88160000000000005</v>
      </c>
      <c r="L1710">
        <v>9.0200000000000002E-2</v>
      </c>
      <c r="M1710">
        <v>0.41</v>
      </c>
      <c r="N1710">
        <v>3.01</v>
      </c>
      <c r="O1710">
        <v>32.799999999999997</v>
      </c>
      <c r="P1710">
        <v>97.1</v>
      </c>
      <c r="Q1710">
        <v>0</v>
      </c>
      <c r="R1710">
        <v>5</v>
      </c>
      <c r="S1710">
        <v>0.68</v>
      </c>
      <c r="T1710">
        <v>1.94</v>
      </c>
      <c r="U1710">
        <v>0.23</v>
      </c>
      <c r="V1710">
        <v>2.4700000000000002</v>
      </c>
      <c r="W1710">
        <v>0</v>
      </c>
      <c r="X1710">
        <v>5.25</v>
      </c>
    </row>
    <row r="1711" spans="2:24" hidden="1" x14ac:dyDescent="0.35">
      <c r="B1711">
        <v>2020</v>
      </c>
      <c r="C1711" s="1">
        <v>44222</v>
      </c>
      <c r="D1711">
        <v>2411</v>
      </c>
      <c r="E1711" t="s">
        <v>23</v>
      </c>
      <c r="F1711" t="s">
        <v>34</v>
      </c>
      <c r="G1711" t="s">
        <v>40</v>
      </c>
      <c r="H1711">
        <v>73.91</v>
      </c>
      <c r="I1711">
        <v>81.34</v>
      </c>
      <c r="J1711">
        <v>0.32090000000000002</v>
      </c>
      <c r="K1711">
        <v>0.39900000000000002</v>
      </c>
      <c r="L1711">
        <v>0.28010000000000002</v>
      </c>
      <c r="M1711">
        <v>1.1399999999999999</v>
      </c>
      <c r="N1711">
        <v>1.3</v>
      </c>
      <c r="O1711">
        <v>18</v>
      </c>
      <c r="P1711">
        <v>22</v>
      </c>
      <c r="Q1711">
        <v>1</v>
      </c>
      <c r="R1711">
        <v>3</v>
      </c>
      <c r="S1711">
        <v>1.0900000000000001</v>
      </c>
      <c r="T1711">
        <v>1.89</v>
      </c>
      <c r="U1711">
        <v>1.58</v>
      </c>
      <c r="V1711">
        <v>1.23</v>
      </c>
      <c r="W1711">
        <v>1.05</v>
      </c>
      <c r="X1711">
        <v>3.1</v>
      </c>
    </row>
    <row r="1712" spans="2:24" hidden="1" x14ac:dyDescent="0.35">
      <c r="B1712">
        <v>2020</v>
      </c>
      <c r="C1712" s="1">
        <v>44223</v>
      </c>
      <c r="D1712">
        <v>2411</v>
      </c>
      <c r="E1712" t="s">
        <v>23</v>
      </c>
      <c r="F1712" t="s">
        <v>32</v>
      </c>
      <c r="G1712" t="s">
        <v>52</v>
      </c>
      <c r="H1712">
        <v>67.42</v>
      </c>
      <c r="I1712">
        <v>78.41</v>
      </c>
      <c r="J1712">
        <v>0.26300000000000001</v>
      </c>
      <c r="K1712">
        <v>0.46660000000000001</v>
      </c>
      <c r="L1712">
        <v>0.27039999999999997</v>
      </c>
      <c r="M1712">
        <v>1.02</v>
      </c>
      <c r="N1712">
        <v>1.46</v>
      </c>
      <c r="O1712">
        <v>23.2</v>
      </c>
      <c r="P1712">
        <v>44.8</v>
      </c>
      <c r="Q1712">
        <v>3</v>
      </c>
      <c r="R1712">
        <v>2</v>
      </c>
      <c r="S1712">
        <v>0.74</v>
      </c>
      <c r="T1712">
        <v>2.63</v>
      </c>
      <c r="U1712">
        <v>0.72</v>
      </c>
      <c r="V1712">
        <v>1.39</v>
      </c>
      <c r="W1712">
        <v>3.15</v>
      </c>
      <c r="X1712">
        <v>2.1</v>
      </c>
    </row>
    <row r="1713" spans="2:24" hidden="1" x14ac:dyDescent="0.35">
      <c r="B1713">
        <v>2020</v>
      </c>
      <c r="C1713" s="1">
        <v>44223</v>
      </c>
      <c r="D1713">
        <v>2411</v>
      </c>
      <c r="E1713" t="s">
        <v>23</v>
      </c>
      <c r="F1713" t="s">
        <v>42</v>
      </c>
      <c r="G1713" t="s">
        <v>49</v>
      </c>
      <c r="H1713">
        <v>85.67</v>
      </c>
      <c r="I1713">
        <v>71.69</v>
      </c>
      <c r="J1713">
        <v>0.66110000000000002</v>
      </c>
      <c r="K1713">
        <v>0.12809999999999999</v>
      </c>
      <c r="L1713">
        <v>0.21079999999999999</v>
      </c>
      <c r="M1713">
        <v>1.96</v>
      </c>
      <c r="N1713">
        <v>0.73</v>
      </c>
      <c r="O1713">
        <v>58</v>
      </c>
      <c r="P1713">
        <v>7.5</v>
      </c>
      <c r="Q1713">
        <v>0</v>
      </c>
      <c r="R1713">
        <v>0</v>
      </c>
      <c r="S1713">
        <v>0.76</v>
      </c>
      <c r="T1713">
        <v>0.53</v>
      </c>
      <c r="U1713">
        <v>1.06</v>
      </c>
      <c r="V1713">
        <v>0.33</v>
      </c>
      <c r="W1713">
        <v>0</v>
      </c>
      <c r="X1713">
        <v>0</v>
      </c>
    </row>
    <row r="1714" spans="2:24" hidden="1" x14ac:dyDescent="0.35">
      <c r="B1714">
        <v>2020</v>
      </c>
      <c r="C1714" s="1">
        <v>44223</v>
      </c>
      <c r="D1714">
        <v>2411</v>
      </c>
      <c r="E1714" t="s">
        <v>23</v>
      </c>
      <c r="F1714" t="s">
        <v>45</v>
      </c>
      <c r="G1714" t="s">
        <v>48</v>
      </c>
      <c r="H1714">
        <v>73.849999999999994</v>
      </c>
      <c r="I1714">
        <v>65.489999999999995</v>
      </c>
      <c r="J1714">
        <v>0.48880000000000001</v>
      </c>
      <c r="K1714">
        <v>0.23980000000000001</v>
      </c>
      <c r="L1714">
        <v>0.27139999999999997</v>
      </c>
      <c r="M1714">
        <v>1.46</v>
      </c>
      <c r="N1714">
        <v>0.94</v>
      </c>
      <c r="O1714">
        <v>23.9</v>
      </c>
      <c r="P1714">
        <v>52.9</v>
      </c>
      <c r="Q1714">
        <v>0</v>
      </c>
      <c r="R1714">
        <v>0</v>
      </c>
      <c r="S1714">
        <v>2.29</v>
      </c>
      <c r="T1714">
        <v>0.56000000000000005</v>
      </c>
      <c r="U1714">
        <v>2.5299999999999998</v>
      </c>
      <c r="V1714">
        <v>0.52</v>
      </c>
      <c r="W1714">
        <v>0</v>
      </c>
      <c r="X1714">
        <v>0</v>
      </c>
    </row>
    <row r="1715" spans="2:24" hidden="1" x14ac:dyDescent="0.35">
      <c r="B1715">
        <v>2020</v>
      </c>
      <c r="C1715" s="1">
        <v>44223</v>
      </c>
      <c r="D1715">
        <v>2411</v>
      </c>
      <c r="E1715" t="s">
        <v>23</v>
      </c>
      <c r="F1715" t="s">
        <v>28</v>
      </c>
      <c r="G1715" t="s">
        <v>25</v>
      </c>
      <c r="H1715">
        <v>74.78</v>
      </c>
      <c r="I1715">
        <v>80.87</v>
      </c>
      <c r="J1715">
        <v>0.32129999999999997</v>
      </c>
      <c r="K1715">
        <v>0.41149999999999998</v>
      </c>
      <c r="L1715">
        <v>0.26719999999999999</v>
      </c>
      <c r="M1715">
        <v>1.22</v>
      </c>
      <c r="N1715">
        <v>1.41</v>
      </c>
      <c r="O1715">
        <v>42.3</v>
      </c>
      <c r="P1715">
        <v>75.400000000000006</v>
      </c>
      <c r="Q1715">
        <v>1</v>
      </c>
      <c r="R1715">
        <v>1</v>
      </c>
      <c r="S1715">
        <v>0.6</v>
      </c>
      <c r="T1715">
        <v>0.76</v>
      </c>
      <c r="U1715">
        <v>0.75</v>
      </c>
      <c r="V1715">
        <v>1.1599999999999999</v>
      </c>
      <c r="W1715">
        <v>1.05</v>
      </c>
      <c r="X1715">
        <v>1.05</v>
      </c>
    </row>
    <row r="1716" spans="2:24" hidden="1" x14ac:dyDescent="0.35">
      <c r="B1716">
        <v>2020</v>
      </c>
      <c r="C1716" s="1">
        <v>44223</v>
      </c>
      <c r="D1716">
        <v>2411</v>
      </c>
      <c r="E1716" t="s">
        <v>23</v>
      </c>
      <c r="F1716" t="s">
        <v>39</v>
      </c>
      <c r="G1716" t="s">
        <v>51</v>
      </c>
      <c r="H1716">
        <v>85.07</v>
      </c>
      <c r="I1716">
        <v>63.11</v>
      </c>
      <c r="J1716">
        <v>0.74809999999999999</v>
      </c>
      <c r="K1716">
        <v>7.9600000000000004E-2</v>
      </c>
      <c r="L1716">
        <v>0.17230000000000001</v>
      </c>
      <c r="M1716">
        <v>2.2200000000000002</v>
      </c>
      <c r="N1716">
        <v>0.56999999999999995</v>
      </c>
      <c r="O1716">
        <v>59.4</v>
      </c>
      <c r="P1716">
        <v>19</v>
      </c>
      <c r="Q1716">
        <v>1</v>
      </c>
      <c r="R1716">
        <v>2</v>
      </c>
      <c r="S1716">
        <v>1.1299999999999999</v>
      </c>
      <c r="T1716">
        <v>0.56999999999999995</v>
      </c>
      <c r="U1716">
        <v>1.8</v>
      </c>
      <c r="V1716">
        <v>0.41</v>
      </c>
      <c r="W1716">
        <v>1.05</v>
      </c>
      <c r="X1716">
        <v>2.1</v>
      </c>
    </row>
    <row r="1717" spans="2:24" hidden="1" x14ac:dyDescent="0.35">
      <c r="B1717">
        <v>2020</v>
      </c>
      <c r="C1717" s="1">
        <v>44224</v>
      </c>
      <c r="D1717">
        <v>2411</v>
      </c>
      <c r="E1717" t="s">
        <v>23</v>
      </c>
      <c r="F1717" t="s">
        <v>29</v>
      </c>
      <c r="G1717" t="s">
        <v>41</v>
      </c>
      <c r="H1717">
        <v>81.7</v>
      </c>
      <c r="I1717">
        <v>88.42</v>
      </c>
      <c r="J1717">
        <v>0.33300000000000002</v>
      </c>
      <c r="K1717">
        <v>0.42209999999999998</v>
      </c>
      <c r="L1717">
        <v>0.24490000000000001</v>
      </c>
      <c r="M1717">
        <v>1.43</v>
      </c>
      <c r="N1717">
        <v>1.64</v>
      </c>
      <c r="O1717">
        <v>81.900000000000006</v>
      </c>
      <c r="P1717">
        <v>73.3</v>
      </c>
      <c r="Q1717">
        <v>1</v>
      </c>
      <c r="R1717">
        <v>3</v>
      </c>
      <c r="S1717">
        <v>0.14000000000000001</v>
      </c>
      <c r="T1717">
        <v>2.89</v>
      </c>
      <c r="U1717">
        <v>0.34</v>
      </c>
      <c r="V1717">
        <v>1.92</v>
      </c>
      <c r="W1717">
        <v>1.05</v>
      </c>
      <c r="X1717">
        <v>3.15</v>
      </c>
    </row>
    <row r="1718" spans="2:24" hidden="1" x14ac:dyDescent="0.35">
      <c r="B1718">
        <v>2020</v>
      </c>
      <c r="C1718" s="1">
        <v>44226</v>
      </c>
      <c r="D1718">
        <v>2411</v>
      </c>
      <c r="E1718" t="s">
        <v>23</v>
      </c>
      <c r="F1718" t="s">
        <v>28</v>
      </c>
      <c r="G1718" t="s">
        <v>46</v>
      </c>
      <c r="H1718">
        <v>74.739999999999995</v>
      </c>
      <c r="I1718">
        <v>60.48</v>
      </c>
      <c r="J1718">
        <v>0.56799999999999995</v>
      </c>
      <c r="K1718">
        <v>0.17910000000000001</v>
      </c>
      <c r="L1718">
        <v>0.25280000000000002</v>
      </c>
      <c r="M1718">
        <v>1.63</v>
      </c>
      <c r="N1718">
        <v>0.79</v>
      </c>
      <c r="O1718">
        <v>30.8</v>
      </c>
      <c r="P1718">
        <v>46.4</v>
      </c>
      <c r="Q1718">
        <v>0</v>
      </c>
      <c r="R1718">
        <v>2</v>
      </c>
      <c r="S1718">
        <v>1.01</v>
      </c>
      <c r="T1718">
        <v>1.91</v>
      </c>
      <c r="U1718">
        <v>1.02</v>
      </c>
      <c r="V1718">
        <v>1.7</v>
      </c>
      <c r="W1718">
        <v>0</v>
      </c>
      <c r="X1718">
        <v>1.58</v>
      </c>
    </row>
    <row r="1719" spans="2:24" hidden="1" x14ac:dyDescent="0.35">
      <c r="B1719">
        <v>2020</v>
      </c>
      <c r="C1719" s="1">
        <v>44226</v>
      </c>
      <c r="D1719">
        <v>2411</v>
      </c>
      <c r="E1719" t="s">
        <v>23</v>
      </c>
      <c r="F1719" t="s">
        <v>36</v>
      </c>
      <c r="G1719" t="s">
        <v>51</v>
      </c>
      <c r="H1719">
        <v>93.83</v>
      </c>
      <c r="I1719">
        <v>64.36</v>
      </c>
      <c r="J1719">
        <v>0.89580000000000004</v>
      </c>
      <c r="K1719">
        <v>1.5100000000000001E-2</v>
      </c>
      <c r="L1719">
        <v>8.9099999999999999E-2</v>
      </c>
      <c r="M1719">
        <v>2.74</v>
      </c>
      <c r="N1719">
        <v>0.2</v>
      </c>
      <c r="O1719">
        <v>78.900000000000006</v>
      </c>
      <c r="P1719">
        <v>40</v>
      </c>
      <c r="Q1719">
        <v>1</v>
      </c>
      <c r="R1719">
        <v>0</v>
      </c>
      <c r="S1719">
        <v>1.52</v>
      </c>
      <c r="T1719">
        <v>0.19</v>
      </c>
      <c r="U1719">
        <v>1.72</v>
      </c>
      <c r="V1719">
        <v>0.55000000000000004</v>
      </c>
      <c r="W1719">
        <v>1.05</v>
      </c>
      <c r="X1719">
        <v>0</v>
      </c>
    </row>
    <row r="1720" spans="2:24" hidden="1" x14ac:dyDescent="0.35">
      <c r="B1720">
        <v>2020</v>
      </c>
      <c r="C1720" s="1">
        <v>44226</v>
      </c>
      <c r="D1720">
        <v>2411</v>
      </c>
      <c r="E1720" t="s">
        <v>23</v>
      </c>
      <c r="F1720" t="s">
        <v>31</v>
      </c>
      <c r="G1720" t="s">
        <v>48</v>
      </c>
      <c r="H1720">
        <v>52.33</v>
      </c>
      <c r="I1720">
        <v>64.83</v>
      </c>
      <c r="J1720">
        <v>0.27839999999999998</v>
      </c>
      <c r="K1720">
        <v>0.44419999999999998</v>
      </c>
      <c r="L1720">
        <v>0.27739999999999998</v>
      </c>
      <c r="M1720">
        <v>1.03</v>
      </c>
      <c r="N1720">
        <v>1.38</v>
      </c>
      <c r="O1720">
        <v>19.3</v>
      </c>
      <c r="P1720">
        <v>54.3</v>
      </c>
      <c r="Q1720">
        <v>2</v>
      </c>
      <c r="R1720">
        <v>2</v>
      </c>
      <c r="S1720">
        <v>1.1299999999999999</v>
      </c>
      <c r="T1720">
        <v>1.5</v>
      </c>
      <c r="U1720">
        <v>0.77</v>
      </c>
      <c r="V1720">
        <v>1.1399999999999999</v>
      </c>
      <c r="W1720">
        <v>2.1</v>
      </c>
      <c r="X1720">
        <v>2.1</v>
      </c>
    </row>
    <row r="1721" spans="2:24" hidden="1" x14ac:dyDescent="0.35">
      <c r="B1721">
        <v>2020</v>
      </c>
      <c r="C1721" s="1">
        <v>44226</v>
      </c>
      <c r="D1721">
        <v>2411</v>
      </c>
      <c r="E1721" t="s">
        <v>23</v>
      </c>
      <c r="F1721" t="s">
        <v>30</v>
      </c>
      <c r="G1721" t="s">
        <v>49</v>
      </c>
      <c r="H1721">
        <v>65.739999999999995</v>
      </c>
      <c r="I1721">
        <v>72.44</v>
      </c>
      <c r="J1721">
        <v>0.36349999999999999</v>
      </c>
      <c r="K1721">
        <v>0.3498</v>
      </c>
      <c r="L1721">
        <v>0.28670000000000001</v>
      </c>
      <c r="M1721">
        <v>1.19</v>
      </c>
      <c r="N1721">
        <v>1.1599999999999999</v>
      </c>
      <c r="O1721">
        <v>20.9</v>
      </c>
      <c r="P1721">
        <v>9.5</v>
      </c>
      <c r="Q1721">
        <v>1</v>
      </c>
      <c r="R1721">
        <v>0</v>
      </c>
      <c r="S1721">
        <v>1.51</v>
      </c>
      <c r="T1721">
        <v>0.9</v>
      </c>
      <c r="U1721">
        <v>1.1100000000000001</v>
      </c>
      <c r="V1721">
        <v>1.3</v>
      </c>
      <c r="W1721">
        <v>1.05</v>
      </c>
      <c r="X1721">
        <v>0</v>
      </c>
    </row>
    <row r="1722" spans="2:24" hidden="1" x14ac:dyDescent="0.35">
      <c r="B1722">
        <v>2020</v>
      </c>
      <c r="C1722" s="1">
        <v>44226</v>
      </c>
      <c r="D1722">
        <v>2411</v>
      </c>
      <c r="E1722" t="s">
        <v>23</v>
      </c>
      <c r="F1722" t="s">
        <v>40</v>
      </c>
      <c r="G1722" t="s">
        <v>39</v>
      </c>
      <c r="H1722">
        <v>81.760000000000005</v>
      </c>
      <c r="I1722">
        <v>84.2</v>
      </c>
      <c r="J1722">
        <v>0.36259999999999998</v>
      </c>
      <c r="K1722">
        <v>0.38290000000000002</v>
      </c>
      <c r="L1722">
        <v>0.2545</v>
      </c>
      <c r="M1722">
        <v>1.42</v>
      </c>
      <c r="N1722">
        <v>1.47</v>
      </c>
      <c r="O1722">
        <v>36.700000000000003</v>
      </c>
      <c r="P1722">
        <v>64</v>
      </c>
      <c r="Q1722">
        <v>0</v>
      </c>
      <c r="R1722">
        <v>0</v>
      </c>
      <c r="S1722">
        <v>0.89</v>
      </c>
      <c r="T1722">
        <v>1.74</v>
      </c>
      <c r="U1722">
        <v>0.85</v>
      </c>
      <c r="V1722">
        <v>2.15</v>
      </c>
      <c r="W1722">
        <v>0</v>
      </c>
      <c r="X1722">
        <v>0</v>
      </c>
    </row>
    <row r="1723" spans="2:24" hidden="1" x14ac:dyDescent="0.35">
      <c r="B1723">
        <v>2020</v>
      </c>
      <c r="C1723" s="1">
        <v>44226</v>
      </c>
      <c r="D1723">
        <v>2411</v>
      </c>
      <c r="E1723" t="s">
        <v>23</v>
      </c>
      <c r="F1723" t="s">
        <v>34</v>
      </c>
      <c r="G1723" t="s">
        <v>52</v>
      </c>
      <c r="H1723">
        <v>73.099999999999994</v>
      </c>
      <c r="I1723">
        <v>78.209999999999994</v>
      </c>
      <c r="J1723">
        <v>0.3256</v>
      </c>
      <c r="K1723">
        <v>0.41039999999999999</v>
      </c>
      <c r="L1723">
        <v>0.26400000000000001</v>
      </c>
      <c r="M1723">
        <v>1.25</v>
      </c>
      <c r="N1723">
        <v>1.44</v>
      </c>
      <c r="O1723">
        <v>14.3</v>
      </c>
      <c r="P1723">
        <v>43.6</v>
      </c>
      <c r="Q1723">
        <v>0</v>
      </c>
      <c r="R1723">
        <v>1</v>
      </c>
      <c r="S1723">
        <v>2.5499999999999998</v>
      </c>
      <c r="T1723">
        <v>0.63</v>
      </c>
      <c r="U1723">
        <v>2.1800000000000002</v>
      </c>
      <c r="V1723">
        <v>0.89</v>
      </c>
      <c r="W1723">
        <v>0</v>
      </c>
      <c r="X1723">
        <v>1.05</v>
      </c>
    </row>
    <row r="1724" spans="2:24" hidden="1" x14ac:dyDescent="0.35">
      <c r="B1724">
        <v>2020</v>
      </c>
      <c r="C1724" s="1">
        <v>44227</v>
      </c>
      <c r="D1724">
        <v>2411</v>
      </c>
      <c r="E1724" t="s">
        <v>23</v>
      </c>
      <c r="F1724" t="s">
        <v>42</v>
      </c>
      <c r="G1724" t="s">
        <v>32</v>
      </c>
      <c r="H1724">
        <v>85.58</v>
      </c>
      <c r="I1724">
        <v>67.17</v>
      </c>
      <c r="J1724">
        <v>0.68659999999999999</v>
      </c>
      <c r="K1724">
        <v>0.1037</v>
      </c>
      <c r="L1724">
        <v>0.2097</v>
      </c>
      <c r="M1724">
        <v>1.91</v>
      </c>
      <c r="N1724">
        <v>0.57999999999999996</v>
      </c>
      <c r="O1724">
        <v>46.7</v>
      </c>
      <c r="P1724">
        <v>16.8</v>
      </c>
      <c r="Q1724">
        <v>2</v>
      </c>
      <c r="R1724">
        <v>0</v>
      </c>
      <c r="S1724">
        <v>1.38</v>
      </c>
      <c r="T1724">
        <v>0.45</v>
      </c>
      <c r="U1724">
        <v>2.66</v>
      </c>
      <c r="V1724">
        <v>0.59</v>
      </c>
      <c r="W1724">
        <v>1.75</v>
      </c>
      <c r="X1724">
        <v>0</v>
      </c>
    </row>
    <row r="1725" spans="2:24" hidden="1" x14ac:dyDescent="0.35">
      <c r="B1725">
        <v>2020</v>
      </c>
      <c r="C1725" s="1">
        <v>44227</v>
      </c>
      <c r="D1725">
        <v>2411</v>
      </c>
      <c r="E1725" t="s">
        <v>23</v>
      </c>
      <c r="F1725" t="s">
        <v>25</v>
      </c>
      <c r="G1725" t="s">
        <v>53</v>
      </c>
      <c r="H1725">
        <v>81.17</v>
      </c>
      <c r="I1725">
        <v>67.459999999999994</v>
      </c>
      <c r="J1725">
        <v>0.63639999999999997</v>
      </c>
      <c r="K1725">
        <v>0.1573</v>
      </c>
      <c r="L1725">
        <v>0.20630000000000001</v>
      </c>
      <c r="M1725">
        <v>2.1</v>
      </c>
      <c r="N1725">
        <v>0.94</v>
      </c>
      <c r="O1725">
        <v>71.2</v>
      </c>
      <c r="P1725">
        <v>4.0999999999999996</v>
      </c>
      <c r="Q1725">
        <v>1</v>
      </c>
      <c r="R1725">
        <v>3</v>
      </c>
      <c r="S1725">
        <v>1.9</v>
      </c>
      <c r="T1725">
        <v>1.79</v>
      </c>
      <c r="U1725">
        <v>1.47</v>
      </c>
      <c r="V1725">
        <v>0.85</v>
      </c>
      <c r="W1725">
        <v>1.05</v>
      </c>
      <c r="X1725">
        <v>2.79</v>
      </c>
    </row>
    <row r="1726" spans="2:24" hidden="1" x14ac:dyDescent="0.35">
      <c r="B1726">
        <v>2020</v>
      </c>
      <c r="C1726" s="1">
        <v>44227</v>
      </c>
      <c r="D1726">
        <v>2411</v>
      </c>
      <c r="E1726" t="s">
        <v>23</v>
      </c>
      <c r="F1726" t="s">
        <v>43</v>
      </c>
      <c r="G1726" t="s">
        <v>41</v>
      </c>
      <c r="H1726">
        <v>76.06</v>
      </c>
      <c r="I1726">
        <v>89.56</v>
      </c>
      <c r="J1726">
        <v>0.2399</v>
      </c>
      <c r="K1726">
        <v>0.52590000000000003</v>
      </c>
      <c r="L1726">
        <v>0.23419999999999999</v>
      </c>
      <c r="M1726">
        <v>1.17</v>
      </c>
      <c r="N1726">
        <v>1.84</v>
      </c>
      <c r="O1726">
        <v>53.3</v>
      </c>
      <c r="P1726">
        <v>53.8</v>
      </c>
      <c r="Q1726">
        <v>1</v>
      </c>
      <c r="R1726">
        <v>3</v>
      </c>
      <c r="S1726">
        <v>0.99</v>
      </c>
      <c r="T1726">
        <v>2.5</v>
      </c>
      <c r="U1726">
        <v>0.6</v>
      </c>
      <c r="V1726">
        <v>1.77</v>
      </c>
      <c r="W1726">
        <v>1.05</v>
      </c>
      <c r="X1726">
        <v>2.8</v>
      </c>
    </row>
    <row r="1727" spans="2:24" hidden="1" x14ac:dyDescent="0.35">
      <c r="B1727">
        <v>2020</v>
      </c>
      <c r="C1727" s="1">
        <v>44227</v>
      </c>
      <c r="D1727">
        <v>2411</v>
      </c>
      <c r="E1727" t="s">
        <v>23</v>
      </c>
      <c r="F1727" t="s">
        <v>45</v>
      </c>
      <c r="G1727" t="s">
        <v>29</v>
      </c>
      <c r="H1727">
        <v>74.69</v>
      </c>
      <c r="I1727">
        <v>80.180000000000007</v>
      </c>
      <c r="J1727">
        <v>0.31219999999999998</v>
      </c>
      <c r="K1727">
        <v>0.42530000000000001</v>
      </c>
      <c r="L1727">
        <v>0.26250000000000001</v>
      </c>
      <c r="M1727">
        <v>1.23</v>
      </c>
      <c r="N1727">
        <v>1.48</v>
      </c>
      <c r="O1727">
        <v>19</v>
      </c>
      <c r="P1727">
        <v>61.5</v>
      </c>
      <c r="Q1727">
        <v>1</v>
      </c>
      <c r="R1727">
        <v>0</v>
      </c>
      <c r="S1727">
        <v>1.73</v>
      </c>
      <c r="T1727">
        <v>0.48</v>
      </c>
      <c r="U1727">
        <v>3.35</v>
      </c>
      <c r="V1727">
        <v>1.4</v>
      </c>
      <c r="W1727">
        <v>1.05</v>
      </c>
      <c r="X1727">
        <v>0</v>
      </c>
    </row>
    <row r="1728" spans="2:24" hidden="1" x14ac:dyDescent="0.35">
      <c r="B1728">
        <v>2020</v>
      </c>
      <c r="C1728" s="1">
        <v>44229</v>
      </c>
      <c r="D1728">
        <v>2411</v>
      </c>
      <c r="E1728" t="s">
        <v>23</v>
      </c>
      <c r="F1728" t="s">
        <v>51</v>
      </c>
      <c r="G1728" t="s">
        <v>31</v>
      </c>
      <c r="H1728">
        <v>65.23</v>
      </c>
      <c r="I1728">
        <v>52.2</v>
      </c>
      <c r="J1728">
        <v>0.53690000000000004</v>
      </c>
      <c r="K1728">
        <v>0.1971</v>
      </c>
      <c r="L1728">
        <v>0.26600000000000001</v>
      </c>
      <c r="M1728">
        <v>1.52</v>
      </c>
      <c r="N1728">
        <v>0.81</v>
      </c>
      <c r="O1728">
        <v>21.8</v>
      </c>
      <c r="P1728">
        <v>16.2</v>
      </c>
      <c r="Q1728">
        <v>2</v>
      </c>
      <c r="R1728">
        <v>1</v>
      </c>
      <c r="S1728">
        <v>1.39</v>
      </c>
      <c r="T1728">
        <v>1.94</v>
      </c>
      <c r="U1728">
        <v>1.78</v>
      </c>
      <c r="V1728">
        <v>0.74</v>
      </c>
      <c r="W1728">
        <v>2.1</v>
      </c>
      <c r="X1728">
        <v>1.05</v>
      </c>
    </row>
    <row r="1729" spans="2:24" hidden="1" x14ac:dyDescent="0.35">
      <c r="B1729">
        <v>2020</v>
      </c>
      <c r="C1729" s="1">
        <v>44229</v>
      </c>
      <c r="D1729">
        <v>2411</v>
      </c>
      <c r="E1729" t="s">
        <v>23</v>
      </c>
      <c r="F1729" t="s">
        <v>49</v>
      </c>
      <c r="G1729" t="s">
        <v>40</v>
      </c>
      <c r="H1729">
        <v>71.989999999999995</v>
      </c>
      <c r="I1729">
        <v>81.22</v>
      </c>
      <c r="J1729">
        <v>0.28949999999999998</v>
      </c>
      <c r="K1729">
        <v>0.43149999999999999</v>
      </c>
      <c r="L1729">
        <v>0.27900000000000003</v>
      </c>
      <c r="M1729">
        <v>1.06</v>
      </c>
      <c r="N1729">
        <v>1.35</v>
      </c>
      <c r="O1729">
        <v>12.9</v>
      </c>
      <c r="P1729">
        <v>30.4</v>
      </c>
      <c r="Q1729">
        <v>2</v>
      </c>
      <c r="R1729">
        <v>1</v>
      </c>
      <c r="S1729">
        <v>1.58</v>
      </c>
      <c r="T1729">
        <v>0.84</v>
      </c>
      <c r="U1729">
        <v>0.68</v>
      </c>
      <c r="V1729">
        <v>0.92</v>
      </c>
      <c r="W1729">
        <v>1.68</v>
      </c>
      <c r="X1729">
        <v>1.05</v>
      </c>
    </row>
    <row r="1730" spans="2:24" hidden="1" x14ac:dyDescent="0.35">
      <c r="B1730">
        <v>2020</v>
      </c>
      <c r="C1730" s="1">
        <v>44229</v>
      </c>
      <c r="D1730">
        <v>2411</v>
      </c>
      <c r="E1730" t="s">
        <v>23</v>
      </c>
      <c r="F1730" t="s">
        <v>46</v>
      </c>
      <c r="G1730" t="s">
        <v>30</v>
      </c>
      <c r="H1730">
        <v>62.82</v>
      </c>
      <c r="I1730">
        <v>66.41</v>
      </c>
      <c r="J1730">
        <v>0.4027</v>
      </c>
      <c r="K1730">
        <v>0.30959999999999999</v>
      </c>
      <c r="L1730">
        <v>0.28770000000000001</v>
      </c>
      <c r="M1730">
        <v>1.26</v>
      </c>
      <c r="N1730">
        <v>1.06</v>
      </c>
      <c r="O1730">
        <v>44.2</v>
      </c>
      <c r="P1730">
        <v>15.3</v>
      </c>
      <c r="Q1730">
        <v>1</v>
      </c>
      <c r="R1730">
        <v>2</v>
      </c>
      <c r="S1730">
        <v>2.0699999999999998</v>
      </c>
      <c r="T1730">
        <v>0.83</v>
      </c>
      <c r="U1730">
        <v>2.09</v>
      </c>
      <c r="V1730">
        <v>0.87</v>
      </c>
      <c r="W1730">
        <v>1.05</v>
      </c>
      <c r="X1730">
        <v>2.1</v>
      </c>
    </row>
    <row r="1731" spans="2:24" hidden="1" x14ac:dyDescent="0.35">
      <c r="B1731">
        <v>2020</v>
      </c>
      <c r="C1731" s="1">
        <v>44229</v>
      </c>
      <c r="D1731">
        <v>2411</v>
      </c>
      <c r="E1731" t="s">
        <v>23</v>
      </c>
      <c r="F1731" t="s">
        <v>39</v>
      </c>
      <c r="G1731" t="s">
        <v>34</v>
      </c>
      <c r="H1731">
        <v>84.94</v>
      </c>
      <c r="I1731">
        <v>73.92</v>
      </c>
      <c r="J1731">
        <v>0.63349999999999995</v>
      </c>
      <c r="K1731">
        <v>0.14749999999999999</v>
      </c>
      <c r="L1731">
        <v>0.219</v>
      </c>
      <c r="M1731">
        <v>1.92</v>
      </c>
      <c r="N1731">
        <v>0.8</v>
      </c>
      <c r="O1731">
        <v>66</v>
      </c>
      <c r="P1731">
        <v>13.4</v>
      </c>
      <c r="Q1731">
        <v>9</v>
      </c>
      <c r="R1731">
        <v>0</v>
      </c>
      <c r="S1731">
        <v>4.8499999999999996</v>
      </c>
      <c r="T1731">
        <v>0.52</v>
      </c>
      <c r="U1731">
        <v>3.92</v>
      </c>
      <c r="V1731">
        <v>0.17</v>
      </c>
      <c r="W1731">
        <v>6.36</v>
      </c>
      <c r="X1731">
        <v>0</v>
      </c>
    </row>
    <row r="1732" spans="2:24" hidden="1" x14ac:dyDescent="0.35">
      <c r="B1732">
        <v>2020</v>
      </c>
      <c r="C1732" s="1">
        <v>44230</v>
      </c>
      <c r="D1732">
        <v>2411</v>
      </c>
      <c r="E1732" t="s">
        <v>23</v>
      </c>
      <c r="F1732" t="s">
        <v>32</v>
      </c>
      <c r="G1732" t="s">
        <v>36</v>
      </c>
      <c r="H1732">
        <v>66.73</v>
      </c>
      <c r="I1732">
        <v>93.54</v>
      </c>
      <c r="J1732">
        <v>0.06</v>
      </c>
      <c r="K1732">
        <v>0.78249999999999997</v>
      </c>
      <c r="L1732">
        <v>0.1575</v>
      </c>
      <c r="M1732">
        <v>0.47</v>
      </c>
      <c r="N1732">
        <v>2.2799999999999998</v>
      </c>
      <c r="O1732">
        <v>17.899999999999999</v>
      </c>
      <c r="P1732">
        <v>80.8</v>
      </c>
      <c r="Q1732">
        <v>0</v>
      </c>
      <c r="R1732">
        <v>2</v>
      </c>
      <c r="S1732">
        <v>7.0000000000000007E-2</v>
      </c>
      <c r="T1732">
        <v>2.0499999999999998</v>
      </c>
      <c r="U1732">
        <v>0.52</v>
      </c>
      <c r="V1732">
        <v>1.61</v>
      </c>
      <c r="W1732">
        <v>0</v>
      </c>
      <c r="X1732">
        <v>2.1</v>
      </c>
    </row>
    <row r="1733" spans="2:24" hidden="1" x14ac:dyDescent="0.35">
      <c r="B1733">
        <v>2020</v>
      </c>
      <c r="C1733" s="1">
        <v>44230</v>
      </c>
      <c r="D1733">
        <v>2411</v>
      </c>
      <c r="E1733" t="s">
        <v>23</v>
      </c>
      <c r="F1733" t="s">
        <v>48</v>
      </c>
      <c r="G1733" t="s">
        <v>25</v>
      </c>
      <c r="H1733">
        <v>64.650000000000006</v>
      </c>
      <c r="I1733">
        <v>80.06</v>
      </c>
      <c r="J1733">
        <v>0.23400000000000001</v>
      </c>
      <c r="K1733">
        <v>0.50290000000000001</v>
      </c>
      <c r="L1733">
        <v>0.2631</v>
      </c>
      <c r="M1733">
        <v>0.96</v>
      </c>
      <c r="N1733">
        <v>1.54</v>
      </c>
      <c r="O1733">
        <v>49.5</v>
      </c>
      <c r="P1733">
        <v>72</v>
      </c>
      <c r="Q1733">
        <v>0</v>
      </c>
      <c r="R1733">
        <v>2</v>
      </c>
      <c r="S1733">
        <v>0.88</v>
      </c>
      <c r="T1733">
        <v>1.36</v>
      </c>
      <c r="U1733">
        <v>1.99</v>
      </c>
      <c r="V1733">
        <v>1.1200000000000001</v>
      </c>
      <c r="W1733">
        <v>0</v>
      </c>
      <c r="X1733">
        <v>2.1</v>
      </c>
    </row>
    <row r="1734" spans="2:24" hidden="1" x14ac:dyDescent="0.35">
      <c r="B1734">
        <v>2020</v>
      </c>
      <c r="C1734" s="1">
        <v>44230</v>
      </c>
      <c r="D1734">
        <v>2411</v>
      </c>
      <c r="E1734" t="s">
        <v>23</v>
      </c>
      <c r="F1734" t="s">
        <v>53</v>
      </c>
      <c r="G1734" t="s">
        <v>28</v>
      </c>
      <c r="H1734">
        <v>68.73</v>
      </c>
      <c r="I1734">
        <v>72.489999999999995</v>
      </c>
      <c r="J1734">
        <v>0.39650000000000002</v>
      </c>
      <c r="K1734">
        <v>0.35539999999999999</v>
      </c>
      <c r="L1734">
        <v>0.24809999999999999</v>
      </c>
      <c r="M1734">
        <v>1.56</v>
      </c>
      <c r="N1734">
        <v>1.46</v>
      </c>
      <c r="O1734">
        <v>5.7</v>
      </c>
      <c r="P1734">
        <v>19.8</v>
      </c>
      <c r="Q1734">
        <v>1</v>
      </c>
      <c r="R1734">
        <v>2</v>
      </c>
      <c r="S1734">
        <v>1.35</v>
      </c>
      <c r="T1734">
        <v>2.0299999999999998</v>
      </c>
      <c r="U1734">
        <v>1.9</v>
      </c>
      <c r="V1734">
        <v>0.59</v>
      </c>
      <c r="W1734">
        <v>1.05</v>
      </c>
      <c r="X1734">
        <v>2.1</v>
      </c>
    </row>
    <row r="1735" spans="2:24" hidden="1" x14ac:dyDescent="0.35">
      <c r="B1735">
        <v>2020</v>
      </c>
      <c r="C1735" s="1">
        <v>44230</v>
      </c>
      <c r="D1735">
        <v>2411</v>
      </c>
      <c r="E1735" t="s">
        <v>23</v>
      </c>
      <c r="F1735" t="s">
        <v>41</v>
      </c>
      <c r="G1735" t="s">
        <v>45</v>
      </c>
      <c r="H1735">
        <v>90.01</v>
      </c>
      <c r="I1735">
        <v>76.14</v>
      </c>
      <c r="J1735">
        <v>0.67130000000000001</v>
      </c>
      <c r="K1735">
        <v>0.12820000000000001</v>
      </c>
      <c r="L1735">
        <v>0.20050000000000001</v>
      </c>
      <c r="M1735">
        <v>2.08</v>
      </c>
      <c r="N1735">
        <v>0.78</v>
      </c>
      <c r="O1735">
        <v>37.4</v>
      </c>
      <c r="P1735">
        <v>8.5</v>
      </c>
      <c r="Q1735">
        <v>0</v>
      </c>
      <c r="R1735">
        <v>1</v>
      </c>
      <c r="S1735">
        <v>1.33</v>
      </c>
      <c r="T1735">
        <v>1.2</v>
      </c>
      <c r="U1735">
        <v>1.87</v>
      </c>
      <c r="V1735">
        <v>0.88</v>
      </c>
      <c r="W1735">
        <v>0</v>
      </c>
      <c r="X1735">
        <v>1.05</v>
      </c>
    </row>
    <row r="1736" spans="2:24" hidden="1" x14ac:dyDescent="0.35">
      <c r="B1736">
        <v>2020</v>
      </c>
      <c r="C1736" s="1">
        <v>44230</v>
      </c>
      <c r="D1736">
        <v>2411</v>
      </c>
      <c r="E1736" t="s">
        <v>23</v>
      </c>
      <c r="F1736" t="s">
        <v>52</v>
      </c>
      <c r="G1736" t="s">
        <v>43</v>
      </c>
      <c r="H1736">
        <v>77.5</v>
      </c>
      <c r="I1736">
        <v>75.33</v>
      </c>
      <c r="J1736">
        <v>0.47460000000000002</v>
      </c>
      <c r="K1736">
        <v>0.27750000000000002</v>
      </c>
      <c r="L1736">
        <v>0.24790000000000001</v>
      </c>
      <c r="M1736">
        <v>1.67</v>
      </c>
      <c r="N1736">
        <v>1.22</v>
      </c>
      <c r="O1736">
        <v>48.1</v>
      </c>
      <c r="P1736">
        <v>33.1</v>
      </c>
      <c r="Q1736">
        <v>1</v>
      </c>
      <c r="R1736">
        <v>3</v>
      </c>
      <c r="S1736">
        <v>0.71</v>
      </c>
      <c r="T1736">
        <v>1.89</v>
      </c>
      <c r="U1736">
        <v>1.25</v>
      </c>
      <c r="V1736">
        <v>1.33</v>
      </c>
      <c r="W1736">
        <v>1.05</v>
      </c>
      <c r="X1736">
        <v>2.81</v>
      </c>
    </row>
    <row r="1737" spans="2:24" hidden="1" x14ac:dyDescent="0.35">
      <c r="B1737">
        <v>2020</v>
      </c>
      <c r="C1737" s="1">
        <v>44231</v>
      </c>
      <c r="D1737">
        <v>2411</v>
      </c>
      <c r="E1737" t="s">
        <v>23</v>
      </c>
      <c r="F1737" t="s">
        <v>29</v>
      </c>
      <c r="G1737" t="s">
        <v>42</v>
      </c>
      <c r="H1737">
        <v>78.8</v>
      </c>
      <c r="I1737">
        <v>85.98</v>
      </c>
      <c r="J1737">
        <v>0.3266</v>
      </c>
      <c r="K1737">
        <v>0.4158</v>
      </c>
      <c r="L1737">
        <v>0.2576</v>
      </c>
      <c r="M1737">
        <v>1.3</v>
      </c>
      <c r="N1737">
        <v>1.5</v>
      </c>
      <c r="O1737">
        <v>68.599999999999994</v>
      </c>
      <c r="P1737">
        <v>77.599999999999994</v>
      </c>
      <c r="Q1737">
        <v>0</v>
      </c>
      <c r="R1737">
        <v>1</v>
      </c>
      <c r="S1737">
        <v>0.69</v>
      </c>
      <c r="T1737">
        <v>2.21</v>
      </c>
      <c r="U1737">
        <v>0.56999999999999995</v>
      </c>
      <c r="V1737">
        <v>1.99</v>
      </c>
      <c r="W1737">
        <v>0</v>
      </c>
      <c r="X1737">
        <v>1.05</v>
      </c>
    </row>
    <row r="1738" spans="2:24" hidden="1" x14ac:dyDescent="0.35">
      <c r="B1738">
        <v>2020</v>
      </c>
      <c r="C1738" s="1">
        <v>44233</v>
      </c>
      <c r="D1738">
        <v>2411</v>
      </c>
      <c r="E1738" t="s">
        <v>23</v>
      </c>
      <c r="F1738" t="s">
        <v>52</v>
      </c>
      <c r="G1738" t="s">
        <v>40</v>
      </c>
      <c r="H1738">
        <v>76.180000000000007</v>
      </c>
      <c r="I1738">
        <v>80.67</v>
      </c>
      <c r="J1738">
        <v>0.3886</v>
      </c>
      <c r="K1738">
        <v>0.35189999999999999</v>
      </c>
      <c r="L1738">
        <v>0.25950000000000001</v>
      </c>
      <c r="M1738">
        <v>1.44</v>
      </c>
      <c r="N1738">
        <v>1.36</v>
      </c>
      <c r="O1738">
        <v>30.5</v>
      </c>
      <c r="P1738">
        <v>20.399999999999999</v>
      </c>
      <c r="Q1738">
        <v>1</v>
      </c>
      <c r="R1738">
        <v>0</v>
      </c>
      <c r="S1738">
        <v>1.05</v>
      </c>
      <c r="T1738">
        <v>0.83</v>
      </c>
      <c r="U1738">
        <v>1.1299999999999999</v>
      </c>
      <c r="V1738">
        <v>2.36</v>
      </c>
      <c r="W1738">
        <v>1.05</v>
      </c>
      <c r="X1738">
        <v>0</v>
      </c>
    </row>
    <row r="1739" spans="2:24" hidden="1" x14ac:dyDescent="0.35">
      <c r="B1739">
        <v>2020</v>
      </c>
      <c r="C1739" s="1">
        <v>44233</v>
      </c>
      <c r="D1739">
        <v>2411</v>
      </c>
      <c r="E1739" t="s">
        <v>23</v>
      </c>
      <c r="F1739" t="s">
        <v>46</v>
      </c>
      <c r="G1739" t="s">
        <v>34</v>
      </c>
      <c r="H1739">
        <v>63.13</v>
      </c>
      <c r="I1739">
        <v>70</v>
      </c>
      <c r="J1739">
        <v>0.38080000000000003</v>
      </c>
      <c r="K1739">
        <v>0.33610000000000001</v>
      </c>
      <c r="L1739">
        <v>0.28310000000000002</v>
      </c>
      <c r="M1739">
        <v>1.25</v>
      </c>
      <c r="N1739">
        <v>1.1499999999999999</v>
      </c>
      <c r="O1739">
        <v>43.5</v>
      </c>
      <c r="P1739">
        <v>2.7</v>
      </c>
      <c r="Q1739">
        <v>3</v>
      </c>
      <c r="R1739">
        <v>2</v>
      </c>
      <c r="S1739">
        <v>0.87</v>
      </c>
      <c r="T1739">
        <v>1.37</v>
      </c>
      <c r="U1739">
        <v>0.5</v>
      </c>
      <c r="V1739">
        <v>1.68</v>
      </c>
      <c r="W1739">
        <v>3.15</v>
      </c>
      <c r="X1739">
        <v>2.1</v>
      </c>
    </row>
    <row r="1740" spans="2:24" hidden="1" x14ac:dyDescent="0.35">
      <c r="B1740">
        <v>2020</v>
      </c>
      <c r="C1740" s="1">
        <v>44233</v>
      </c>
      <c r="D1740">
        <v>2411</v>
      </c>
      <c r="E1740" t="s">
        <v>23</v>
      </c>
      <c r="F1740" t="s">
        <v>32</v>
      </c>
      <c r="G1740" t="s">
        <v>45</v>
      </c>
      <c r="H1740">
        <v>66.34</v>
      </c>
      <c r="I1740">
        <v>77.19</v>
      </c>
      <c r="J1740">
        <v>0.3049</v>
      </c>
      <c r="K1740">
        <v>0.40010000000000001</v>
      </c>
      <c r="L1740">
        <v>0.29499999999999998</v>
      </c>
      <c r="M1740">
        <v>1.01</v>
      </c>
      <c r="N1740">
        <v>1.21</v>
      </c>
      <c r="O1740">
        <v>22.7</v>
      </c>
      <c r="P1740">
        <v>5.8</v>
      </c>
      <c r="Q1740">
        <v>1</v>
      </c>
      <c r="R1740">
        <v>1</v>
      </c>
      <c r="S1740">
        <v>2.2000000000000002</v>
      </c>
      <c r="T1740">
        <v>0.56000000000000005</v>
      </c>
      <c r="U1740">
        <v>2.2400000000000002</v>
      </c>
      <c r="V1740">
        <v>0.56000000000000005</v>
      </c>
      <c r="W1740">
        <v>1.05</v>
      </c>
      <c r="X1740">
        <v>1.05</v>
      </c>
    </row>
    <row r="1741" spans="2:24" hidden="1" x14ac:dyDescent="0.35">
      <c r="B1741">
        <v>2020</v>
      </c>
      <c r="C1741" s="1">
        <v>44233</v>
      </c>
      <c r="D1741">
        <v>2411</v>
      </c>
      <c r="E1741" t="s">
        <v>23</v>
      </c>
      <c r="F1741" t="s">
        <v>48</v>
      </c>
      <c r="G1741" t="s">
        <v>43</v>
      </c>
      <c r="H1741">
        <v>64.56</v>
      </c>
      <c r="I1741">
        <v>76.599999999999994</v>
      </c>
      <c r="J1741">
        <v>0.2873</v>
      </c>
      <c r="K1741">
        <v>0.44419999999999998</v>
      </c>
      <c r="L1741">
        <v>0.26850000000000002</v>
      </c>
      <c r="M1741">
        <v>1.1100000000000001</v>
      </c>
      <c r="N1741">
        <v>1.45</v>
      </c>
      <c r="O1741">
        <v>44.6</v>
      </c>
      <c r="P1741">
        <v>41.3</v>
      </c>
      <c r="Q1741">
        <v>0</v>
      </c>
      <c r="R1741">
        <v>0</v>
      </c>
      <c r="S1741">
        <v>1.63</v>
      </c>
      <c r="T1741">
        <v>0.97</v>
      </c>
      <c r="U1741">
        <v>1.72</v>
      </c>
      <c r="V1741">
        <v>0.91</v>
      </c>
      <c r="W1741">
        <v>0</v>
      </c>
      <c r="X1741">
        <v>0</v>
      </c>
    </row>
    <row r="1742" spans="2:24" hidden="1" x14ac:dyDescent="0.35">
      <c r="B1742">
        <v>2020</v>
      </c>
      <c r="C1742" s="1">
        <v>44233</v>
      </c>
      <c r="D1742">
        <v>2411</v>
      </c>
      <c r="E1742" t="s">
        <v>23</v>
      </c>
      <c r="F1742" t="s">
        <v>39</v>
      </c>
      <c r="G1742" t="s">
        <v>28</v>
      </c>
      <c r="H1742">
        <v>87.31</v>
      </c>
      <c r="I1742">
        <v>72.760000000000005</v>
      </c>
      <c r="J1742">
        <v>0.65269999999999995</v>
      </c>
      <c r="K1742">
        <v>0.1449</v>
      </c>
      <c r="L1742">
        <v>0.20250000000000001</v>
      </c>
      <c r="M1742">
        <v>2.11</v>
      </c>
      <c r="N1742">
        <v>0.88</v>
      </c>
      <c r="O1742">
        <v>51.9</v>
      </c>
      <c r="P1742">
        <v>38.9</v>
      </c>
      <c r="Q1742">
        <v>3</v>
      </c>
      <c r="R1742">
        <v>3</v>
      </c>
      <c r="S1742">
        <v>1.6</v>
      </c>
      <c r="T1742">
        <v>1.46</v>
      </c>
      <c r="U1742">
        <v>1.73</v>
      </c>
      <c r="V1742">
        <v>0.71</v>
      </c>
      <c r="W1742">
        <v>3.15</v>
      </c>
      <c r="X1742">
        <v>3.15</v>
      </c>
    </row>
    <row r="1743" spans="2:24" hidden="1" x14ac:dyDescent="0.35">
      <c r="B1743">
        <v>2020</v>
      </c>
      <c r="C1743" s="1">
        <v>44234</v>
      </c>
      <c r="D1743">
        <v>2411</v>
      </c>
      <c r="E1743" t="s">
        <v>23</v>
      </c>
      <c r="F1743" t="s">
        <v>29</v>
      </c>
      <c r="G1743" t="s">
        <v>31</v>
      </c>
      <c r="H1743">
        <v>77.77</v>
      </c>
      <c r="I1743">
        <v>52.3</v>
      </c>
      <c r="J1743">
        <v>0.73499999999999999</v>
      </c>
      <c r="K1743">
        <v>9.2399999999999996E-2</v>
      </c>
      <c r="L1743">
        <v>0.1726</v>
      </c>
      <c r="M1743">
        <v>2.29</v>
      </c>
      <c r="N1743">
        <v>0.67</v>
      </c>
      <c r="O1743">
        <v>35</v>
      </c>
      <c r="P1743">
        <v>10.7</v>
      </c>
      <c r="Q1743">
        <v>2</v>
      </c>
      <c r="R1743">
        <v>0</v>
      </c>
      <c r="S1743">
        <v>2.48</v>
      </c>
      <c r="T1743">
        <v>0.63</v>
      </c>
      <c r="U1743">
        <v>1.18</v>
      </c>
      <c r="V1743">
        <v>0.92</v>
      </c>
      <c r="W1743">
        <v>2.1</v>
      </c>
      <c r="X1743">
        <v>0</v>
      </c>
    </row>
    <row r="1744" spans="2:24" hidden="1" x14ac:dyDescent="0.35">
      <c r="B1744">
        <v>2020</v>
      </c>
      <c r="C1744" s="1">
        <v>44234</v>
      </c>
      <c r="D1744">
        <v>2411</v>
      </c>
      <c r="E1744" t="s">
        <v>23</v>
      </c>
      <c r="F1744" t="s">
        <v>49</v>
      </c>
      <c r="G1744" t="s">
        <v>25</v>
      </c>
      <c r="H1744">
        <v>72.66</v>
      </c>
      <c r="I1744">
        <v>80.150000000000006</v>
      </c>
      <c r="J1744">
        <v>0.26600000000000001</v>
      </c>
      <c r="K1744">
        <v>0.45760000000000001</v>
      </c>
      <c r="L1744">
        <v>0.27639999999999998</v>
      </c>
      <c r="M1744">
        <v>1</v>
      </c>
      <c r="N1744">
        <v>1.4</v>
      </c>
      <c r="O1744">
        <v>7.2</v>
      </c>
      <c r="P1744">
        <v>74.599999999999994</v>
      </c>
      <c r="Q1744">
        <v>0</v>
      </c>
      <c r="R1744">
        <v>0</v>
      </c>
      <c r="S1744">
        <v>1.52</v>
      </c>
      <c r="T1744">
        <v>0.81</v>
      </c>
      <c r="U1744">
        <v>1.41</v>
      </c>
      <c r="V1744">
        <v>1.46</v>
      </c>
      <c r="W1744">
        <v>0</v>
      </c>
      <c r="X1744">
        <v>0</v>
      </c>
    </row>
    <row r="1745" spans="2:24" hidden="1" x14ac:dyDescent="0.35">
      <c r="B1745">
        <v>2020</v>
      </c>
      <c r="C1745" s="1">
        <v>44234</v>
      </c>
      <c r="D1745">
        <v>2411</v>
      </c>
      <c r="E1745" t="s">
        <v>23</v>
      </c>
      <c r="F1745" t="s">
        <v>41</v>
      </c>
      <c r="G1745" t="s">
        <v>36</v>
      </c>
      <c r="H1745">
        <v>89.42</v>
      </c>
      <c r="I1745">
        <v>93.48</v>
      </c>
      <c r="J1745">
        <v>0.27650000000000002</v>
      </c>
      <c r="K1745">
        <v>0.46960000000000002</v>
      </c>
      <c r="L1745">
        <v>0.25390000000000001</v>
      </c>
      <c r="M1745">
        <v>1.17</v>
      </c>
      <c r="N1745">
        <v>1.6</v>
      </c>
      <c r="O1745">
        <v>44.3</v>
      </c>
      <c r="P1745">
        <v>60.4</v>
      </c>
      <c r="Q1745">
        <v>1</v>
      </c>
      <c r="R1745">
        <v>4</v>
      </c>
      <c r="S1745">
        <v>1.2</v>
      </c>
      <c r="T1745">
        <v>3.2</v>
      </c>
      <c r="U1745">
        <v>1.25</v>
      </c>
      <c r="V1745">
        <v>0.75</v>
      </c>
      <c r="W1745">
        <v>1.05</v>
      </c>
      <c r="X1745">
        <v>3.73</v>
      </c>
    </row>
    <row r="1746" spans="2:24" hidden="1" x14ac:dyDescent="0.35">
      <c r="B1746">
        <v>2020</v>
      </c>
      <c r="C1746" s="1">
        <v>44234</v>
      </c>
      <c r="D1746">
        <v>2411</v>
      </c>
      <c r="E1746" t="s">
        <v>23</v>
      </c>
      <c r="F1746" t="s">
        <v>51</v>
      </c>
      <c r="G1746" t="s">
        <v>42</v>
      </c>
      <c r="H1746">
        <v>64.7</v>
      </c>
      <c r="I1746">
        <v>86.95</v>
      </c>
      <c r="J1746">
        <v>0.14530000000000001</v>
      </c>
      <c r="K1746">
        <v>0.62180000000000002</v>
      </c>
      <c r="L1746">
        <v>0.2329</v>
      </c>
      <c r="M1746">
        <v>0.72</v>
      </c>
      <c r="N1746">
        <v>1.78</v>
      </c>
      <c r="O1746">
        <v>31.1</v>
      </c>
      <c r="P1746">
        <v>75.7</v>
      </c>
      <c r="Q1746">
        <v>1</v>
      </c>
      <c r="R1746">
        <v>2</v>
      </c>
      <c r="S1746">
        <v>0.77</v>
      </c>
      <c r="T1746">
        <v>1.52</v>
      </c>
      <c r="U1746">
        <v>0.88</v>
      </c>
      <c r="V1746">
        <v>1.36</v>
      </c>
      <c r="W1746">
        <v>1.05</v>
      </c>
      <c r="X1746">
        <v>2.1</v>
      </c>
    </row>
    <row r="1747" spans="2:24" hidden="1" x14ac:dyDescent="0.35">
      <c r="B1747">
        <v>2020</v>
      </c>
      <c r="C1747" s="1">
        <v>44235</v>
      </c>
      <c r="D1747">
        <v>2411</v>
      </c>
      <c r="E1747" t="s">
        <v>23</v>
      </c>
      <c r="F1747" t="s">
        <v>53</v>
      </c>
      <c r="G1747" t="s">
        <v>30</v>
      </c>
      <c r="H1747">
        <v>68.430000000000007</v>
      </c>
      <c r="I1747">
        <v>65.72</v>
      </c>
      <c r="J1747">
        <v>0.48060000000000003</v>
      </c>
      <c r="K1747">
        <v>0.27629999999999999</v>
      </c>
      <c r="L1747">
        <v>0.24299999999999999</v>
      </c>
      <c r="M1747">
        <v>1.73</v>
      </c>
      <c r="N1747">
        <v>1.25</v>
      </c>
      <c r="O1747">
        <v>3.1</v>
      </c>
      <c r="P1747">
        <v>6.8</v>
      </c>
      <c r="Q1747">
        <v>2</v>
      </c>
      <c r="R1747">
        <v>0</v>
      </c>
      <c r="S1747">
        <v>2.5099999999999998</v>
      </c>
      <c r="T1747">
        <v>0.41</v>
      </c>
      <c r="U1747">
        <v>1.87</v>
      </c>
      <c r="V1747">
        <v>1.19</v>
      </c>
      <c r="W1747">
        <v>2.1</v>
      </c>
      <c r="X1747">
        <v>0</v>
      </c>
    </row>
    <row r="1748" spans="2:24" hidden="1" x14ac:dyDescent="0.35">
      <c r="B1748">
        <v>2020</v>
      </c>
      <c r="C1748" s="1">
        <v>44240</v>
      </c>
      <c r="D1748">
        <v>2411</v>
      </c>
      <c r="E1748" t="s">
        <v>23</v>
      </c>
      <c r="F1748" t="s">
        <v>25</v>
      </c>
      <c r="G1748" t="s">
        <v>41</v>
      </c>
      <c r="H1748">
        <v>79.97</v>
      </c>
      <c r="I1748">
        <v>88.81</v>
      </c>
      <c r="J1748">
        <v>0.2999</v>
      </c>
      <c r="K1748">
        <v>0.44729999999999998</v>
      </c>
      <c r="L1748">
        <v>0.25280000000000002</v>
      </c>
      <c r="M1748">
        <v>1.26</v>
      </c>
      <c r="N1748">
        <v>1.59</v>
      </c>
      <c r="O1748">
        <v>90.7</v>
      </c>
      <c r="P1748">
        <v>76.900000000000006</v>
      </c>
      <c r="Q1748">
        <v>3</v>
      </c>
      <c r="R1748">
        <v>1</v>
      </c>
      <c r="S1748">
        <v>2.06</v>
      </c>
      <c r="T1748">
        <v>2.27</v>
      </c>
      <c r="U1748">
        <v>0.43</v>
      </c>
      <c r="V1748">
        <v>1.64</v>
      </c>
      <c r="W1748">
        <v>2.77</v>
      </c>
      <c r="X1748">
        <v>1.05</v>
      </c>
    </row>
    <row r="1749" spans="2:24" hidden="1" x14ac:dyDescent="0.35">
      <c r="B1749">
        <v>2020</v>
      </c>
      <c r="C1749" s="1">
        <v>44240</v>
      </c>
      <c r="D1749">
        <v>2411</v>
      </c>
      <c r="E1749" t="s">
        <v>23</v>
      </c>
      <c r="F1749" t="s">
        <v>30</v>
      </c>
      <c r="G1749" t="s">
        <v>32</v>
      </c>
      <c r="H1749">
        <v>64.599999999999994</v>
      </c>
      <c r="I1749">
        <v>67.94</v>
      </c>
      <c r="J1749">
        <v>0.38109999999999999</v>
      </c>
      <c r="K1749">
        <v>0.32400000000000001</v>
      </c>
      <c r="L1749">
        <v>0.2949</v>
      </c>
      <c r="M1749">
        <v>1.18</v>
      </c>
      <c r="N1749">
        <v>1.06</v>
      </c>
      <c r="O1749">
        <v>12.1</v>
      </c>
      <c r="P1749">
        <v>24.3</v>
      </c>
      <c r="Q1749">
        <v>0</v>
      </c>
      <c r="R1749">
        <v>3</v>
      </c>
      <c r="S1749">
        <v>0.59</v>
      </c>
      <c r="T1749">
        <v>1.94</v>
      </c>
      <c r="U1749">
        <v>2.06</v>
      </c>
      <c r="V1749">
        <v>1.04</v>
      </c>
      <c r="W1749">
        <v>0</v>
      </c>
      <c r="X1749">
        <v>3.15</v>
      </c>
    </row>
    <row r="1750" spans="2:24" hidden="1" x14ac:dyDescent="0.35">
      <c r="B1750">
        <v>2020</v>
      </c>
      <c r="C1750" s="1">
        <v>44240</v>
      </c>
      <c r="D1750">
        <v>2411</v>
      </c>
      <c r="E1750" t="s">
        <v>23</v>
      </c>
      <c r="F1750" t="s">
        <v>36</v>
      </c>
      <c r="G1750" t="s">
        <v>29</v>
      </c>
      <c r="H1750">
        <v>93.81</v>
      </c>
      <c r="I1750">
        <v>77.94</v>
      </c>
      <c r="J1750">
        <v>0.77</v>
      </c>
      <c r="K1750">
        <v>7.1800000000000003E-2</v>
      </c>
      <c r="L1750">
        <v>0.15820000000000001</v>
      </c>
      <c r="M1750">
        <v>2.36</v>
      </c>
      <c r="N1750">
        <v>0.56999999999999995</v>
      </c>
      <c r="O1750">
        <v>29.4</v>
      </c>
      <c r="P1750">
        <v>50.7</v>
      </c>
      <c r="Q1750">
        <v>3</v>
      </c>
      <c r="R1750">
        <v>0</v>
      </c>
      <c r="S1750">
        <v>2.57</v>
      </c>
      <c r="T1750">
        <v>0.4</v>
      </c>
      <c r="U1750">
        <v>2.38</v>
      </c>
      <c r="V1750">
        <v>0.86</v>
      </c>
      <c r="W1750">
        <v>3.15</v>
      </c>
      <c r="X1750">
        <v>0</v>
      </c>
    </row>
    <row r="1751" spans="2:24" hidden="1" x14ac:dyDescent="0.35">
      <c r="B1751">
        <v>2020</v>
      </c>
      <c r="C1751" s="1">
        <v>44240</v>
      </c>
      <c r="D1751">
        <v>2411</v>
      </c>
      <c r="E1751" t="s">
        <v>23</v>
      </c>
      <c r="F1751" t="s">
        <v>45</v>
      </c>
      <c r="G1751" t="s">
        <v>52</v>
      </c>
      <c r="H1751">
        <v>75.5</v>
      </c>
      <c r="I1751">
        <v>76.22</v>
      </c>
      <c r="J1751">
        <v>0.37580000000000002</v>
      </c>
      <c r="K1751">
        <v>0.35970000000000002</v>
      </c>
      <c r="L1751">
        <v>0.26450000000000001</v>
      </c>
      <c r="M1751">
        <v>1.37</v>
      </c>
      <c r="N1751">
        <v>1.34</v>
      </c>
      <c r="O1751">
        <v>5.6</v>
      </c>
      <c r="P1751">
        <v>40</v>
      </c>
      <c r="Q1751">
        <v>0</v>
      </c>
      <c r="R1751">
        <v>0</v>
      </c>
      <c r="S1751">
        <v>2.2200000000000002</v>
      </c>
      <c r="T1751">
        <v>0.16</v>
      </c>
      <c r="U1751">
        <v>2.86</v>
      </c>
      <c r="V1751">
        <v>0.28999999999999998</v>
      </c>
      <c r="W1751">
        <v>0</v>
      </c>
      <c r="X1751">
        <v>0</v>
      </c>
    </row>
    <row r="1752" spans="2:24" hidden="1" x14ac:dyDescent="0.35">
      <c r="B1752">
        <v>2020</v>
      </c>
      <c r="C1752" s="1">
        <v>44241</v>
      </c>
      <c r="D1752">
        <v>2411</v>
      </c>
      <c r="E1752" t="s">
        <v>23</v>
      </c>
      <c r="F1752" t="s">
        <v>34</v>
      </c>
      <c r="G1752" t="s">
        <v>49</v>
      </c>
      <c r="H1752">
        <v>69.900000000000006</v>
      </c>
      <c r="I1752">
        <v>73.12</v>
      </c>
      <c r="J1752">
        <v>0.39079999999999998</v>
      </c>
      <c r="K1752">
        <v>0.3231</v>
      </c>
      <c r="L1752">
        <v>0.28620000000000001</v>
      </c>
      <c r="M1752">
        <v>1.25</v>
      </c>
      <c r="N1752">
        <v>1.1100000000000001</v>
      </c>
      <c r="O1752">
        <v>3.3</v>
      </c>
      <c r="P1752">
        <v>6.4</v>
      </c>
      <c r="Q1752">
        <v>1</v>
      </c>
      <c r="R1752">
        <v>2</v>
      </c>
      <c r="S1752">
        <v>1.01</v>
      </c>
      <c r="T1752">
        <v>1.1299999999999999</v>
      </c>
      <c r="U1752">
        <v>0.81</v>
      </c>
      <c r="V1752">
        <v>0.62</v>
      </c>
      <c r="W1752">
        <v>1.05</v>
      </c>
      <c r="X1752">
        <v>2.1</v>
      </c>
    </row>
    <row r="1753" spans="2:24" hidden="1" x14ac:dyDescent="0.35">
      <c r="B1753">
        <v>2020</v>
      </c>
      <c r="C1753" s="1">
        <v>44241</v>
      </c>
      <c r="D1753">
        <v>2411</v>
      </c>
      <c r="E1753" t="s">
        <v>23</v>
      </c>
      <c r="F1753" t="s">
        <v>31</v>
      </c>
      <c r="G1753" t="s">
        <v>39</v>
      </c>
      <c r="H1753">
        <v>52.36</v>
      </c>
      <c r="I1753">
        <v>86.52</v>
      </c>
      <c r="J1753">
        <v>8.2799999999999999E-2</v>
      </c>
      <c r="K1753">
        <v>0.77080000000000004</v>
      </c>
      <c r="L1753">
        <v>0.1464</v>
      </c>
      <c r="M1753">
        <v>0.76</v>
      </c>
      <c r="N1753">
        <v>2.64</v>
      </c>
      <c r="O1753">
        <v>8.3000000000000007</v>
      </c>
      <c r="P1753">
        <v>63.4</v>
      </c>
      <c r="Q1753">
        <v>1</v>
      </c>
      <c r="R1753">
        <v>1</v>
      </c>
      <c r="S1753">
        <v>1.21</v>
      </c>
      <c r="T1753">
        <v>0.56000000000000005</v>
      </c>
      <c r="U1753">
        <v>0.99</v>
      </c>
      <c r="V1753">
        <v>2.19</v>
      </c>
      <c r="W1753">
        <v>1.05</v>
      </c>
      <c r="X1753">
        <v>1.05</v>
      </c>
    </row>
    <row r="1754" spans="2:24" hidden="1" x14ac:dyDescent="0.35">
      <c r="B1754">
        <v>2020</v>
      </c>
      <c r="C1754" s="1">
        <v>44241</v>
      </c>
      <c r="D1754">
        <v>2411</v>
      </c>
      <c r="E1754" t="s">
        <v>23</v>
      </c>
      <c r="F1754" t="s">
        <v>40</v>
      </c>
      <c r="G1754" t="s">
        <v>53</v>
      </c>
      <c r="H1754">
        <v>80.83</v>
      </c>
      <c r="I1754">
        <v>69.7</v>
      </c>
      <c r="J1754">
        <v>0.55089999999999995</v>
      </c>
      <c r="K1754">
        <v>0.21879999999999999</v>
      </c>
      <c r="L1754">
        <v>0.2303</v>
      </c>
      <c r="M1754">
        <v>1.88</v>
      </c>
      <c r="N1754">
        <v>1.1100000000000001</v>
      </c>
      <c r="O1754">
        <v>10.199999999999999</v>
      </c>
      <c r="P1754">
        <v>7.2</v>
      </c>
      <c r="Q1754">
        <v>4</v>
      </c>
      <c r="R1754">
        <v>2</v>
      </c>
      <c r="S1754">
        <v>2.3199999999999998</v>
      </c>
      <c r="T1754">
        <v>0.94</v>
      </c>
      <c r="U1754">
        <v>1.78</v>
      </c>
      <c r="V1754">
        <v>1.03</v>
      </c>
      <c r="W1754">
        <v>4.2</v>
      </c>
      <c r="X1754">
        <v>2.1</v>
      </c>
    </row>
    <row r="1755" spans="2:24" hidden="1" x14ac:dyDescent="0.35">
      <c r="B1755">
        <v>2020</v>
      </c>
      <c r="C1755" s="1">
        <v>44241</v>
      </c>
      <c r="D1755">
        <v>2411</v>
      </c>
      <c r="E1755" t="s">
        <v>23</v>
      </c>
      <c r="F1755" t="s">
        <v>28</v>
      </c>
      <c r="G1755" t="s">
        <v>48</v>
      </c>
      <c r="H1755">
        <v>73.55</v>
      </c>
      <c r="I1755">
        <v>65.59</v>
      </c>
      <c r="J1755">
        <v>0.50139999999999996</v>
      </c>
      <c r="K1755">
        <v>0.23269999999999999</v>
      </c>
      <c r="L1755">
        <v>0.26590000000000003</v>
      </c>
      <c r="M1755">
        <v>1.52</v>
      </c>
      <c r="N1755">
        <v>0.94</v>
      </c>
      <c r="O1755">
        <v>25.6</v>
      </c>
      <c r="P1755">
        <v>45.4</v>
      </c>
      <c r="Q1755">
        <v>0</v>
      </c>
      <c r="R1755">
        <v>2</v>
      </c>
      <c r="S1755">
        <v>0.38</v>
      </c>
      <c r="T1755">
        <v>2.16</v>
      </c>
      <c r="U1755">
        <v>0.32</v>
      </c>
      <c r="V1755">
        <v>1.23</v>
      </c>
      <c r="W1755">
        <v>0</v>
      </c>
      <c r="X1755">
        <v>2.1</v>
      </c>
    </row>
    <row r="1756" spans="2:24" hidden="1" x14ac:dyDescent="0.35">
      <c r="B1756">
        <v>2020</v>
      </c>
      <c r="C1756" s="1">
        <v>44242</v>
      </c>
      <c r="D1756">
        <v>2411</v>
      </c>
      <c r="E1756" t="s">
        <v>23</v>
      </c>
      <c r="F1756" t="s">
        <v>43</v>
      </c>
      <c r="G1756" t="s">
        <v>51</v>
      </c>
      <c r="H1756">
        <v>75.989999999999995</v>
      </c>
      <c r="I1756">
        <v>64.86</v>
      </c>
      <c r="J1756">
        <v>0.56989999999999996</v>
      </c>
      <c r="K1756">
        <v>0.17829999999999999</v>
      </c>
      <c r="L1756">
        <v>0.25180000000000002</v>
      </c>
      <c r="M1756">
        <v>1.64</v>
      </c>
      <c r="N1756">
        <v>0.79</v>
      </c>
      <c r="O1756">
        <v>33.4</v>
      </c>
      <c r="P1756">
        <v>22</v>
      </c>
      <c r="Q1756">
        <v>3</v>
      </c>
      <c r="R1756">
        <v>0</v>
      </c>
      <c r="S1756">
        <v>2.12</v>
      </c>
      <c r="T1756">
        <v>0.74</v>
      </c>
      <c r="U1756">
        <v>0.73</v>
      </c>
      <c r="V1756">
        <v>1.84</v>
      </c>
      <c r="W1756">
        <v>2.63</v>
      </c>
      <c r="X1756">
        <v>0</v>
      </c>
    </row>
    <row r="1757" spans="2:24" hidden="1" x14ac:dyDescent="0.35">
      <c r="B1757">
        <v>2020</v>
      </c>
      <c r="C1757" s="1">
        <v>44242</v>
      </c>
      <c r="D1757">
        <v>2411</v>
      </c>
      <c r="E1757" t="s">
        <v>23</v>
      </c>
      <c r="F1757" t="s">
        <v>42</v>
      </c>
      <c r="G1757" t="s">
        <v>46</v>
      </c>
      <c r="H1757">
        <v>86.81</v>
      </c>
      <c r="I1757">
        <v>62.81</v>
      </c>
      <c r="J1757">
        <v>0.76</v>
      </c>
      <c r="K1757">
        <v>6.9099999999999995E-2</v>
      </c>
      <c r="L1757">
        <v>0.17100000000000001</v>
      </c>
      <c r="M1757">
        <v>2.17</v>
      </c>
      <c r="N1757">
        <v>0.49</v>
      </c>
      <c r="O1757">
        <v>81.3</v>
      </c>
      <c r="P1757">
        <v>39.200000000000003</v>
      </c>
      <c r="Q1757">
        <v>2</v>
      </c>
      <c r="R1757">
        <v>0</v>
      </c>
      <c r="S1757">
        <v>2.61</v>
      </c>
      <c r="T1757">
        <v>0.65</v>
      </c>
      <c r="U1757">
        <v>1.89</v>
      </c>
      <c r="V1757">
        <v>0.78</v>
      </c>
      <c r="W1757">
        <v>2.1</v>
      </c>
      <c r="X1757">
        <v>0</v>
      </c>
    </row>
    <row r="1758" spans="2:24" hidden="1" x14ac:dyDescent="0.35">
      <c r="B1758">
        <v>2020</v>
      </c>
      <c r="C1758" s="1">
        <v>44244</v>
      </c>
      <c r="D1758">
        <v>2411</v>
      </c>
      <c r="E1758" t="s">
        <v>23</v>
      </c>
      <c r="F1758" t="s">
        <v>32</v>
      </c>
      <c r="G1758" t="s">
        <v>48</v>
      </c>
      <c r="H1758">
        <v>69.319999999999993</v>
      </c>
      <c r="I1758">
        <v>68.209999999999994</v>
      </c>
      <c r="J1758">
        <v>0.38600000000000001</v>
      </c>
      <c r="K1758">
        <v>0.31209999999999999</v>
      </c>
      <c r="L1758">
        <v>0.3019</v>
      </c>
      <c r="M1758">
        <v>1.1499999999999999</v>
      </c>
      <c r="N1758">
        <v>1</v>
      </c>
      <c r="O1758">
        <v>23.1</v>
      </c>
      <c r="P1758">
        <v>58.9</v>
      </c>
      <c r="Q1758">
        <v>1</v>
      </c>
      <c r="R1758">
        <v>1</v>
      </c>
      <c r="S1758">
        <v>1.27</v>
      </c>
      <c r="T1758">
        <v>0.7</v>
      </c>
      <c r="U1758">
        <v>0.95</v>
      </c>
      <c r="V1758">
        <v>0.87</v>
      </c>
      <c r="W1758">
        <v>1.05</v>
      </c>
      <c r="X1758">
        <v>1.05</v>
      </c>
    </row>
    <row r="1759" spans="2:24" hidden="1" x14ac:dyDescent="0.35">
      <c r="B1759">
        <v>2020</v>
      </c>
      <c r="C1759" s="1">
        <v>44244</v>
      </c>
      <c r="D1759">
        <v>2411</v>
      </c>
      <c r="E1759" t="s">
        <v>23</v>
      </c>
      <c r="F1759" t="s">
        <v>28</v>
      </c>
      <c r="G1759" t="s">
        <v>36</v>
      </c>
      <c r="H1759">
        <v>71.12</v>
      </c>
      <c r="I1759">
        <v>93.92</v>
      </c>
      <c r="J1759">
        <v>0.1062</v>
      </c>
      <c r="K1759">
        <v>0.71319999999999995</v>
      </c>
      <c r="L1759">
        <v>0.18060000000000001</v>
      </c>
      <c r="M1759">
        <v>0.74</v>
      </c>
      <c r="N1759">
        <v>2.2599999999999998</v>
      </c>
      <c r="O1759">
        <v>22.1</v>
      </c>
      <c r="P1759">
        <v>14.9</v>
      </c>
      <c r="Q1759">
        <v>1</v>
      </c>
      <c r="R1759">
        <v>3</v>
      </c>
      <c r="S1759">
        <v>0.8</v>
      </c>
      <c r="T1759">
        <v>1.37</v>
      </c>
      <c r="U1759">
        <v>0.4</v>
      </c>
      <c r="V1759">
        <v>1.66</v>
      </c>
      <c r="W1759">
        <v>1.05</v>
      </c>
      <c r="X1759">
        <v>2.99</v>
      </c>
    </row>
    <row r="1760" spans="2:24" hidden="1" x14ac:dyDescent="0.35">
      <c r="B1760">
        <v>2020</v>
      </c>
      <c r="C1760" s="1">
        <v>44246</v>
      </c>
      <c r="D1760">
        <v>2411</v>
      </c>
      <c r="E1760" t="s">
        <v>23</v>
      </c>
      <c r="F1760" t="s">
        <v>49</v>
      </c>
      <c r="G1760" t="s">
        <v>53</v>
      </c>
      <c r="H1760">
        <v>73.680000000000007</v>
      </c>
      <c r="I1760">
        <v>68.989999999999995</v>
      </c>
      <c r="J1760">
        <v>0.44900000000000001</v>
      </c>
      <c r="K1760">
        <v>0.29580000000000001</v>
      </c>
      <c r="L1760">
        <v>0.25519999999999998</v>
      </c>
      <c r="M1760">
        <v>1.57</v>
      </c>
      <c r="N1760">
        <v>1.23</v>
      </c>
      <c r="O1760">
        <v>3.5</v>
      </c>
      <c r="P1760">
        <v>2.5</v>
      </c>
      <c r="Q1760">
        <v>1</v>
      </c>
      <c r="R1760">
        <v>0</v>
      </c>
      <c r="S1760">
        <v>0.63</v>
      </c>
      <c r="T1760">
        <v>2.2999999999999998</v>
      </c>
      <c r="U1760">
        <v>0.28999999999999998</v>
      </c>
      <c r="V1760">
        <v>1.5</v>
      </c>
      <c r="W1760">
        <v>1.05</v>
      </c>
      <c r="X1760">
        <v>0</v>
      </c>
    </row>
    <row r="1761" spans="2:24" hidden="1" x14ac:dyDescent="0.35">
      <c r="B1761">
        <v>2020</v>
      </c>
      <c r="C1761" s="1">
        <v>44247</v>
      </c>
      <c r="D1761">
        <v>2411</v>
      </c>
      <c r="E1761" t="s">
        <v>23</v>
      </c>
      <c r="F1761" t="s">
        <v>34</v>
      </c>
      <c r="G1761" t="s">
        <v>42</v>
      </c>
      <c r="H1761">
        <v>69.36</v>
      </c>
      <c r="I1761">
        <v>87.02</v>
      </c>
      <c r="J1761">
        <v>0.1681</v>
      </c>
      <c r="K1761">
        <v>0.6008</v>
      </c>
      <c r="L1761">
        <v>0.23100000000000001</v>
      </c>
      <c r="M1761">
        <v>0.85</v>
      </c>
      <c r="N1761">
        <v>1.83</v>
      </c>
      <c r="O1761">
        <v>4.9000000000000004</v>
      </c>
      <c r="P1761">
        <v>78.7</v>
      </c>
      <c r="Q1761">
        <v>1</v>
      </c>
      <c r="R1761">
        <v>1</v>
      </c>
      <c r="S1761">
        <v>0.55000000000000004</v>
      </c>
      <c r="T1761">
        <v>1.56</v>
      </c>
      <c r="U1761">
        <v>0.22</v>
      </c>
      <c r="V1761">
        <v>1.2</v>
      </c>
      <c r="W1761">
        <v>1.05</v>
      </c>
      <c r="X1761">
        <v>1.05</v>
      </c>
    </row>
    <row r="1762" spans="2:24" hidden="1" x14ac:dyDescent="0.35">
      <c r="B1762">
        <v>2020</v>
      </c>
      <c r="C1762" s="1">
        <v>44247</v>
      </c>
      <c r="D1762">
        <v>2411</v>
      </c>
      <c r="E1762" t="s">
        <v>23</v>
      </c>
      <c r="F1762" t="s">
        <v>32</v>
      </c>
      <c r="G1762" t="s">
        <v>31</v>
      </c>
      <c r="H1762">
        <v>69.290000000000006</v>
      </c>
      <c r="I1762">
        <v>53.76</v>
      </c>
      <c r="J1762">
        <v>0.57350000000000001</v>
      </c>
      <c r="K1762">
        <v>0.1721</v>
      </c>
      <c r="L1762">
        <v>0.25440000000000002</v>
      </c>
      <c r="M1762">
        <v>1.61</v>
      </c>
      <c r="N1762">
        <v>0.75</v>
      </c>
      <c r="O1762">
        <v>19.5</v>
      </c>
      <c r="P1762">
        <v>8.4</v>
      </c>
      <c r="Q1762">
        <v>0</v>
      </c>
      <c r="R1762">
        <v>0</v>
      </c>
      <c r="S1762">
        <v>0.56999999999999995</v>
      </c>
      <c r="T1762">
        <v>1.48</v>
      </c>
      <c r="U1762">
        <v>1.18</v>
      </c>
      <c r="V1762">
        <v>0.76</v>
      </c>
      <c r="W1762">
        <v>0</v>
      </c>
      <c r="X1762">
        <v>0</v>
      </c>
    </row>
    <row r="1763" spans="2:24" hidden="1" x14ac:dyDescent="0.35">
      <c r="B1763">
        <v>2020</v>
      </c>
      <c r="C1763" s="1">
        <v>44247</v>
      </c>
      <c r="D1763">
        <v>2411</v>
      </c>
      <c r="E1763" t="s">
        <v>23</v>
      </c>
      <c r="F1763" t="s">
        <v>41</v>
      </c>
      <c r="G1763" t="s">
        <v>28</v>
      </c>
      <c r="H1763">
        <v>88.84</v>
      </c>
      <c r="I1763">
        <v>71.37</v>
      </c>
      <c r="J1763">
        <v>0.72870000000000001</v>
      </c>
      <c r="K1763">
        <v>9.8400000000000001E-2</v>
      </c>
      <c r="L1763">
        <v>0.17280000000000001</v>
      </c>
      <c r="M1763">
        <v>2.3199999999999998</v>
      </c>
      <c r="N1763">
        <v>0.72</v>
      </c>
      <c r="O1763">
        <v>83.9</v>
      </c>
      <c r="P1763">
        <v>22.7</v>
      </c>
      <c r="Q1763">
        <v>0</v>
      </c>
      <c r="R1763">
        <v>2</v>
      </c>
      <c r="S1763">
        <v>1.78</v>
      </c>
      <c r="T1763">
        <v>1.94</v>
      </c>
      <c r="U1763">
        <v>2.71</v>
      </c>
      <c r="V1763">
        <v>0.56999999999999995</v>
      </c>
      <c r="W1763">
        <v>0</v>
      </c>
      <c r="X1763">
        <v>1.77</v>
      </c>
    </row>
    <row r="1764" spans="2:24" hidden="1" x14ac:dyDescent="0.35">
      <c r="B1764">
        <v>2020</v>
      </c>
      <c r="C1764" s="1">
        <v>44247</v>
      </c>
      <c r="D1764">
        <v>2411</v>
      </c>
      <c r="E1764" t="s">
        <v>23</v>
      </c>
      <c r="F1764" t="s">
        <v>48</v>
      </c>
      <c r="G1764" t="s">
        <v>51</v>
      </c>
      <c r="H1764">
        <v>68.34</v>
      </c>
      <c r="I1764">
        <v>64.64</v>
      </c>
      <c r="J1764">
        <v>0.48930000000000001</v>
      </c>
      <c r="K1764">
        <v>0.2228</v>
      </c>
      <c r="L1764">
        <v>0.28789999999999999</v>
      </c>
      <c r="M1764">
        <v>1.35</v>
      </c>
      <c r="N1764">
        <v>0.81</v>
      </c>
      <c r="O1764">
        <v>57.2</v>
      </c>
      <c r="P1764">
        <v>21.5</v>
      </c>
      <c r="Q1764">
        <v>1</v>
      </c>
      <c r="R1764">
        <v>0</v>
      </c>
      <c r="S1764">
        <v>1.26</v>
      </c>
      <c r="T1764">
        <v>1.02</v>
      </c>
      <c r="U1764">
        <v>1.72</v>
      </c>
      <c r="V1764">
        <v>0.22</v>
      </c>
      <c r="W1764">
        <v>1.05</v>
      </c>
      <c r="X1764">
        <v>0</v>
      </c>
    </row>
    <row r="1765" spans="2:24" hidden="1" x14ac:dyDescent="0.35">
      <c r="B1765">
        <v>2020</v>
      </c>
      <c r="C1765" s="1">
        <v>44248</v>
      </c>
      <c r="D1765">
        <v>2411</v>
      </c>
      <c r="E1765" t="s">
        <v>23</v>
      </c>
      <c r="F1765" t="s">
        <v>43</v>
      </c>
      <c r="G1765" t="s">
        <v>29</v>
      </c>
      <c r="H1765">
        <v>76.08</v>
      </c>
      <c r="I1765">
        <v>77.599999999999994</v>
      </c>
      <c r="J1765">
        <v>0.40920000000000001</v>
      </c>
      <c r="K1765">
        <v>0.33410000000000001</v>
      </c>
      <c r="L1765">
        <v>0.25679999999999997</v>
      </c>
      <c r="M1765">
        <v>1.5</v>
      </c>
      <c r="N1765">
        <v>1.33</v>
      </c>
      <c r="O1765">
        <v>54.2</v>
      </c>
      <c r="P1765">
        <v>48.8</v>
      </c>
      <c r="Q1765">
        <v>2</v>
      </c>
      <c r="R1765">
        <v>1</v>
      </c>
      <c r="S1765">
        <v>1.38</v>
      </c>
      <c r="T1765">
        <v>1.17</v>
      </c>
      <c r="U1765">
        <v>0.67</v>
      </c>
      <c r="V1765">
        <v>1.63</v>
      </c>
      <c r="W1765">
        <v>2.1</v>
      </c>
      <c r="X1765">
        <v>1.05</v>
      </c>
    </row>
    <row r="1766" spans="2:24" hidden="1" x14ac:dyDescent="0.35">
      <c r="B1766">
        <v>2020</v>
      </c>
      <c r="C1766" s="1">
        <v>44248</v>
      </c>
      <c r="D1766">
        <v>2411</v>
      </c>
      <c r="E1766" t="s">
        <v>23</v>
      </c>
      <c r="F1766" t="s">
        <v>52</v>
      </c>
      <c r="G1766" t="s">
        <v>25</v>
      </c>
      <c r="H1766">
        <v>75.010000000000005</v>
      </c>
      <c r="I1766">
        <v>79.709999999999994</v>
      </c>
      <c r="J1766">
        <v>0.34129999999999999</v>
      </c>
      <c r="K1766">
        <v>0.39119999999999999</v>
      </c>
      <c r="L1766">
        <v>0.2676</v>
      </c>
      <c r="M1766">
        <v>1.27</v>
      </c>
      <c r="N1766">
        <v>1.38</v>
      </c>
      <c r="O1766">
        <v>44.4</v>
      </c>
      <c r="P1766">
        <v>85.1</v>
      </c>
      <c r="Q1766">
        <v>1</v>
      </c>
      <c r="R1766">
        <v>2</v>
      </c>
      <c r="S1766">
        <v>1.68</v>
      </c>
      <c r="T1766">
        <v>1.22</v>
      </c>
      <c r="U1766">
        <v>1.03</v>
      </c>
      <c r="V1766">
        <v>0.82</v>
      </c>
      <c r="W1766">
        <v>1.05</v>
      </c>
      <c r="X1766">
        <v>2.1</v>
      </c>
    </row>
    <row r="1767" spans="2:24" hidden="1" x14ac:dyDescent="0.35">
      <c r="B1767">
        <v>2020</v>
      </c>
      <c r="C1767" s="1">
        <v>44248</v>
      </c>
      <c r="D1767">
        <v>2411</v>
      </c>
      <c r="E1767" t="s">
        <v>23</v>
      </c>
      <c r="F1767" t="s">
        <v>40</v>
      </c>
      <c r="G1767" t="s">
        <v>36</v>
      </c>
      <c r="H1767">
        <v>81.349999999999994</v>
      </c>
      <c r="I1767">
        <v>93.85</v>
      </c>
      <c r="J1767">
        <v>0.18279999999999999</v>
      </c>
      <c r="K1767">
        <v>0.58309999999999995</v>
      </c>
      <c r="L1767">
        <v>0.2341</v>
      </c>
      <c r="M1767">
        <v>0.9</v>
      </c>
      <c r="N1767">
        <v>1.81</v>
      </c>
      <c r="O1767">
        <v>26.2</v>
      </c>
      <c r="P1767">
        <v>11.7</v>
      </c>
      <c r="Q1767">
        <v>0</v>
      </c>
      <c r="R1767">
        <v>1</v>
      </c>
      <c r="S1767">
        <v>0.37</v>
      </c>
      <c r="T1767">
        <v>1.91</v>
      </c>
      <c r="U1767">
        <v>1.01</v>
      </c>
      <c r="V1767">
        <v>1.49</v>
      </c>
      <c r="W1767">
        <v>0</v>
      </c>
      <c r="X1767">
        <v>1.05</v>
      </c>
    </row>
    <row r="1768" spans="2:24" hidden="1" x14ac:dyDescent="0.35">
      <c r="B1768">
        <v>2020</v>
      </c>
      <c r="C1768" s="1">
        <v>44248</v>
      </c>
      <c r="D1768">
        <v>2411</v>
      </c>
      <c r="E1768" t="s">
        <v>23</v>
      </c>
      <c r="F1768" t="s">
        <v>39</v>
      </c>
      <c r="G1768" t="s">
        <v>46</v>
      </c>
      <c r="H1768">
        <v>87.04</v>
      </c>
      <c r="I1768">
        <v>62.52</v>
      </c>
      <c r="J1768">
        <v>0.80110000000000003</v>
      </c>
      <c r="K1768">
        <v>5.9200000000000003E-2</v>
      </c>
      <c r="L1768">
        <v>0.13969999999999999</v>
      </c>
      <c r="M1768">
        <v>2.5299999999999998</v>
      </c>
      <c r="N1768">
        <v>0.54</v>
      </c>
      <c r="O1768">
        <v>65.2</v>
      </c>
      <c r="P1768">
        <v>39.299999999999997</v>
      </c>
      <c r="Q1768">
        <v>3</v>
      </c>
      <c r="R1768">
        <v>1</v>
      </c>
      <c r="S1768">
        <v>1.68</v>
      </c>
      <c r="T1768">
        <v>0.38</v>
      </c>
      <c r="U1768">
        <v>1.72</v>
      </c>
      <c r="V1768">
        <v>0.31</v>
      </c>
      <c r="W1768">
        <v>3.04</v>
      </c>
      <c r="X1768">
        <v>1.05</v>
      </c>
    </row>
    <row r="1769" spans="2:24" hidden="1" x14ac:dyDescent="0.35">
      <c r="B1769">
        <v>2020</v>
      </c>
      <c r="C1769" s="1">
        <v>44249</v>
      </c>
      <c r="D1769">
        <v>2411</v>
      </c>
      <c r="E1769" t="s">
        <v>23</v>
      </c>
      <c r="F1769" t="s">
        <v>45</v>
      </c>
      <c r="G1769" t="s">
        <v>30</v>
      </c>
      <c r="H1769">
        <v>76.97</v>
      </c>
      <c r="I1769">
        <v>62.76</v>
      </c>
      <c r="J1769">
        <v>0.56430000000000002</v>
      </c>
      <c r="K1769">
        <v>0.18629999999999999</v>
      </c>
      <c r="L1769">
        <v>0.24940000000000001</v>
      </c>
      <c r="M1769">
        <v>1.66</v>
      </c>
      <c r="N1769">
        <v>0.84</v>
      </c>
      <c r="O1769">
        <v>10.7</v>
      </c>
      <c r="P1769">
        <v>22.8</v>
      </c>
      <c r="Q1769">
        <v>1</v>
      </c>
      <c r="R1769">
        <v>2</v>
      </c>
      <c r="S1769">
        <v>2.91</v>
      </c>
      <c r="T1769">
        <v>0.28000000000000003</v>
      </c>
      <c r="U1769">
        <v>2.74</v>
      </c>
      <c r="V1769">
        <v>0.17</v>
      </c>
      <c r="W1769">
        <v>1.05</v>
      </c>
      <c r="X1769">
        <v>2.1</v>
      </c>
    </row>
    <row r="1770" spans="2:24" hidden="1" x14ac:dyDescent="0.35">
      <c r="B1770">
        <v>2020</v>
      </c>
      <c r="C1770" s="1">
        <v>44250</v>
      </c>
      <c r="D1770">
        <v>2411</v>
      </c>
      <c r="E1770" t="s">
        <v>23</v>
      </c>
      <c r="F1770" t="s">
        <v>53</v>
      </c>
      <c r="G1770" t="s">
        <v>34</v>
      </c>
      <c r="H1770">
        <v>70.17</v>
      </c>
      <c r="I1770">
        <v>69.36</v>
      </c>
      <c r="J1770">
        <v>0.45760000000000001</v>
      </c>
      <c r="K1770">
        <v>0.29570000000000002</v>
      </c>
      <c r="L1770">
        <v>0.2467</v>
      </c>
      <c r="M1770">
        <v>1.67</v>
      </c>
      <c r="N1770">
        <v>1.3</v>
      </c>
      <c r="O1770">
        <v>2.1</v>
      </c>
      <c r="P1770">
        <v>6.4</v>
      </c>
      <c r="Q1770">
        <v>3</v>
      </c>
      <c r="R1770">
        <v>0</v>
      </c>
      <c r="S1770">
        <v>1.67</v>
      </c>
      <c r="T1770">
        <v>1.24</v>
      </c>
      <c r="U1770">
        <v>1.54</v>
      </c>
      <c r="V1770">
        <v>0.92</v>
      </c>
      <c r="W1770">
        <v>2.61</v>
      </c>
      <c r="X1770">
        <v>0</v>
      </c>
    </row>
    <row r="1771" spans="2:24" hidden="1" x14ac:dyDescent="0.35">
      <c r="B1771">
        <v>2020</v>
      </c>
      <c r="C1771" s="1">
        <v>44254</v>
      </c>
      <c r="D1771">
        <v>2411</v>
      </c>
      <c r="E1771" t="s">
        <v>23</v>
      </c>
      <c r="F1771" t="s">
        <v>36</v>
      </c>
      <c r="G1771" t="s">
        <v>43</v>
      </c>
      <c r="H1771">
        <v>93.84</v>
      </c>
      <c r="I1771">
        <v>76.06</v>
      </c>
      <c r="J1771">
        <v>0.77110000000000001</v>
      </c>
      <c r="K1771">
        <v>6.8400000000000002E-2</v>
      </c>
      <c r="L1771">
        <v>0.1605</v>
      </c>
      <c r="M1771">
        <v>2.2999999999999998</v>
      </c>
      <c r="N1771">
        <v>0.53</v>
      </c>
      <c r="O1771">
        <v>11.6</v>
      </c>
      <c r="P1771">
        <v>69.599999999999994</v>
      </c>
      <c r="Q1771">
        <v>2</v>
      </c>
      <c r="R1771">
        <v>1</v>
      </c>
      <c r="S1771">
        <v>0.84</v>
      </c>
      <c r="T1771">
        <v>2.21</v>
      </c>
      <c r="U1771">
        <v>1.7</v>
      </c>
      <c r="V1771">
        <v>0.72</v>
      </c>
      <c r="W1771">
        <v>2.1</v>
      </c>
      <c r="X1771">
        <v>1.05</v>
      </c>
    </row>
    <row r="1772" spans="2:24" hidden="1" x14ac:dyDescent="0.35">
      <c r="B1772">
        <v>2020</v>
      </c>
      <c r="C1772" s="1">
        <v>44254</v>
      </c>
      <c r="D1772">
        <v>2411</v>
      </c>
      <c r="E1772" t="s">
        <v>23</v>
      </c>
      <c r="F1772" t="s">
        <v>31</v>
      </c>
      <c r="G1772" t="s">
        <v>45</v>
      </c>
      <c r="H1772">
        <v>55.15</v>
      </c>
      <c r="I1772">
        <v>77.3</v>
      </c>
      <c r="J1772">
        <v>0.20519999999999999</v>
      </c>
      <c r="K1772">
        <v>0.54459999999999997</v>
      </c>
      <c r="L1772">
        <v>0.25019999999999998</v>
      </c>
      <c r="M1772">
        <v>0.92</v>
      </c>
      <c r="N1772">
        <v>1.66</v>
      </c>
      <c r="O1772">
        <v>6.2</v>
      </c>
      <c r="P1772">
        <v>14.3</v>
      </c>
      <c r="Q1772">
        <v>1</v>
      </c>
      <c r="R1772">
        <v>0</v>
      </c>
      <c r="S1772">
        <v>0.68</v>
      </c>
      <c r="T1772">
        <v>3.14</v>
      </c>
      <c r="U1772">
        <v>1.01</v>
      </c>
      <c r="V1772">
        <v>1.61</v>
      </c>
      <c r="W1772">
        <v>1.05</v>
      </c>
      <c r="X1772">
        <v>0</v>
      </c>
    </row>
    <row r="1773" spans="2:24" hidden="1" x14ac:dyDescent="0.35">
      <c r="B1773">
        <v>2020</v>
      </c>
      <c r="C1773" s="1">
        <v>44254</v>
      </c>
      <c r="D1773">
        <v>2411</v>
      </c>
      <c r="E1773" t="s">
        <v>23</v>
      </c>
      <c r="F1773" t="s">
        <v>53</v>
      </c>
      <c r="G1773" t="s">
        <v>52</v>
      </c>
      <c r="H1773">
        <v>71.09</v>
      </c>
      <c r="I1773">
        <v>74.84</v>
      </c>
      <c r="J1773">
        <v>0.38340000000000002</v>
      </c>
      <c r="K1773">
        <v>0.37469999999999998</v>
      </c>
      <c r="L1773">
        <v>0.2419</v>
      </c>
      <c r="M1773">
        <v>1.59</v>
      </c>
      <c r="N1773">
        <v>1.57</v>
      </c>
      <c r="O1773">
        <v>2.9</v>
      </c>
      <c r="P1773">
        <v>23.3</v>
      </c>
      <c r="Q1773">
        <v>0</v>
      </c>
      <c r="R1773">
        <v>1</v>
      </c>
      <c r="S1773">
        <v>1.1000000000000001</v>
      </c>
      <c r="T1773">
        <v>0.79</v>
      </c>
      <c r="U1773">
        <v>1.48</v>
      </c>
      <c r="V1773">
        <v>0.69</v>
      </c>
      <c r="W1773">
        <v>0</v>
      </c>
      <c r="X1773">
        <v>1.05</v>
      </c>
    </row>
    <row r="1774" spans="2:24" hidden="1" x14ac:dyDescent="0.35">
      <c r="B1774">
        <v>2020</v>
      </c>
      <c r="C1774" s="1">
        <v>44254</v>
      </c>
      <c r="D1774">
        <v>2411</v>
      </c>
      <c r="E1774" t="s">
        <v>23</v>
      </c>
      <c r="F1774" t="s">
        <v>46</v>
      </c>
      <c r="G1774" t="s">
        <v>49</v>
      </c>
      <c r="H1774">
        <v>62.59</v>
      </c>
      <c r="I1774">
        <v>72.95</v>
      </c>
      <c r="J1774">
        <v>0.3604</v>
      </c>
      <c r="K1774">
        <v>0.34239999999999998</v>
      </c>
      <c r="L1774">
        <v>0.29720000000000002</v>
      </c>
      <c r="M1774">
        <v>1.1299999999999999</v>
      </c>
      <c r="N1774">
        <v>1.0900000000000001</v>
      </c>
      <c r="O1774">
        <v>49.5</v>
      </c>
      <c r="P1774">
        <v>2.8</v>
      </c>
      <c r="Q1774">
        <v>1</v>
      </c>
      <c r="R1774">
        <v>1</v>
      </c>
      <c r="S1774">
        <v>1.79</v>
      </c>
      <c r="T1774">
        <v>1.31</v>
      </c>
      <c r="U1774">
        <v>1.52</v>
      </c>
      <c r="V1774">
        <v>1.25</v>
      </c>
      <c r="W1774">
        <v>1.05</v>
      </c>
      <c r="X1774">
        <v>1.05</v>
      </c>
    </row>
    <row r="1775" spans="2:24" hidden="1" x14ac:dyDescent="0.35">
      <c r="B1775">
        <v>2020</v>
      </c>
      <c r="C1775" s="1">
        <v>44255</v>
      </c>
      <c r="D1775">
        <v>2411</v>
      </c>
      <c r="E1775" t="s">
        <v>23</v>
      </c>
      <c r="F1775" t="s">
        <v>30</v>
      </c>
      <c r="G1775" t="s">
        <v>48</v>
      </c>
      <c r="H1775">
        <v>62.12</v>
      </c>
      <c r="I1775">
        <v>69.150000000000006</v>
      </c>
      <c r="J1775">
        <v>0.31929999999999997</v>
      </c>
      <c r="K1775">
        <v>0.39510000000000001</v>
      </c>
      <c r="L1775">
        <v>0.28570000000000001</v>
      </c>
      <c r="M1775">
        <v>1.1000000000000001</v>
      </c>
      <c r="N1775">
        <v>1.26</v>
      </c>
      <c r="O1775">
        <v>16.100000000000001</v>
      </c>
      <c r="P1775">
        <v>59.5</v>
      </c>
      <c r="Q1775">
        <v>0</v>
      </c>
      <c r="R1775">
        <v>0</v>
      </c>
      <c r="S1775">
        <v>0.14000000000000001</v>
      </c>
      <c r="T1775">
        <v>1</v>
      </c>
      <c r="U1775">
        <v>0.56000000000000005</v>
      </c>
      <c r="V1775">
        <v>1.84</v>
      </c>
      <c r="W1775">
        <v>0</v>
      </c>
      <c r="X1775">
        <v>0</v>
      </c>
    </row>
    <row r="1776" spans="2:24" hidden="1" x14ac:dyDescent="0.35">
      <c r="B1776">
        <v>2020</v>
      </c>
      <c r="C1776" s="1">
        <v>44255</v>
      </c>
      <c r="D1776">
        <v>2411</v>
      </c>
      <c r="E1776" t="s">
        <v>23</v>
      </c>
      <c r="F1776" t="s">
        <v>25</v>
      </c>
      <c r="G1776" t="s">
        <v>40</v>
      </c>
      <c r="H1776">
        <v>78.59</v>
      </c>
      <c r="I1776">
        <v>81</v>
      </c>
      <c r="J1776">
        <v>0.44540000000000002</v>
      </c>
      <c r="K1776">
        <v>0.27579999999999999</v>
      </c>
      <c r="L1776">
        <v>0.27879999999999999</v>
      </c>
      <c r="M1776">
        <v>1.37</v>
      </c>
      <c r="N1776">
        <v>1.02</v>
      </c>
      <c r="O1776">
        <v>78</v>
      </c>
      <c r="P1776">
        <v>13.2</v>
      </c>
      <c r="Q1776">
        <v>1</v>
      </c>
      <c r="R1776">
        <v>3</v>
      </c>
      <c r="S1776">
        <v>0.59</v>
      </c>
      <c r="T1776">
        <v>2.02</v>
      </c>
      <c r="U1776">
        <v>0.38</v>
      </c>
      <c r="V1776">
        <v>1.5</v>
      </c>
      <c r="W1776">
        <v>1.05</v>
      </c>
      <c r="X1776">
        <v>3.15</v>
      </c>
    </row>
    <row r="1777" spans="2:24" hidden="1" x14ac:dyDescent="0.35">
      <c r="B1777">
        <v>2020</v>
      </c>
      <c r="C1777" s="1">
        <v>44255</v>
      </c>
      <c r="D1777">
        <v>2411</v>
      </c>
      <c r="E1777" t="s">
        <v>23</v>
      </c>
      <c r="F1777" t="s">
        <v>29</v>
      </c>
      <c r="G1777" t="s">
        <v>32</v>
      </c>
      <c r="H1777">
        <v>78.14</v>
      </c>
      <c r="I1777">
        <v>68.55</v>
      </c>
      <c r="J1777">
        <v>0.56140000000000001</v>
      </c>
      <c r="K1777">
        <v>0.18720000000000001</v>
      </c>
      <c r="L1777">
        <v>0.25140000000000001</v>
      </c>
      <c r="M1777">
        <v>1.64</v>
      </c>
      <c r="N1777">
        <v>0.83</v>
      </c>
      <c r="O1777">
        <v>26.7</v>
      </c>
      <c r="P1777">
        <v>20.399999999999999</v>
      </c>
      <c r="Q1777">
        <v>4</v>
      </c>
      <c r="R1777">
        <v>0</v>
      </c>
      <c r="S1777">
        <v>2.85</v>
      </c>
      <c r="T1777">
        <v>0.67</v>
      </c>
      <c r="U1777">
        <v>0.92</v>
      </c>
      <c r="V1777">
        <v>1.04</v>
      </c>
      <c r="W1777">
        <v>4.2</v>
      </c>
      <c r="X1777">
        <v>0</v>
      </c>
    </row>
    <row r="1778" spans="2:24" hidden="1" x14ac:dyDescent="0.35">
      <c r="B1778">
        <v>2020</v>
      </c>
      <c r="C1778" s="1">
        <v>44255</v>
      </c>
      <c r="D1778">
        <v>2411</v>
      </c>
      <c r="E1778" t="s">
        <v>23</v>
      </c>
      <c r="F1778" t="s">
        <v>42</v>
      </c>
      <c r="G1778" t="s">
        <v>39</v>
      </c>
      <c r="H1778">
        <v>87.82</v>
      </c>
      <c r="I1778">
        <v>86.77</v>
      </c>
      <c r="J1778">
        <v>0.46750000000000003</v>
      </c>
      <c r="K1778">
        <v>0.27800000000000002</v>
      </c>
      <c r="L1778">
        <v>0.25459999999999999</v>
      </c>
      <c r="M1778">
        <v>1.6</v>
      </c>
      <c r="N1778">
        <v>1.17</v>
      </c>
      <c r="O1778">
        <v>91.4</v>
      </c>
      <c r="P1778">
        <v>51.9</v>
      </c>
      <c r="Q1778">
        <v>0</v>
      </c>
      <c r="R1778">
        <v>0</v>
      </c>
      <c r="S1778">
        <v>1.1599999999999999</v>
      </c>
      <c r="T1778">
        <v>0.42</v>
      </c>
      <c r="U1778">
        <v>0.8</v>
      </c>
      <c r="V1778">
        <v>0.51</v>
      </c>
      <c r="W1778">
        <v>0</v>
      </c>
      <c r="X1778">
        <v>0</v>
      </c>
    </row>
    <row r="1779" spans="2:24" hidden="1" x14ac:dyDescent="0.35">
      <c r="B1779">
        <v>2020</v>
      </c>
      <c r="C1779" s="1">
        <v>44255</v>
      </c>
      <c r="D1779">
        <v>2411</v>
      </c>
      <c r="E1779" t="s">
        <v>23</v>
      </c>
      <c r="F1779" t="s">
        <v>51</v>
      </c>
      <c r="G1779" t="s">
        <v>41</v>
      </c>
      <c r="H1779">
        <v>64.069999999999993</v>
      </c>
      <c r="I1779">
        <v>87.99</v>
      </c>
      <c r="J1779">
        <v>0.1119</v>
      </c>
      <c r="K1779">
        <v>0.69610000000000005</v>
      </c>
      <c r="L1779">
        <v>0.192</v>
      </c>
      <c r="M1779">
        <v>0.72</v>
      </c>
      <c r="N1779">
        <v>2.13</v>
      </c>
      <c r="O1779">
        <v>14.1</v>
      </c>
      <c r="P1779">
        <v>87.4</v>
      </c>
      <c r="Q1779">
        <v>0</v>
      </c>
      <c r="R1779">
        <v>2</v>
      </c>
      <c r="S1779">
        <v>0.83</v>
      </c>
      <c r="T1779">
        <v>2.9</v>
      </c>
      <c r="U1779">
        <v>0.57999999999999996</v>
      </c>
      <c r="V1779">
        <v>1.83</v>
      </c>
      <c r="W1779">
        <v>0</v>
      </c>
      <c r="X1779">
        <v>2.1</v>
      </c>
    </row>
    <row r="1780" spans="2:24" hidden="1" x14ac:dyDescent="0.35">
      <c r="B1780">
        <v>2020</v>
      </c>
      <c r="C1780" s="1">
        <v>44256</v>
      </c>
      <c r="D1780">
        <v>2411</v>
      </c>
      <c r="E1780" t="s">
        <v>23</v>
      </c>
      <c r="F1780" t="s">
        <v>28</v>
      </c>
      <c r="G1780" t="s">
        <v>34</v>
      </c>
      <c r="H1780">
        <v>72.62</v>
      </c>
      <c r="I1780">
        <v>68.58</v>
      </c>
      <c r="J1780">
        <v>0.4894</v>
      </c>
      <c r="K1780">
        <v>0.24829999999999999</v>
      </c>
      <c r="L1780">
        <v>0.26219999999999999</v>
      </c>
      <c r="M1780">
        <v>1.54</v>
      </c>
      <c r="N1780">
        <v>1.02</v>
      </c>
      <c r="O1780">
        <v>24.3</v>
      </c>
      <c r="P1780">
        <v>6.9</v>
      </c>
      <c r="Q1780">
        <v>1</v>
      </c>
      <c r="R1780">
        <v>0</v>
      </c>
      <c r="S1780">
        <v>1.24</v>
      </c>
      <c r="T1780">
        <v>0.71</v>
      </c>
      <c r="U1780">
        <v>1.2</v>
      </c>
      <c r="V1780">
        <v>0.43</v>
      </c>
      <c r="W1780">
        <v>1.05</v>
      </c>
      <c r="X1780">
        <v>0</v>
      </c>
    </row>
    <row r="1781" spans="2:24" hidden="1" x14ac:dyDescent="0.35">
      <c r="B1781">
        <v>2020</v>
      </c>
      <c r="C1781" s="1">
        <v>44257</v>
      </c>
      <c r="D1781">
        <v>2411</v>
      </c>
      <c r="E1781" t="s">
        <v>23</v>
      </c>
      <c r="F1781" t="s">
        <v>36</v>
      </c>
      <c r="G1781" t="s">
        <v>49</v>
      </c>
      <c r="H1781">
        <v>93.5</v>
      </c>
      <c r="I1781">
        <v>72.31</v>
      </c>
      <c r="J1781">
        <v>0.83540000000000003</v>
      </c>
      <c r="K1781">
        <v>3.1300000000000001E-2</v>
      </c>
      <c r="L1781">
        <v>0.1333</v>
      </c>
      <c r="M1781">
        <v>2.33</v>
      </c>
      <c r="N1781">
        <v>0.28000000000000003</v>
      </c>
      <c r="O1781">
        <v>5.9</v>
      </c>
      <c r="P1781">
        <v>0.9</v>
      </c>
      <c r="Q1781">
        <v>4</v>
      </c>
      <c r="R1781">
        <v>1</v>
      </c>
      <c r="S1781">
        <v>3.55</v>
      </c>
      <c r="T1781">
        <v>0.37</v>
      </c>
      <c r="U1781">
        <v>2.38</v>
      </c>
      <c r="V1781">
        <v>0.37</v>
      </c>
      <c r="W1781">
        <v>3.16</v>
      </c>
      <c r="X1781">
        <v>1.05</v>
      </c>
    </row>
    <row r="1782" spans="2:24" hidden="1" x14ac:dyDescent="0.35">
      <c r="B1782">
        <v>2020</v>
      </c>
      <c r="C1782" s="1">
        <v>44258</v>
      </c>
      <c r="D1782">
        <v>2411</v>
      </c>
      <c r="E1782" t="s">
        <v>23</v>
      </c>
      <c r="F1782" t="s">
        <v>51</v>
      </c>
      <c r="G1782" t="s">
        <v>52</v>
      </c>
      <c r="H1782">
        <v>63.31</v>
      </c>
      <c r="I1782">
        <v>75.19</v>
      </c>
      <c r="J1782">
        <v>0.26240000000000002</v>
      </c>
      <c r="K1782">
        <v>0.46400000000000002</v>
      </c>
      <c r="L1782">
        <v>0.27350000000000002</v>
      </c>
      <c r="M1782">
        <v>1</v>
      </c>
      <c r="N1782">
        <v>1.43</v>
      </c>
      <c r="O1782">
        <v>7</v>
      </c>
      <c r="P1782">
        <v>29</v>
      </c>
      <c r="Q1782">
        <v>1</v>
      </c>
      <c r="R1782">
        <v>0</v>
      </c>
      <c r="S1782">
        <v>0.8</v>
      </c>
      <c r="T1782">
        <v>1.69</v>
      </c>
      <c r="U1782">
        <v>0.51</v>
      </c>
      <c r="V1782">
        <v>2.31</v>
      </c>
      <c r="W1782">
        <v>1.05</v>
      </c>
      <c r="X1782">
        <v>0</v>
      </c>
    </row>
    <row r="1783" spans="2:24" hidden="1" x14ac:dyDescent="0.35">
      <c r="B1783">
        <v>2020</v>
      </c>
      <c r="C1783" s="1">
        <v>44258</v>
      </c>
      <c r="D1783">
        <v>2411</v>
      </c>
      <c r="E1783" t="s">
        <v>23</v>
      </c>
      <c r="F1783" t="s">
        <v>32</v>
      </c>
      <c r="G1783" t="s">
        <v>25</v>
      </c>
      <c r="H1783">
        <v>67.05</v>
      </c>
      <c r="I1783">
        <v>76.86</v>
      </c>
      <c r="J1783">
        <v>0.25409999999999999</v>
      </c>
      <c r="K1783">
        <v>0.45660000000000001</v>
      </c>
      <c r="L1783">
        <v>0.28920000000000001</v>
      </c>
      <c r="M1783">
        <v>0.9</v>
      </c>
      <c r="N1783">
        <v>1.31</v>
      </c>
      <c r="O1783">
        <v>27</v>
      </c>
      <c r="P1783">
        <v>82.5</v>
      </c>
      <c r="Q1783">
        <v>1</v>
      </c>
      <c r="R1783">
        <v>1</v>
      </c>
      <c r="S1783">
        <v>1.44</v>
      </c>
      <c r="T1783">
        <v>1.36</v>
      </c>
      <c r="U1783">
        <v>1.45</v>
      </c>
      <c r="V1783">
        <v>1.1299999999999999</v>
      </c>
      <c r="W1783">
        <v>1.05</v>
      </c>
      <c r="X1783">
        <v>1.05</v>
      </c>
    </row>
    <row r="1784" spans="2:24" hidden="1" x14ac:dyDescent="0.35">
      <c r="B1784">
        <v>2020</v>
      </c>
      <c r="C1784" s="1">
        <v>44258</v>
      </c>
      <c r="D1784">
        <v>2411</v>
      </c>
      <c r="E1784" t="s">
        <v>23</v>
      </c>
      <c r="F1784" t="s">
        <v>30</v>
      </c>
      <c r="G1784" t="s">
        <v>39</v>
      </c>
      <c r="H1784">
        <v>61.45</v>
      </c>
      <c r="I1784">
        <v>86.89</v>
      </c>
      <c r="J1784">
        <v>0.12690000000000001</v>
      </c>
      <c r="K1784">
        <v>0.67749999999999999</v>
      </c>
      <c r="L1784">
        <v>0.19550000000000001</v>
      </c>
      <c r="M1784">
        <v>0.8</v>
      </c>
      <c r="N1784">
        <v>2.14</v>
      </c>
      <c r="O1784">
        <v>7.6</v>
      </c>
      <c r="P1784">
        <v>58.1</v>
      </c>
      <c r="Q1784">
        <v>0</v>
      </c>
      <c r="R1784">
        <v>0</v>
      </c>
      <c r="S1784">
        <v>0.84</v>
      </c>
      <c r="T1784">
        <v>0.68</v>
      </c>
      <c r="U1784">
        <v>0.54</v>
      </c>
      <c r="V1784">
        <v>1.91</v>
      </c>
      <c r="W1784">
        <v>0</v>
      </c>
      <c r="X1784">
        <v>0</v>
      </c>
    </row>
    <row r="1785" spans="2:24" hidden="1" x14ac:dyDescent="0.35">
      <c r="B1785">
        <v>2020</v>
      </c>
      <c r="C1785" s="1">
        <v>44259</v>
      </c>
      <c r="D1785">
        <v>2411</v>
      </c>
      <c r="E1785" t="s">
        <v>23</v>
      </c>
      <c r="F1785" t="s">
        <v>31</v>
      </c>
      <c r="G1785" t="s">
        <v>28</v>
      </c>
      <c r="H1785">
        <v>55.2</v>
      </c>
      <c r="I1785">
        <v>73.239999999999995</v>
      </c>
      <c r="J1785">
        <v>0.2306</v>
      </c>
      <c r="K1785">
        <v>0.51370000000000005</v>
      </c>
      <c r="L1785">
        <v>0.25569999999999998</v>
      </c>
      <c r="M1785">
        <v>0.99</v>
      </c>
      <c r="N1785">
        <v>1.61</v>
      </c>
      <c r="O1785">
        <v>11.6</v>
      </c>
      <c r="P1785">
        <v>32.4</v>
      </c>
      <c r="Q1785">
        <v>0</v>
      </c>
      <c r="R1785">
        <v>1</v>
      </c>
      <c r="S1785">
        <v>1.07</v>
      </c>
      <c r="T1785">
        <v>1.39</v>
      </c>
      <c r="U1785">
        <v>2.0099999999999998</v>
      </c>
      <c r="V1785">
        <v>1.35</v>
      </c>
      <c r="W1785">
        <v>0</v>
      </c>
      <c r="X1785">
        <v>1.05</v>
      </c>
    </row>
    <row r="1786" spans="2:24" hidden="1" x14ac:dyDescent="0.35">
      <c r="B1786">
        <v>2020</v>
      </c>
      <c r="C1786" s="1">
        <v>44259</v>
      </c>
      <c r="D1786">
        <v>2411</v>
      </c>
      <c r="E1786" t="s">
        <v>23</v>
      </c>
      <c r="F1786" t="s">
        <v>48</v>
      </c>
      <c r="G1786" t="s">
        <v>29</v>
      </c>
      <c r="H1786">
        <v>70.400000000000006</v>
      </c>
      <c r="I1786">
        <v>79.239999999999995</v>
      </c>
      <c r="J1786">
        <v>0.30859999999999999</v>
      </c>
      <c r="K1786">
        <v>0.41760000000000003</v>
      </c>
      <c r="L1786">
        <v>0.27379999999999999</v>
      </c>
      <c r="M1786">
        <v>1.1399999999999999</v>
      </c>
      <c r="N1786">
        <v>1.37</v>
      </c>
      <c r="O1786">
        <v>55.9</v>
      </c>
      <c r="P1786">
        <v>46.4</v>
      </c>
      <c r="Q1786">
        <v>0</v>
      </c>
      <c r="R1786">
        <v>1</v>
      </c>
      <c r="S1786">
        <v>1.21</v>
      </c>
      <c r="T1786">
        <v>1.84</v>
      </c>
      <c r="U1786">
        <v>1.5</v>
      </c>
      <c r="V1786">
        <v>0.88</v>
      </c>
      <c r="W1786">
        <v>0</v>
      </c>
      <c r="X1786">
        <v>1.05</v>
      </c>
    </row>
    <row r="1787" spans="2:24" hidden="1" x14ac:dyDescent="0.35">
      <c r="B1787">
        <v>2020</v>
      </c>
      <c r="C1787" s="1">
        <v>44259</v>
      </c>
      <c r="D1787">
        <v>2411</v>
      </c>
      <c r="E1787" t="s">
        <v>23</v>
      </c>
      <c r="F1787" t="s">
        <v>41</v>
      </c>
      <c r="G1787" t="s">
        <v>42</v>
      </c>
      <c r="H1787">
        <v>88.54</v>
      </c>
      <c r="I1787">
        <v>88.07</v>
      </c>
      <c r="J1787">
        <v>0.44890000000000002</v>
      </c>
      <c r="K1787">
        <v>0.28920000000000001</v>
      </c>
      <c r="L1787">
        <v>0.26190000000000002</v>
      </c>
      <c r="M1787">
        <v>1.51</v>
      </c>
      <c r="N1787">
        <v>1.1599999999999999</v>
      </c>
      <c r="O1787">
        <v>100</v>
      </c>
      <c r="P1787">
        <v>100</v>
      </c>
      <c r="Q1787">
        <v>0</v>
      </c>
      <c r="R1787">
        <v>1</v>
      </c>
      <c r="S1787">
        <v>0.28000000000000003</v>
      </c>
      <c r="T1787">
        <v>1.25</v>
      </c>
      <c r="U1787">
        <v>2.04</v>
      </c>
      <c r="V1787">
        <v>0.98</v>
      </c>
      <c r="W1787">
        <v>0</v>
      </c>
      <c r="X1787">
        <v>1.05</v>
      </c>
    </row>
    <row r="1788" spans="2:24" hidden="1" x14ac:dyDescent="0.35">
      <c r="B1788">
        <v>2020</v>
      </c>
      <c r="C1788" s="1">
        <v>44261</v>
      </c>
      <c r="D1788">
        <v>2411</v>
      </c>
      <c r="E1788" t="s">
        <v>23</v>
      </c>
      <c r="F1788" t="s">
        <v>32</v>
      </c>
      <c r="G1788" t="s">
        <v>40</v>
      </c>
      <c r="H1788">
        <v>67.42</v>
      </c>
      <c r="I1788">
        <v>82.44</v>
      </c>
      <c r="J1788">
        <v>0.24510000000000001</v>
      </c>
      <c r="K1788">
        <v>0.48039999999999999</v>
      </c>
      <c r="L1788">
        <v>0.27460000000000001</v>
      </c>
      <c r="M1788">
        <v>0.94</v>
      </c>
      <c r="N1788">
        <v>1.43</v>
      </c>
      <c r="O1788">
        <v>21.7</v>
      </c>
      <c r="P1788">
        <v>20.7</v>
      </c>
      <c r="Q1788">
        <v>1</v>
      </c>
      <c r="R1788">
        <v>1</v>
      </c>
      <c r="S1788">
        <v>1.28</v>
      </c>
      <c r="T1788">
        <v>2.8</v>
      </c>
      <c r="U1788">
        <v>1</v>
      </c>
      <c r="V1788">
        <v>1.51</v>
      </c>
      <c r="W1788">
        <v>1.05</v>
      </c>
      <c r="X1788">
        <v>1.05</v>
      </c>
    </row>
    <row r="1789" spans="2:24" hidden="1" x14ac:dyDescent="0.35">
      <c r="B1789">
        <v>2020</v>
      </c>
      <c r="C1789" s="1">
        <v>44261</v>
      </c>
      <c r="D1789">
        <v>2411</v>
      </c>
      <c r="E1789" t="s">
        <v>23</v>
      </c>
      <c r="F1789" t="s">
        <v>51</v>
      </c>
      <c r="G1789" t="s">
        <v>34</v>
      </c>
      <c r="H1789">
        <v>63.1</v>
      </c>
      <c r="I1789">
        <v>68.400000000000006</v>
      </c>
      <c r="J1789">
        <v>0.35049999999999998</v>
      </c>
      <c r="K1789">
        <v>0.35020000000000001</v>
      </c>
      <c r="L1789">
        <v>0.29930000000000001</v>
      </c>
      <c r="M1789">
        <v>1.1000000000000001</v>
      </c>
      <c r="N1789">
        <v>1.1000000000000001</v>
      </c>
      <c r="O1789">
        <v>9.8000000000000007</v>
      </c>
      <c r="P1789">
        <v>10</v>
      </c>
      <c r="Q1789">
        <v>0</v>
      </c>
      <c r="R1789">
        <v>2</v>
      </c>
      <c r="S1789">
        <v>1</v>
      </c>
      <c r="T1789">
        <v>2.11</v>
      </c>
      <c r="U1789">
        <v>1.22</v>
      </c>
      <c r="V1789">
        <v>1.02</v>
      </c>
      <c r="W1789">
        <v>0</v>
      </c>
      <c r="X1789">
        <v>2.1</v>
      </c>
    </row>
    <row r="1790" spans="2:24" hidden="1" x14ac:dyDescent="0.35">
      <c r="B1790">
        <v>2020</v>
      </c>
      <c r="C1790" s="1">
        <v>44261</v>
      </c>
      <c r="D1790">
        <v>2411</v>
      </c>
      <c r="E1790" t="s">
        <v>23</v>
      </c>
      <c r="F1790" t="s">
        <v>52</v>
      </c>
      <c r="G1790" t="s">
        <v>49</v>
      </c>
      <c r="H1790">
        <v>75.540000000000006</v>
      </c>
      <c r="I1790">
        <v>71.91</v>
      </c>
      <c r="J1790">
        <v>0.49340000000000001</v>
      </c>
      <c r="K1790">
        <v>0.23860000000000001</v>
      </c>
      <c r="L1790">
        <v>0.2681</v>
      </c>
      <c r="M1790">
        <v>1.49</v>
      </c>
      <c r="N1790">
        <v>0.95</v>
      </c>
      <c r="O1790">
        <v>19.899999999999999</v>
      </c>
      <c r="P1790">
        <v>0.9</v>
      </c>
      <c r="Q1790">
        <v>0</v>
      </c>
      <c r="R1790">
        <v>0</v>
      </c>
      <c r="S1790">
        <v>0.95</v>
      </c>
      <c r="T1790">
        <v>1.84</v>
      </c>
      <c r="U1790">
        <v>0.46</v>
      </c>
      <c r="V1790">
        <v>0.79</v>
      </c>
      <c r="W1790">
        <v>0</v>
      </c>
      <c r="X1790">
        <v>0</v>
      </c>
    </row>
    <row r="1791" spans="2:24" hidden="1" x14ac:dyDescent="0.35">
      <c r="B1791">
        <v>2020</v>
      </c>
      <c r="C1791" s="1">
        <v>44261</v>
      </c>
      <c r="D1791">
        <v>2411</v>
      </c>
      <c r="E1791" t="s">
        <v>23</v>
      </c>
      <c r="F1791" t="s">
        <v>45</v>
      </c>
      <c r="G1791" t="s">
        <v>25</v>
      </c>
      <c r="H1791">
        <v>77.28</v>
      </c>
      <c r="I1791">
        <v>76.39</v>
      </c>
      <c r="J1791">
        <v>0.36180000000000001</v>
      </c>
      <c r="K1791">
        <v>0.35389999999999999</v>
      </c>
      <c r="L1791">
        <v>0.2843</v>
      </c>
      <c r="M1791">
        <v>1.2</v>
      </c>
      <c r="N1791">
        <v>1.19</v>
      </c>
      <c r="O1791">
        <v>15.7</v>
      </c>
      <c r="P1791">
        <v>89.7</v>
      </c>
      <c r="Q1791">
        <v>1</v>
      </c>
      <c r="R1791">
        <v>2</v>
      </c>
      <c r="S1791">
        <v>0.8</v>
      </c>
      <c r="T1791">
        <v>1.1599999999999999</v>
      </c>
      <c r="U1791">
        <v>1.61</v>
      </c>
      <c r="V1791">
        <v>1.03</v>
      </c>
      <c r="W1791">
        <v>1.05</v>
      </c>
      <c r="X1791">
        <v>2.1</v>
      </c>
    </row>
    <row r="1792" spans="2:24" hidden="1" x14ac:dyDescent="0.35">
      <c r="B1792">
        <v>2020</v>
      </c>
      <c r="C1792" s="1">
        <v>44262</v>
      </c>
      <c r="D1792">
        <v>2411</v>
      </c>
      <c r="E1792" t="s">
        <v>23</v>
      </c>
      <c r="F1792" t="s">
        <v>31</v>
      </c>
      <c r="G1792" t="s">
        <v>46</v>
      </c>
      <c r="H1792">
        <v>55.58</v>
      </c>
      <c r="I1792">
        <v>63.02</v>
      </c>
      <c r="J1792">
        <v>0.31580000000000003</v>
      </c>
      <c r="K1792">
        <v>0.40389999999999998</v>
      </c>
      <c r="L1792">
        <v>0.28029999999999999</v>
      </c>
      <c r="M1792">
        <v>1.1200000000000001</v>
      </c>
      <c r="N1792">
        <v>1.31</v>
      </c>
      <c r="O1792">
        <v>8</v>
      </c>
      <c r="P1792">
        <v>45.2</v>
      </c>
      <c r="Q1792">
        <v>0</v>
      </c>
      <c r="R1792">
        <v>0</v>
      </c>
      <c r="S1792">
        <v>1.59</v>
      </c>
      <c r="T1792">
        <v>0.52</v>
      </c>
      <c r="U1792">
        <v>1.95</v>
      </c>
      <c r="V1792">
        <v>1.1000000000000001</v>
      </c>
      <c r="W1792">
        <v>0</v>
      </c>
      <c r="X1792">
        <v>0</v>
      </c>
    </row>
    <row r="1793" spans="2:24" hidden="1" x14ac:dyDescent="0.35">
      <c r="B1793">
        <v>2020</v>
      </c>
      <c r="C1793" s="1">
        <v>44262</v>
      </c>
      <c r="D1793">
        <v>2411</v>
      </c>
      <c r="E1793" t="s">
        <v>23</v>
      </c>
      <c r="F1793" t="s">
        <v>41</v>
      </c>
      <c r="G1793" t="s">
        <v>48</v>
      </c>
      <c r="H1793">
        <v>88.17</v>
      </c>
      <c r="I1793">
        <v>70.34</v>
      </c>
      <c r="J1793">
        <v>0.70960000000000001</v>
      </c>
      <c r="K1793">
        <v>9.6299999999999997E-2</v>
      </c>
      <c r="L1793">
        <v>0.19409999999999999</v>
      </c>
      <c r="M1793">
        <v>2.04</v>
      </c>
      <c r="N1793">
        <v>0.6</v>
      </c>
      <c r="O1793">
        <v>91.7</v>
      </c>
      <c r="P1793">
        <v>58.1</v>
      </c>
      <c r="Q1793">
        <v>0</v>
      </c>
      <c r="R1793">
        <v>1</v>
      </c>
      <c r="S1793">
        <v>1.02</v>
      </c>
      <c r="T1793">
        <v>1.45</v>
      </c>
      <c r="U1793">
        <v>1.91</v>
      </c>
      <c r="V1793">
        <v>0.57999999999999996</v>
      </c>
      <c r="W1793">
        <v>0</v>
      </c>
      <c r="X1793">
        <v>1.05</v>
      </c>
    </row>
    <row r="1794" spans="2:24" hidden="1" x14ac:dyDescent="0.35">
      <c r="B1794">
        <v>2020</v>
      </c>
      <c r="C1794" s="1">
        <v>44262</v>
      </c>
      <c r="D1794">
        <v>2411</v>
      </c>
      <c r="E1794" t="s">
        <v>23</v>
      </c>
      <c r="F1794" t="s">
        <v>36</v>
      </c>
      <c r="G1794" t="s">
        <v>39</v>
      </c>
      <c r="H1794">
        <v>93.73</v>
      </c>
      <c r="I1794">
        <v>86.89</v>
      </c>
      <c r="J1794">
        <v>0.58379999999999999</v>
      </c>
      <c r="K1794">
        <v>0.1837</v>
      </c>
      <c r="L1794">
        <v>0.23250000000000001</v>
      </c>
      <c r="M1794">
        <v>1.83</v>
      </c>
      <c r="N1794">
        <v>0.92</v>
      </c>
      <c r="O1794">
        <v>3.5</v>
      </c>
      <c r="P1794">
        <v>51.7</v>
      </c>
      <c r="Q1794">
        <v>0</v>
      </c>
      <c r="R1794">
        <v>2</v>
      </c>
      <c r="S1794">
        <v>1.67</v>
      </c>
      <c r="T1794">
        <v>2.1800000000000002</v>
      </c>
      <c r="U1794">
        <v>2.74</v>
      </c>
      <c r="V1794">
        <v>0.82</v>
      </c>
      <c r="W1794">
        <v>0</v>
      </c>
      <c r="X1794">
        <v>2.1</v>
      </c>
    </row>
    <row r="1795" spans="2:24" hidden="1" x14ac:dyDescent="0.35">
      <c r="B1795">
        <v>2020</v>
      </c>
      <c r="C1795" s="1">
        <v>44262</v>
      </c>
      <c r="D1795">
        <v>2411</v>
      </c>
      <c r="E1795" t="s">
        <v>23</v>
      </c>
      <c r="F1795" t="s">
        <v>29</v>
      </c>
      <c r="G1795" t="s">
        <v>30</v>
      </c>
      <c r="H1795">
        <v>79.42</v>
      </c>
      <c r="I1795">
        <v>62.08</v>
      </c>
      <c r="J1795">
        <v>0.67620000000000002</v>
      </c>
      <c r="K1795">
        <v>0.11990000000000001</v>
      </c>
      <c r="L1795">
        <v>0.20399999999999999</v>
      </c>
      <c r="M1795">
        <v>2.02</v>
      </c>
      <c r="N1795">
        <v>0.71</v>
      </c>
      <c r="O1795">
        <v>49.9</v>
      </c>
      <c r="P1795">
        <v>5.4</v>
      </c>
      <c r="Q1795">
        <v>4</v>
      </c>
      <c r="R1795">
        <v>1</v>
      </c>
      <c r="S1795">
        <v>2.65</v>
      </c>
      <c r="T1795">
        <v>0.57999999999999996</v>
      </c>
      <c r="U1795">
        <v>1.81</v>
      </c>
      <c r="V1795">
        <v>0.61</v>
      </c>
      <c r="W1795">
        <v>4.04</v>
      </c>
      <c r="X1795">
        <v>1.05</v>
      </c>
    </row>
    <row r="1796" spans="2:24" hidden="1" x14ac:dyDescent="0.35">
      <c r="B1796">
        <v>2020</v>
      </c>
      <c r="C1796" s="1">
        <v>44263</v>
      </c>
      <c r="D1796">
        <v>2411</v>
      </c>
      <c r="E1796" t="s">
        <v>23</v>
      </c>
      <c r="F1796" t="s">
        <v>42</v>
      </c>
      <c r="G1796" t="s">
        <v>28</v>
      </c>
      <c r="H1796">
        <v>88.59</v>
      </c>
      <c r="I1796">
        <v>73.03</v>
      </c>
      <c r="J1796">
        <v>0.6603</v>
      </c>
      <c r="K1796">
        <v>0.1178</v>
      </c>
      <c r="L1796">
        <v>0.2218</v>
      </c>
      <c r="M1796">
        <v>1.83</v>
      </c>
      <c r="N1796">
        <v>0.62</v>
      </c>
      <c r="O1796">
        <v>100</v>
      </c>
      <c r="P1796">
        <v>61.3</v>
      </c>
      <c r="Q1796">
        <v>2</v>
      </c>
      <c r="R1796">
        <v>0</v>
      </c>
      <c r="S1796">
        <v>2.71</v>
      </c>
      <c r="T1796">
        <v>0.33</v>
      </c>
      <c r="U1796">
        <v>1.21</v>
      </c>
      <c r="V1796">
        <v>0.45</v>
      </c>
      <c r="W1796">
        <v>2.1</v>
      </c>
      <c r="X1796">
        <v>0</v>
      </c>
    </row>
    <row r="1797" spans="2:24" hidden="1" x14ac:dyDescent="0.35">
      <c r="B1797">
        <v>2020</v>
      </c>
      <c r="C1797" s="1">
        <v>44263</v>
      </c>
      <c r="D1797">
        <v>2411</v>
      </c>
      <c r="E1797" t="s">
        <v>23</v>
      </c>
      <c r="F1797" t="s">
        <v>43</v>
      </c>
      <c r="G1797" t="s">
        <v>53</v>
      </c>
      <c r="H1797">
        <v>77.66</v>
      </c>
      <c r="I1797">
        <v>71.2</v>
      </c>
      <c r="J1797">
        <v>0.55249999999999999</v>
      </c>
      <c r="K1797">
        <v>0.21970000000000001</v>
      </c>
      <c r="L1797">
        <v>0.2278</v>
      </c>
      <c r="M1797">
        <v>1.91</v>
      </c>
      <c r="N1797">
        <v>1.1299999999999999</v>
      </c>
      <c r="O1797">
        <v>62.5</v>
      </c>
      <c r="P1797">
        <v>0.7</v>
      </c>
      <c r="Q1797">
        <v>2</v>
      </c>
      <c r="R1797">
        <v>0</v>
      </c>
      <c r="S1797">
        <v>2.77</v>
      </c>
      <c r="T1797">
        <v>1.58</v>
      </c>
      <c r="U1797">
        <v>0.86</v>
      </c>
      <c r="V1797">
        <v>1.43</v>
      </c>
      <c r="W1797">
        <v>2.1</v>
      </c>
      <c r="X1797">
        <v>0</v>
      </c>
    </row>
    <row r="1798" spans="2:24" hidden="1" x14ac:dyDescent="0.35">
      <c r="B1798">
        <v>2020</v>
      </c>
      <c r="C1798" s="1">
        <v>44265</v>
      </c>
      <c r="D1798">
        <v>2411</v>
      </c>
      <c r="E1798" t="s">
        <v>23</v>
      </c>
      <c r="F1798" t="s">
        <v>36</v>
      </c>
      <c r="G1798" t="s">
        <v>34</v>
      </c>
      <c r="H1798">
        <v>93.58</v>
      </c>
      <c r="I1798">
        <v>69.55</v>
      </c>
      <c r="J1798">
        <v>0.85029999999999994</v>
      </c>
      <c r="K1798">
        <v>3.1399999999999997E-2</v>
      </c>
      <c r="L1798">
        <v>0.1183</v>
      </c>
      <c r="M1798">
        <v>2.54</v>
      </c>
      <c r="N1798">
        <v>0.32</v>
      </c>
      <c r="O1798">
        <v>12.2</v>
      </c>
      <c r="P1798">
        <v>2.6</v>
      </c>
      <c r="Q1798">
        <v>5</v>
      </c>
      <c r="R1798">
        <v>2</v>
      </c>
      <c r="S1798">
        <v>3.28</v>
      </c>
      <c r="T1798">
        <v>1.75</v>
      </c>
      <c r="U1798">
        <v>1.53</v>
      </c>
      <c r="V1798">
        <v>0.65</v>
      </c>
      <c r="W1798">
        <v>5.25</v>
      </c>
      <c r="X1798">
        <v>2.1</v>
      </c>
    </row>
    <row r="1799" spans="2:24" hidden="1" x14ac:dyDescent="0.35">
      <c r="B1799">
        <v>2020</v>
      </c>
      <c r="C1799" s="1">
        <v>44267</v>
      </c>
      <c r="D1799">
        <v>2411</v>
      </c>
      <c r="E1799" t="s">
        <v>23</v>
      </c>
      <c r="F1799" t="s">
        <v>46</v>
      </c>
      <c r="G1799" t="s">
        <v>52</v>
      </c>
      <c r="H1799">
        <v>62.44</v>
      </c>
      <c r="I1799">
        <v>74.88</v>
      </c>
      <c r="J1799">
        <v>0.32750000000000001</v>
      </c>
      <c r="K1799">
        <v>0.39660000000000001</v>
      </c>
      <c r="L1799">
        <v>0.27589999999999998</v>
      </c>
      <c r="M1799">
        <v>1.18</v>
      </c>
      <c r="N1799">
        <v>1.32</v>
      </c>
      <c r="O1799">
        <v>57.7</v>
      </c>
      <c r="P1799">
        <v>10</v>
      </c>
      <c r="Q1799">
        <v>1</v>
      </c>
      <c r="R1799">
        <v>1</v>
      </c>
      <c r="S1799">
        <v>1.25</v>
      </c>
      <c r="T1799">
        <v>0.78</v>
      </c>
      <c r="U1799">
        <v>1.1299999999999999</v>
      </c>
      <c r="V1799">
        <v>0.93</v>
      </c>
      <c r="W1799">
        <v>1.05</v>
      </c>
      <c r="X1799">
        <v>1.05</v>
      </c>
    </row>
    <row r="1800" spans="2:24" hidden="1" x14ac:dyDescent="0.35">
      <c r="B1800">
        <v>2020</v>
      </c>
      <c r="C1800" s="1">
        <v>44268</v>
      </c>
      <c r="D1800">
        <v>2411</v>
      </c>
      <c r="E1800" t="s">
        <v>23</v>
      </c>
      <c r="F1800" t="s">
        <v>53</v>
      </c>
      <c r="G1800" t="s">
        <v>42</v>
      </c>
      <c r="H1800">
        <v>70.87</v>
      </c>
      <c r="I1800">
        <v>89.17</v>
      </c>
      <c r="J1800">
        <v>0.16550000000000001</v>
      </c>
      <c r="K1800">
        <v>0.61229999999999996</v>
      </c>
      <c r="L1800">
        <v>0.2223</v>
      </c>
      <c r="M1800">
        <v>0.88</v>
      </c>
      <c r="N1800">
        <v>1.92</v>
      </c>
      <c r="O1800">
        <v>0.9</v>
      </c>
      <c r="P1800">
        <v>83.9</v>
      </c>
      <c r="Q1800">
        <v>0</v>
      </c>
      <c r="R1800">
        <v>0</v>
      </c>
      <c r="S1800">
        <v>0.44</v>
      </c>
      <c r="T1800">
        <v>1.06</v>
      </c>
      <c r="U1800">
        <v>1.1599999999999999</v>
      </c>
      <c r="V1800">
        <v>1.65</v>
      </c>
      <c r="W1800">
        <v>0</v>
      </c>
      <c r="X1800">
        <v>0</v>
      </c>
    </row>
    <row r="1801" spans="2:24" hidden="1" x14ac:dyDescent="0.35">
      <c r="B1801">
        <v>2020</v>
      </c>
      <c r="C1801" s="1">
        <v>44268</v>
      </c>
      <c r="D1801">
        <v>2411</v>
      </c>
      <c r="E1801" t="s">
        <v>23</v>
      </c>
      <c r="F1801" t="s">
        <v>30</v>
      </c>
      <c r="G1801" t="s">
        <v>31</v>
      </c>
      <c r="H1801">
        <v>61.02</v>
      </c>
      <c r="I1801">
        <v>56.59</v>
      </c>
      <c r="J1801">
        <v>0.47370000000000001</v>
      </c>
      <c r="K1801">
        <v>0.25080000000000002</v>
      </c>
      <c r="L1801">
        <v>0.27550000000000002</v>
      </c>
      <c r="M1801">
        <v>1.42</v>
      </c>
      <c r="N1801">
        <v>0.96</v>
      </c>
      <c r="O1801">
        <v>14</v>
      </c>
      <c r="P1801">
        <v>3</v>
      </c>
      <c r="Q1801">
        <v>1</v>
      </c>
      <c r="R1801">
        <v>0</v>
      </c>
      <c r="S1801">
        <v>1.23</v>
      </c>
      <c r="T1801">
        <v>0.74</v>
      </c>
      <c r="U1801">
        <v>0.72</v>
      </c>
      <c r="V1801">
        <v>1.8</v>
      </c>
      <c r="W1801">
        <v>1.05</v>
      </c>
      <c r="X1801">
        <v>0</v>
      </c>
    </row>
    <row r="1802" spans="2:24" hidden="1" x14ac:dyDescent="0.35">
      <c r="B1802">
        <v>2020</v>
      </c>
      <c r="C1802" s="1">
        <v>44268</v>
      </c>
      <c r="D1802">
        <v>2411</v>
      </c>
      <c r="E1802" t="s">
        <v>23</v>
      </c>
      <c r="F1802" t="s">
        <v>28</v>
      </c>
      <c r="G1802" t="s">
        <v>32</v>
      </c>
      <c r="H1802">
        <v>72.260000000000005</v>
      </c>
      <c r="I1802">
        <v>67.2</v>
      </c>
      <c r="J1802">
        <v>0.48320000000000002</v>
      </c>
      <c r="K1802">
        <v>0.23860000000000001</v>
      </c>
      <c r="L1802">
        <v>0.2782</v>
      </c>
      <c r="M1802">
        <v>1.41</v>
      </c>
      <c r="N1802">
        <v>0.9</v>
      </c>
      <c r="O1802">
        <v>26</v>
      </c>
      <c r="P1802">
        <v>25.4</v>
      </c>
      <c r="Q1802">
        <v>1</v>
      </c>
      <c r="R1802">
        <v>2</v>
      </c>
      <c r="S1802">
        <v>1.78</v>
      </c>
      <c r="T1802">
        <v>0.81</v>
      </c>
      <c r="U1802">
        <v>1.86</v>
      </c>
      <c r="V1802">
        <v>1.57</v>
      </c>
      <c r="W1802">
        <v>1.05</v>
      </c>
      <c r="X1802">
        <v>2.1</v>
      </c>
    </row>
    <row r="1803" spans="2:24" hidden="1" x14ac:dyDescent="0.35">
      <c r="B1803">
        <v>2020</v>
      </c>
      <c r="C1803" s="1">
        <v>44268</v>
      </c>
      <c r="D1803">
        <v>2411</v>
      </c>
      <c r="E1803" t="s">
        <v>23</v>
      </c>
      <c r="F1803" t="s">
        <v>48</v>
      </c>
      <c r="G1803" t="s">
        <v>36</v>
      </c>
      <c r="H1803">
        <v>71.75</v>
      </c>
      <c r="I1803">
        <v>93.83</v>
      </c>
      <c r="J1803">
        <v>0.1434</v>
      </c>
      <c r="K1803">
        <v>0.6381</v>
      </c>
      <c r="L1803">
        <v>0.2185</v>
      </c>
      <c r="M1803">
        <v>0.78</v>
      </c>
      <c r="N1803">
        <v>1.92</v>
      </c>
      <c r="O1803">
        <v>50.4</v>
      </c>
      <c r="P1803">
        <v>4.8</v>
      </c>
      <c r="Q1803">
        <v>0</v>
      </c>
      <c r="R1803">
        <v>3</v>
      </c>
      <c r="S1803">
        <v>0.56000000000000005</v>
      </c>
      <c r="T1803">
        <v>2.35</v>
      </c>
      <c r="U1803">
        <v>0.93</v>
      </c>
      <c r="V1803">
        <v>1.24</v>
      </c>
      <c r="W1803">
        <v>0</v>
      </c>
      <c r="X1803">
        <v>3.15</v>
      </c>
    </row>
    <row r="1804" spans="2:24" hidden="1" x14ac:dyDescent="0.35">
      <c r="B1804">
        <v>2020</v>
      </c>
      <c r="C1804" s="1">
        <v>44269</v>
      </c>
      <c r="D1804">
        <v>2411</v>
      </c>
      <c r="E1804" t="s">
        <v>23</v>
      </c>
      <c r="F1804" t="s">
        <v>34</v>
      </c>
      <c r="G1804" t="s">
        <v>45</v>
      </c>
      <c r="H1804">
        <v>70.239999999999995</v>
      </c>
      <c r="I1804">
        <v>76.650000000000006</v>
      </c>
      <c r="J1804">
        <v>0.33029999999999998</v>
      </c>
      <c r="K1804">
        <v>0.3952</v>
      </c>
      <c r="L1804">
        <v>0.27450000000000002</v>
      </c>
      <c r="M1804">
        <v>1.19</v>
      </c>
      <c r="N1804">
        <v>1.33</v>
      </c>
      <c r="O1804">
        <v>4.8</v>
      </c>
      <c r="P1804">
        <v>31.2</v>
      </c>
      <c r="Q1804">
        <v>1</v>
      </c>
      <c r="R1804">
        <v>2</v>
      </c>
      <c r="S1804">
        <v>0.92</v>
      </c>
      <c r="T1804">
        <v>0.86</v>
      </c>
      <c r="U1804">
        <v>0.95</v>
      </c>
      <c r="V1804">
        <v>0.59</v>
      </c>
      <c r="W1804">
        <v>1.05</v>
      </c>
      <c r="X1804">
        <v>2.1</v>
      </c>
    </row>
    <row r="1805" spans="2:24" hidden="1" x14ac:dyDescent="0.35">
      <c r="B1805">
        <v>2020</v>
      </c>
      <c r="C1805" s="1">
        <v>44269</v>
      </c>
      <c r="D1805">
        <v>2411</v>
      </c>
      <c r="E1805" t="s">
        <v>23</v>
      </c>
      <c r="F1805" t="s">
        <v>25</v>
      </c>
      <c r="G1805" t="s">
        <v>51</v>
      </c>
      <c r="H1805">
        <v>76.94</v>
      </c>
      <c r="I1805">
        <v>61.77</v>
      </c>
      <c r="J1805">
        <v>0.68089999999999995</v>
      </c>
      <c r="K1805">
        <v>9.7100000000000006E-2</v>
      </c>
      <c r="L1805">
        <v>0.222</v>
      </c>
      <c r="M1805">
        <v>1.78</v>
      </c>
      <c r="N1805">
        <v>0.5</v>
      </c>
      <c r="O1805">
        <v>95.5</v>
      </c>
      <c r="P1805">
        <v>2.7</v>
      </c>
      <c r="Q1805">
        <v>5</v>
      </c>
      <c r="R1805">
        <v>0</v>
      </c>
      <c r="S1805">
        <v>4.5599999999999996</v>
      </c>
      <c r="T1805">
        <v>0.09</v>
      </c>
      <c r="U1805">
        <v>2.0299999999999998</v>
      </c>
      <c r="V1805">
        <v>0.36</v>
      </c>
      <c r="W1805">
        <v>4.83</v>
      </c>
      <c r="X1805">
        <v>0</v>
      </c>
    </row>
    <row r="1806" spans="2:24" hidden="1" x14ac:dyDescent="0.35">
      <c r="B1806">
        <v>2020</v>
      </c>
      <c r="C1806" s="1">
        <v>44269</v>
      </c>
      <c r="D1806">
        <v>2411</v>
      </c>
      <c r="E1806" t="s">
        <v>23</v>
      </c>
      <c r="F1806" t="s">
        <v>40</v>
      </c>
      <c r="G1806" t="s">
        <v>29</v>
      </c>
      <c r="H1806">
        <v>83.38</v>
      </c>
      <c r="I1806">
        <v>80.7</v>
      </c>
      <c r="J1806">
        <v>0.40899999999999997</v>
      </c>
      <c r="K1806">
        <v>0.3332</v>
      </c>
      <c r="L1806">
        <v>0.25779999999999997</v>
      </c>
      <c r="M1806">
        <v>1.49</v>
      </c>
      <c r="N1806">
        <v>1.32</v>
      </c>
      <c r="O1806">
        <v>13.7</v>
      </c>
      <c r="P1806">
        <v>71.7</v>
      </c>
      <c r="Q1806">
        <v>2</v>
      </c>
      <c r="R1806">
        <v>1</v>
      </c>
      <c r="S1806">
        <v>1.95</v>
      </c>
      <c r="T1806">
        <v>0.68</v>
      </c>
      <c r="U1806">
        <v>1.39</v>
      </c>
      <c r="V1806">
        <v>0.52</v>
      </c>
      <c r="W1806">
        <v>2.1</v>
      </c>
      <c r="X1806">
        <v>1.05</v>
      </c>
    </row>
    <row r="1807" spans="2:24" hidden="1" x14ac:dyDescent="0.35">
      <c r="B1807">
        <v>2020</v>
      </c>
      <c r="C1807" s="1">
        <v>44269</v>
      </c>
      <c r="D1807">
        <v>2411</v>
      </c>
      <c r="E1807" t="s">
        <v>23</v>
      </c>
      <c r="F1807" t="s">
        <v>39</v>
      </c>
      <c r="G1807" t="s">
        <v>43</v>
      </c>
      <c r="H1807">
        <v>87.36</v>
      </c>
      <c r="I1807">
        <v>78</v>
      </c>
      <c r="J1807">
        <v>0.53249999999999997</v>
      </c>
      <c r="K1807">
        <v>0.22720000000000001</v>
      </c>
      <c r="L1807">
        <v>0.24030000000000001</v>
      </c>
      <c r="M1807">
        <v>1.77</v>
      </c>
      <c r="N1807">
        <v>1.07</v>
      </c>
      <c r="O1807">
        <v>50.3</v>
      </c>
      <c r="P1807">
        <v>88.7</v>
      </c>
      <c r="Q1807">
        <v>1</v>
      </c>
      <c r="R1807">
        <v>0</v>
      </c>
      <c r="S1807">
        <v>1.67</v>
      </c>
      <c r="T1807">
        <v>0.64</v>
      </c>
      <c r="U1807">
        <v>2.16</v>
      </c>
      <c r="V1807">
        <v>0.61</v>
      </c>
      <c r="W1807">
        <v>1.05</v>
      </c>
      <c r="X1807">
        <v>0</v>
      </c>
    </row>
    <row r="1808" spans="2:24" hidden="1" x14ac:dyDescent="0.35">
      <c r="B1808">
        <v>2020</v>
      </c>
      <c r="C1808" s="1">
        <v>44270</v>
      </c>
      <c r="D1808">
        <v>2411</v>
      </c>
      <c r="E1808" t="s">
        <v>23</v>
      </c>
      <c r="F1808" t="s">
        <v>49</v>
      </c>
      <c r="G1808" t="s">
        <v>41</v>
      </c>
      <c r="H1808">
        <v>73.03</v>
      </c>
      <c r="I1808">
        <v>87.71</v>
      </c>
      <c r="J1808">
        <v>0.18060000000000001</v>
      </c>
      <c r="K1808">
        <v>0.58169999999999999</v>
      </c>
      <c r="L1808">
        <v>0.23769999999999999</v>
      </c>
      <c r="M1808">
        <v>0.87</v>
      </c>
      <c r="N1808">
        <v>1.77</v>
      </c>
      <c r="O1808">
        <v>0.9</v>
      </c>
      <c r="P1808">
        <v>65</v>
      </c>
      <c r="Q1808">
        <v>0</v>
      </c>
      <c r="R1808">
        <v>1</v>
      </c>
      <c r="S1808">
        <v>1.37</v>
      </c>
      <c r="T1808">
        <v>0.97</v>
      </c>
      <c r="U1808">
        <v>0.88</v>
      </c>
      <c r="V1808">
        <v>2.21</v>
      </c>
      <c r="W1808">
        <v>0</v>
      </c>
      <c r="X1808">
        <v>1.05</v>
      </c>
    </row>
    <row r="1809" spans="2:24" hidden="1" x14ac:dyDescent="0.35">
      <c r="B1809">
        <v>2020</v>
      </c>
      <c r="C1809" s="1">
        <v>44274</v>
      </c>
      <c r="D1809">
        <v>2411</v>
      </c>
      <c r="E1809" t="s">
        <v>23</v>
      </c>
      <c r="F1809" t="s">
        <v>48</v>
      </c>
      <c r="G1809" t="s">
        <v>53</v>
      </c>
      <c r="H1809">
        <v>71.28</v>
      </c>
      <c r="I1809">
        <v>71.14</v>
      </c>
      <c r="J1809">
        <v>0.44640000000000002</v>
      </c>
      <c r="K1809">
        <v>0.28179999999999999</v>
      </c>
      <c r="L1809">
        <v>0.27179999999999999</v>
      </c>
      <c r="M1809">
        <v>1.43</v>
      </c>
      <c r="N1809">
        <v>1.07</v>
      </c>
      <c r="O1809">
        <v>56.9</v>
      </c>
      <c r="P1809">
        <v>0.8</v>
      </c>
      <c r="Q1809">
        <v>1</v>
      </c>
      <c r="R1809">
        <v>2</v>
      </c>
      <c r="S1809">
        <v>1.49</v>
      </c>
      <c r="T1809">
        <v>1.33</v>
      </c>
      <c r="U1809">
        <v>1.41</v>
      </c>
      <c r="V1809">
        <v>1.18</v>
      </c>
      <c r="W1809">
        <v>1.05</v>
      </c>
      <c r="X1809">
        <v>2.1</v>
      </c>
    </row>
    <row r="1810" spans="2:24" hidden="1" x14ac:dyDescent="0.35">
      <c r="B1810">
        <v>2020</v>
      </c>
      <c r="C1810" s="1">
        <v>44275</v>
      </c>
      <c r="D1810">
        <v>2411</v>
      </c>
      <c r="E1810" t="s">
        <v>23</v>
      </c>
      <c r="F1810" t="s">
        <v>45</v>
      </c>
      <c r="G1810" t="s">
        <v>46</v>
      </c>
      <c r="H1810">
        <v>76.930000000000007</v>
      </c>
      <c r="I1810">
        <v>63.13</v>
      </c>
      <c r="J1810">
        <v>0.53900000000000003</v>
      </c>
      <c r="K1810">
        <v>0.19950000000000001</v>
      </c>
      <c r="L1810">
        <v>0.26150000000000001</v>
      </c>
      <c r="M1810">
        <v>1.56</v>
      </c>
      <c r="N1810">
        <v>0.84</v>
      </c>
      <c r="O1810">
        <v>22.5</v>
      </c>
      <c r="P1810">
        <v>59.8</v>
      </c>
      <c r="Q1810">
        <v>3</v>
      </c>
      <c r="R1810">
        <v>0</v>
      </c>
      <c r="S1810">
        <v>1.02</v>
      </c>
      <c r="T1810">
        <v>0.1</v>
      </c>
      <c r="U1810">
        <v>1.1599999999999999</v>
      </c>
      <c r="V1810">
        <v>0.32</v>
      </c>
      <c r="W1810">
        <v>3.15</v>
      </c>
      <c r="X1810">
        <v>0</v>
      </c>
    </row>
    <row r="1811" spans="2:24" hidden="1" x14ac:dyDescent="0.35">
      <c r="B1811">
        <v>2020</v>
      </c>
      <c r="C1811" s="1">
        <v>44276</v>
      </c>
      <c r="D1811">
        <v>2411</v>
      </c>
      <c r="E1811" t="s">
        <v>23</v>
      </c>
      <c r="F1811" t="s">
        <v>43</v>
      </c>
      <c r="G1811" t="s">
        <v>40</v>
      </c>
      <c r="H1811">
        <v>77.680000000000007</v>
      </c>
      <c r="I1811">
        <v>83.45</v>
      </c>
      <c r="J1811">
        <v>0.39250000000000002</v>
      </c>
      <c r="K1811">
        <v>0.3392</v>
      </c>
      <c r="L1811">
        <v>0.26829999999999998</v>
      </c>
      <c r="M1811">
        <v>1.37</v>
      </c>
      <c r="N1811">
        <v>1.26</v>
      </c>
      <c r="O1811">
        <v>66.8</v>
      </c>
      <c r="P1811">
        <v>19.2</v>
      </c>
      <c r="Q1811">
        <v>3</v>
      </c>
      <c r="R1811">
        <v>3</v>
      </c>
      <c r="S1811">
        <v>2.15</v>
      </c>
      <c r="T1811">
        <v>1.82</v>
      </c>
      <c r="U1811">
        <v>1.35</v>
      </c>
      <c r="V1811">
        <v>2.12</v>
      </c>
      <c r="W1811">
        <v>3.15</v>
      </c>
      <c r="X1811">
        <v>3.15</v>
      </c>
    </row>
    <row r="1812" spans="2:24" hidden="1" x14ac:dyDescent="0.35">
      <c r="B1812">
        <v>2020</v>
      </c>
      <c r="C1812" s="1">
        <v>44276</v>
      </c>
      <c r="D1812">
        <v>2411</v>
      </c>
      <c r="E1812" t="s">
        <v>23</v>
      </c>
      <c r="F1812" t="s">
        <v>52</v>
      </c>
      <c r="G1812" t="s">
        <v>29</v>
      </c>
      <c r="H1812">
        <v>74.430000000000007</v>
      </c>
      <c r="I1812">
        <v>79.7</v>
      </c>
      <c r="J1812">
        <v>0.31690000000000002</v>
      </c>
      <c r="K1812">
        <v>0.42199999999999999</v>
      </c>
      <c r="L1812">
        <v>0.2611</v>
      </c>
      <c r="M1812">
        <v>1.25</v>
      </c>
      <c r="N1812">
        <v>1.48</v>
      </c>
      <c r="O1812">
        <v>6.6</v>
      </c>
      <c r="P1812">
        <v>52.6</v>
      </c>
      <c r="Q1812">
        <v>0</v>
      </c>
      <c r="R1812">
        <v>2</v>
      </c>
      <c r="S1812">
        <v>0.45</v>
      </c>
      <c r="T1812">
        <v>1.78</v>
      </c>
      <c r="U1812">
        <v>1.1000000000000001</v>
      </c>
      <c r="V1812">
        <v>1.0900000000000001</v>
      </c>
      <c r="W1812">
        <v>0</v>
      </c>
      <c r="X1812">
        <v>2.1</v>
      </c>
    </row>
    <row r="1813" spans="2:24" hidden="1" x14ac:dyDescent="0.35">
      <c r="B1813">
        <v>2020</v>
      </c>
      <c r="C1813" s="1">
        <v>44289</v>
      </c>
      <c r="D1813">
        <v>2411</v>
      </c>
      <c r="E1813" t="s">
        <v>23</v>
      </c>
      <c r="F1813" t="s">
        <v>42</v>
      </c>
      <c r="G1813" t="s">
        <v>31</v>
      </c>
      <c r="H1813">
        <v>89.35</v>
      </c>
      <c r="I1813">
        <v>57.07</v>
      </c>
      <c r="J1813">
        <v>0.8659</v>
      </c>
      <c r="K1813">
        <v>1.9800000000000002E-2</v>
      </c>
      <c r="L1813">
        <v>0.1143</v>
      </c>
      <c r="M1813">
        <v>2.44</v>
      </c>
      <c r="N1813">
        <v>0.2</v>
      </c>
      <c r="O1813">
        <v>100</v>
      </c>
      <c r="P1813">
        <v>5</v>
      </c>
      <c r="Q1813">
        <v>2</v>
      </c>
      <c r="R1813">
        <v>5</v>
      </c>
      <c r="S1813">
        <v>2.61</v>
      </c>
      <c r="T1813">
        <v>1.34</v>
      </c>
      <c r="U1813">
        <v>2.2200000000000002</v>
      </c>
      <c r="V1813">
        <v>0.97</v>
      </c>
      <c r="W1813">
        <v>2.1</v>
      </c>
      <c r="X1813">
        <v>3.78</v>
      </c>
    </row>
    <row r="1814" spans="2:24" hidden="1" x14ac:dyDescent="0.35">
      <c r="B1814">
        <v>2020</v>
      </c>
      <c r="C1814" s="1">
        <v>44289</v>
      </c>
      <c r="D1814">
        <v>2411</v>
      </c>
      <c r="E1814" t="s">
        <v>23</v>
      </c>
      <c r="F1814" t="s">
        <v>53</v>
      </c>
      <c r="G1814" t="s">
        <v>51</v>
      </c>
      <c r="H1814">
        <v>71.459999999999994</v>
      </c>
      <c r="I1814">
        <v>58.3</v>
      </c>
      <c r="J1814">
        <v>0.5645</v>
      </c>
      <c r="K1814">
        <v>0.1958</v>
      </c>
      <c r="L1814">
        <v>0.2397</v>
      </c>
      <c r="M1814">
        <v>1.76</v>
      </c>
      <c r="N1814">
        <v>0.93</v>
      </c>
      <c r="O1814">
        <v>0.2</v>
      </c>
      <c r="P1814">
        <v>1.4</v>
      </c>
      <c r="Q1814">
        <v>2</v>
      </c>
      <c r="R1814">
        <v>1</v>
      </c>
      <c r="S1814">
        <v>2.36</v>
      </c>
      <c r="T1814">
        <v>0.91</v>
      </c>
      <c r="U1814">
        <v>1.45</v>
      </c>
      <c r="V1814">
        <v>0.68</v>
      </c>
      <c r="W1814">
        <v>2.1</v>
      </c>
      <c r="X1814">
        <v>1.05</v>
      </c>
    </row>
    <row r="1815" spans="2:24" hidden="1" x14ac:dyDescent="0.35">
      <c r="B1815">
        <v>2020</v>
      </c>
      <c r="C1815" s="1">
        <v>44289</v>
      </c>
      <c r="D1815">
        <v>2411</v>
      </c>
      <c r="E1815" t="s">
        <v>23</v>
      </c>
      <c r="F1815" t="s">
        <v>25</v>
      </c>
      <c r="G1815" t="s">
        <v>36</v>
      </c>
      <c r="H1815">
        <v>79.290000000000006</v>
      </c>
      <c r="I1815">
        <v>93.71</v>
      </c>
      <c r="J1815">
        <v>0.2198</v>
      </c>
      <c r="K1815">
        <v>0.53920000000000001</v>
      </c>
      <c r="L1815">
        <v>0.24099999999999999</v>
      </c>
      <c r="M1815">
        <v>1.03</v>
      </c>
      <c r="N1815">
        <v>1.76</v>
      </c>
      <c r="O1815">
        <v>67.900000000000006</v>
      </c>
      <c r="P1815">
        <v>2.4</v>
      </c>
      <c r="Q1815">
        <v>0</v>
      </c>
      <c r="R1815">
        <v>2</v>
      </c>
      <c r="S1815">
        <v>0.34</v>
      </c>
      <c r="T1815">
        <v>2.04</v>
      </c>
      <c r="U1815">
        <v>0.43</v>
      </c>
      <c r="V1815">
        <v>1.89</v>
      </c>
      <c r="W1815">
        <v>0</v>
      </c>
      <c r="X1815">
        <v>2.0099999999999998</v>
      </c>
    </row>
    <row r="1816" spans="2:24" hidden="1" x14ac:dyDescent="0.35">
      <c r="B1816">
        <v>2020</v>
      </c>
      <c r="C1816" s="1">
        <v>44289</v>
      </c>
      <c r="D1816">
        <v>2411</v>
      </c>
      <c r="E1816" t="s">
        <v>23</v>
      </c>
      <c r="F1816" t="s">
        <v>40</v>
      </c>
      <c r="G1816" t="s">
        <v>41</v>
      </c>
      <c r="H1816">
        <v>83.13</v>
      </c>
      <c r="I1816">
        <v>87.84</v>
      </c>
      <c r="J1816">
        <v>0.29010000000000002</v>
      </c>
      <c r="K1816">
        <v>0.45989999999999998</v>
      </c>
      <c r="L1816">
        <v>0.25</v>
      </c>
      <c r="M1816">
        <v>1.25</v>
      </c>
      <c r="N1816">
        <v>1.63</v>
      </c>
      <c r="O1816">
        <v>23.2</v>
      </c>
      <c r="P1816">
        <v>100</v>
      </c>
      <c r="Q1816">
        <v>0</v>
      </c>
      <c r="R1816">
        <v>3</v>
      </c>
      <c r="S1816">
        <v>0.13</v>
      </c>
      <c r="T1816">
        <v>2.35</v>
      </c>
      <c r="U1816">
        <v>0.28000000000000003</v>
      </c>
      <c r="V1816">
        <v>2.0099999999999998</v>
      </c>
      <c r="W1816">
        <v>0</v>
      </c>
      <c r="X1816">
        <v>2.86</v>
      </c>
    </row>
    <row r="1817" spans="2:24" hidden="1" x14ac:dyDescent="0.35">
      <c r="B1817">
        <v>2020</v>
      </c>
      <c r="C1817" s="1">
        <v>44290</v>
      </c>
      <c r="D1817">
        <v>2411</v>
      </c>
      <c r="E1817" t="s">
        <v>23</v>
      </c>
      <c r="F1817" t="s">
        <v>34</v>
      </c>
      <c r="G1817" t="s">
        <v>32</v>
      </c>
      <c r="H1817">
        <v>70.099999999999994</v>
      </c>
      <c r="I1817">
        <v>67.569999999999993</v>
      </c>
      <c r="J1817">
        <v>0.45200000000000001</v>
      </c>
      <c r="K1817">
        <v>0.26910000000000001</v>
      </c>
      <c r="L1817">
        <v>0.27900000000000003</v>
      </c>
      <c r="M1817">
        <v>1.38</v>
      </c>
      <c r="N1817">
        <v>1</v>
      </c>
      <c r="O1817">
        <v>6</v>
      </c>
      <c r="P1817">
        <v>9.8000000000000007</v>
      </c>
      <c r="Q1817">
        <v>3</v>
      </c>
      <c r="R1817">
        <v>2</v>
      </c>
      <c r="S1817">
        <v>2.46</v>
      </c>
      <c r="T1817">
        <v>1.6</v>
      </c>
      <c r="U1817">
        <v>2.1</v>
      </c>
      <c r="V1817">
        <v>1.1100000000000001</v>
      </c>
      <c r="W1817">
        <v>3.15</v>
      </c>
      <c r="X1817">
        <v>2.1</v>
      </c>
    </row>
    <row r="1818" spans="2:24" hidden="1" x14ac:dyDescent="0.35">
      <c r="B1818">
        <v>2020</v>
      </c>
      <c r="C1818" s="1">
        <v>44290</v>
      </c>
      <c r="D1818">
        <v>2411</v>
      </c>
      <c r="E1818" t="s">
        <v>23</v>
      </c>
      <c r="F1818" t="s">
        <v>46</v>
      </c>
      <c r="G1818" t="s">
        <v>29</v>
      </c>
      <c r="H1818">
        <v>62.23</v>
      </c>
      <c r="I1818">
        <v>80.81</v>
      </c>
      <c r="J1818">
        <v>0.2097</v>
      </c>
      <c r="K1818">
        <v>0.54190000000000005</v>
      </c>
      <c r="L1818">
        <v>0.24840000000000001</v>
      </c>
      <c r="M1818">
        <v>0.95</v>
      </c>
      <c r="N1818">
        <v>1.68</v>
      </c>
      <c r="O1818">
        <v>58.3</v>
      </c>
      <c r="P1818">
        <v>71.7</v>
      </c>
      <c r="Q1818">
        <v>2</v>
      </c>
      <c r="R1818">
        <v>2</v>
      </c>
      <c r="S1818">
        <v>4.1100000000000003</v>
      </c>
      <c r="T1818">
        <v>2.33</v>
      </c>
      <c r="U1818">
        <v>1.62</v>
      </c>
      <c r="V1818">
        <v>1.05</v>
      </c>
      <c r="W1818">
        <v>2.1</v>
      </c>
      <c r="X1818">
        <v>2.1</v>
      </c>
    </row>
    <row r="1819" spans="2:24" hidden="1" x14ac:dyDescent="0.35">
      <c r="B1819">
        <v>2020</v>
      </c>
      <c r="C1819" s="1">
        <v>44290</v>
      </c>
      <c r="D1819">
        <v>2411</v>
      </c>
      <c r="E1819" t="s">
        <v>23</v>
      </c>
      <c r="F1819" t="s">
        <v>52</v>
      </c>
      <c r="G1819" t="s">
        <v>48</v>
      </c>
      <c r="H1819">
        <v>73.41</v>
      </c>
      <c r="I1819">
        <v>70.819999999999993</v>
      </c>
      <c r="J1819">
        <v>0.40060000000000001</v>
      </c>
      <c r="K1819">
        <v>0.30530000000000002</v>
      </c>
      <c r="L1819">
        <v>0.29409999999999997</v>
      </c>
      <c r="M1819">
        <v>1.21</v>
      </c>
      <c r="N1819">
        <v>1.02</v>
      </c>
      <c r="O1819">
        <v>1.7</v>
      </c>
      <c r="P1819">
        <v>60</v>
      </c>
      <c r="Q1819">
        <v>3</v>
      </c>
      <c r="R1819">
        <v>1</v>
      </c>
      <c r="S1819">
        <v>1.65</v>
      </c>
      <c r="T1819">
        <v>1.1200000000000001</v>
      </c>
      <c r="U1819">
        <v>1.45</v>
      </c>
      <c r="V1819">
        <v>0.83</v>
      </c>
      <c r="W1819">
        <v>2.72</v>
      </c>
      <c r="X1819">
        <v>1.05</v>
      </c>
    </row>
    <row r="1820" spans="2:24" hidden="1" x14ac:dyDescent="0.35">
      <c r="B1820">
        <v>2020</v>
      </c>
      <c r="C1820" s="1">
        <v>44290</v>
      </c>
      <c r="D1820">
        <v>2411</v>
      </c>
      <c r="E1820" t="s">
        <v>23</v>
      </c>
      <c r="F1820" t="s">
        <v>39</v>
      </c>
      <c r="G1820" t="s">
        <v>45</v>
      </c>
      <c r="H1820">
        <v>87.83</v>
      </c>
      <c r="I1820">
        <v>77.959999999999994</v>
      </c>
      <c r="J1820">
        <v>0.59930000000000005</v>
      </c>
      <c r="K1820">
        <v>0.16320000000000001</v>
      </c>
      <c r="L1820">
        <v>0.2374</v>
      </c>
      <c r="M1820">
        <v>1.76</v>
      </c>
      <c r="N1820">
        <v>0.79</v>
      </c>
      <c r="O1820">
        <v>31.6</v>
      </c>
      <c r="P1820">
        <v>2.4</v>
      </c>
      <c r="Q1820">
        <v>2</v>
      </c>
      <c r="R1820">
        <v>1</v>
      </c>
      <c r="S1820">
        <v>1.79</v>
      </c>
      <c r="T1820">
        <v>1.32</v>
      </c>
      <c r="U1820">
        <v>1.67</v>
      </c>
      <c r="V1820">
        <v>0.81</v>
      </c>
      <c r="W1820">
        <v>2.1</v>
      </c>
      <c r="X1820">
        <v>1.05</v>
      </c>
    </row>
    <row r="1821" spans="2:24" hidden="1" x14ac:dyDescent="0.35">
      <c r="B1821">
        <v>2020</v>
      </c>
      <c r="C1821" s="1">
        <v>44291</v>
      </c>
      <c r="D1821">
        <v>2411</v>
      </c>
      <c r="E1821" t="s">
        <v>23</v>
      </c>
      <c r="F1821" t="s">
        <v>28</v>
      </c>
      <c r="G1821" t="s">
        <v>30</v>
      </c>
      <c r="H1821">
        <v>71.52</v>
      </c>
      <c r="I1821">
        <v>60.87</v>
      </c>
      <c r="J1821">
        <v>0.55379999999999996</v>
      </c>
      <c r="K1821">
        <v>0.19289999999999999</v>
      </c>
      <c r="L1821">
        <v>0.25330000000000003</v>
      </c>
      <c r="M1821">
        <v>1.63</v>
      </c>
      <c r="N1821">
        <v>0.85</v>
      </c>
      <c r="O1821">
        <v>13.4</v>
      </c>
      <c r="P1821">
        <v>0.9</v>
      </c>
      <c r="Q1821">
        <v>1</v>
      </c>
      <c r="R1821">
        <v>1</v>
      </c>
      <c r="S1821">
        <v>2.87</v>
      </c>
      <c r="T1821">
        <v>0.57999999999999996</v>
      </c>
      <c r="U1821">
        <v>2.13</v>
      </c>
      <c r="V1821">
        <v>1.42</v>
      </c>
      <c r="W1821">
        <v>1.05</v>
      </c>
      <c r="X1821">
        <v>1.05</v>
      </c>
    </row>
    <row r="1822" spans="2:24" hidden="1" x14ac:dyDescent="0.35">
      <c r="B1822">
        <v>2020</v>
      </c>
      <c r="C1822" s="1">
        <v>44291</v>
      </c>
      <c r="D1822">
        <v>2411</v>
      </c>
      <c r="E1822" t="s">
        <v>23</v>
      </c>
      <c r="F1822" t="s">
        <v>49</v>
      </c>
      <c r="G1822" t="s">
        <v>43</v>
      </c>
      <c r="H1822">
        <v>73.010000000000005</v>
      </c>
      <c r="I1822">
        <v>77.45</v>
      </c>
      <c r="J1822">
        <v>0.2954</v>
      </c>
      <c r="K1822">
        <v>0.4274</v>
      </c>
      <c r="L1822">
        <v>0.2772</v>
      </c>
      <c r="M1822">
        <v>1.08</v>
      </c>
      <c r="N1822">
        <v>1.36</v>
      </c>
      <c r="O1822">
        <v>0.7</v>
      </c>
      <c r="P1822">
        <v>63.6</v>
      </c>
      <c r="Q1822">
        <v>2</v>
      </c>
      <c r="R1822">
        <v>3</v>
      </c>
      <c r="S1822">
        <v>2.74</v>
      </c>
      <c r="T1822">
        <v>1.47</v>
      </c>
      <c r="U1822">
        <v>1.84</v>
      </c>
      <c r="V1822">
        <v>0.77</v>
      </c>
      <c r="W1822">
        <v>2.1</v>
      </c>
      <c r="X1822">
        <v>3.15</v>
      </c>
    </row>
    <row r="1823" spans="2:24" hidden="1" x14ac:dyDescent="0.35">
      <c r="B1823">
        <v>2020</v>
      </c>
      <c r="C1823" s="1">
        <v>44295</v>
      </c>
      <c r="D1823">
        <v>2411</v>
      </c>
      <c r="E1823" t="s">
        <v>23</v>
      </c>
      <c r="F1823" t="s">
        <v>48</v>
      </c>
      <c r="G1823" t="s">
        <v>49</v>
      </c>
      <c r="H1823">
        <v>70.069999999999993</v>
      </c>
      <c r="I1823">
        <v>73.290000000000006</v>
      </c>
      <c r="J1823">
        <v>0.43340000000000001</v>
      </c>
      <c r="K1823">
        <v>0.2671</v>
      </c>
      <c r="L1823">
        <v>0.29959999999999998</v>
      </c>
      <c r="M1823">
        <v>1.23</v>
      </c>
      <c r="N1823">
        <v>0.9</v>
      </c>
      <c r="O1823">
        <v>61.7</v>
      </c>
      <c r="P1823">
        <v>1.2</v>
      </c>
      <c r="Q1823">
        <v>0</v>
      </c>
      <c r="R1823">
        <v>1</v>
      </c>
      <c r="S1823">
        <v>0.86</v>
      </c>
      <c r="T1823">
        <v>0.46</v>
      </c>
      <c r="U1823">
        <v>2.2599999999999998</v>
      </c>
      <c r="V1823">
        <v>0.73</v>
      </c>
      <c r="W1823">
        <v>0</v>
      </c>
      <c r="X1823">
        <v>1.05</v>
      </c>
    </row>
    <row r="1824" spans="2:24" hidden="1" x14ac:dyDescent="0.35">
      <c r="B1824">
        <v>2020</v>
      </c>
      <c r="C1824" s="1">
        <v>44296</v>
      </c>
      <c r="D1824">
        <v>2411</v>
      </c>
      <c r="E1824" t="s">
        <v>23</v>
      </c>
      <c r="F1824" t="s">
        <v>36</v>
      </c>
      <c r="G1824" t="s">
        <v>53</v>
      </c>
      <c r="H1824">
        <v>93.67</v>
      </c>
      <c r="I1824">
        <v>71.56</v>
      </c>
      <c r="J1824">
        <v>0.74409999999999998</v>
      </c>
      <c r="K1824">
        <v>9.4799999999999995E-2</v>
      </c>
      <c r="L1824">
        <v>0.161</v>
      </c>
      <c r="M1824">
        <v>2.48</v>
      </c>
      <c r="N1824">
        <v>0.77</v>
      </c>
      <c r="O1824">
        <v>1.1000000000000001</v>
      </c>
      <c r="P1824">
        <v>0</v>
      </c>
      <c r="Q1824">
        <v>1</v>
      </c>
      <c r="R1824">
        <v>2</v>
      </c>
      <c r="S1824">
        <v>2.42</v>
      </c>
      <c r="T1824">
        <v>0.12</v>
      </c>
      <c r="U1824">
        <v>3.61</v>
      </c>
      <c r="V1824">
        <v>0.25</v>
      </c>
      <c r="W1824">
        <v>0.84</v>
      </c>
      <c r="X1824">
        <v>2.1</v>
      </c>
    </row>
    <row r="1825" spans="2:24" hidden="1" x14ac:dyDescent="0.35">
      <c r="B1825">
        <v>2020</v>
      </c>
      <c r="C1825" s="1">
        <v>44296</v>
      </c>
      <c r="D1825">
        <v>2411</v>
      </c>
      <c r="E1825" t="s">
        <v>23</v>
      </c>
      <c r="F1825" t="s">
        <v>41</v>
      </c>
      <c r="G1825" t="s">
        <v>52</v>
      </c>
      <c r="H1825">
        <v>88.85</v>
      </c>
      <c r="I1825">
        <v>73.819999999999993</v>
      </c>
      <c r="J1825">
        <v>0.72430000000000005</v>
      </c>
      <c r="K1825">
        <v>9.5799999999999996E-2</v>
      </c>
      <c r="L1825">
        <v>0.17979999999999999</v>
      </c>
      <c r="M1825">
        <v>2.21</v>
      </c>
      <c r="N1825">
        <v>0.66</v>
      </c>
      <c r="O1825">
        <v>100</v>
      </c>
      <c r="P1825">
        <v>7.5</v>
      </c>
      <c r="Q1825">
        <v>2</v>
      </c>
      <c r="R1825">
        <v>1</v>
      </c>
      <c r="S1825">
        <v>2.54</v>
      </c>
      <c r="T1825">
        <v>0.87</v>
      </c>
      <c r="U1825">
        <v>1.94</v>
      </c>
      <c r="V1825">
        <v>0.9</v>
      </c>
      <c r="W1825">
        <v>2.1</v>
      </c>
      <c r="X1825">
        <v>1.05</v>
      </c>
    </row>
    <row r="1826" spans="2:24" hidden="1" x14ac:dyDescent="0.35">
      <c r="B1826">
        <v>2020</v>
      </c>
      <c r="C1826" s="1">
        <v>44296</v>
      </c>
      <c r="D1826">
        <v>2411</v>
      </c>
      <c r="E1826" t="s">
        <v>23</v>
      </c>
      <c r="F1826" t="s">
        <v>30</v>
      </c>
      <c r="G1826" t="s">
        <v>42</v>
      </c>
      <c r="H1826">
        <v>60.49</v>
      </c>
      <c r="I1826">
        <v>87.43</v>
      </c>
      <c r="J1826">
        <v>0.10150000000000001</v>
      </c>
      <c r="K1826">
        <v>0.69799999999999995</v>
      </c>
      <c r="L1826">
        <v>0.2006</v>
      </c>
      <c r="M1826">
        <v>0.6</v>
      </c>
      <c r="N1826">
        <v>1.99</v>
      </c>
      <c r="O1826">
        <v>0.2</v>
      </c>
      <c r="P1826">
        <v>85.6</v>
      </c>
      <c r="Q1826">
        <v>1</v>
      </c>
      <c r="R1826">
        <v>4</v>
      </c>
      <c r="S1826">
        <v>0.43</v>
      </c>
      <c r="T1826">
        <v>3.4</v>
      </c>
      <c r="U1826">
        <v>0.36</v>
      </c>
      <c r="V1826">
        <v>2.6</v>
      </c>
      <c r="W1826">
        <v>1.05</v>
      </c>
      <c r="X1826">
        <v>4.0199999999999996</v>
      </c>
    </row>
    <row r="1827" spans="2:24" hidden="1" x14ac:dyDescent="0.35">
      <c r="B1827">
        <v>2020</v>
      </c>
      <c r="C1827" s="1">
        <v>44297</v>
      </c>
      <c r="D1827">
        <v>2411</v>
      </c>
      <c r="E1827" t="s">
        <v>23</v>
      </c>
      <c r="F1827" t="s">
        <v>32</v>
      </c>
      <c r="G1827" t="s">
        <v>46</v>
      </c>
      <c r="H1827">
        <v>66.540000000000006</v>
      </c>
      <c r="I1827">
        <v>63.89</v>
      </c>
      <c r="J1827">
        <v>0.40860000000000002</v>
      </c>
      <c r="K1827">
        <v>0.30969999999999998</v>
      </c>
      <c r="L1827">
        <v>0.28170000000000001</v>
      </c>
      <c r="M1827">
        <v>1.3</v>
      </c>
      <c r="N1827">
        <v>1.1000000000000001</v>
      </c>
      <c r="O1827">
        <v>12.7</v>
      </c>
      <c r="P1827">
        <v>51.3</v>
      </c>
      <c r="Q1827">
        <v>1</v>
      </c>
      <c r="R1827">
        <v>2</v>
      </c>
      <c r="S1827">
        <v>2.0699999999999998</v>
      </c>
      <c r="T1827">
        <v>1.68</v>
      </c>
      <c r="U1827">
        <v>2.34</v>
      </c>
      <c r="V1827">
        <v>1.06</v>
      </c>
      <c r="W1827">
        <v>1.05</v>
      </c>
      <c r="X1827">
        <v>2.1</v>
      </c>
    </row>
    <row r="1828" spans="2:24" hidden="1" x14ac:dyDescent="0.35">
      <c r="B1828">
        <v>2020</v>
      </c>
      <c r="C1828" s="1">
        <v>44297</v>
      </c>
      <c r="D1828">
        <v>2411</v>
      </c>
      <c r="E1828" t="s">
        <v>23</v>
      </c>
      <c r="F1828" t="s">
        <v>43</v>
      </c>
      <c r="G1828" t="s">
        <v>25</v>
      </c>
      <c r="H1828">
        <v>76.56</v>
      </c>
      <c r="I1828">
        <v>78.510000000000005</v>
      </c>
      <c r="J1828">
        <v>0.4032</v>
      </c>
      <c r="K1828">
        <v>0.3342</v>
      </c>
      <c r="L1828">
        <v>0.26269999999999999</v>
      </c>
      <c r="M1828">
        <v>1.44</v>
      </c>
      <c r="N1828">
        <v>1.29</v>
      </c>
      <c r="O1828">
        <v>87.3</v>
      </c>
      <c r="P1828">
        <v>100</v>
      </c>
      <c r="Q1828">
        <v>3</v>
      </c>
      <c r="R1828">
        <v>2</v>
      </c>
      <c r="S1828">
        <v>0.99</v>
      </c>
      <c r="T1828">
        <v>1.2</v>
      </c>
      <c r="U1828">
        <v>0.44</v>
      </c>
      <c r="V1828">
        <v>1.78</v>
      </c>
      <c r="W1828">
        <v>3.15</v>
      </c>
      <c r="X1828">
        <v>2.1</v>
      </c>
    </row>
    <row r="1829" spans="2:24" hidden="1" x14ac:dyDescent="0.35">
      <c r="B1829">
        <v>2020</v>
      </c>
      <c r="C1829" s="1">
        <v>44297</v>
      </c>
      <c r="D1829">
        <v>2411</v>
      </c>
      <c r="E1829" t="s">
        <v>23</v>
      </c>
      <c r="F1829" t="s">
        <v>29</v>
      </c>
      <c r="G1829" t="s">
        <v>39</v>
      </c>
      <c r="H1829">
        <v>78.650000000000006</v>
      </c>
      <c r="I1829">
        <v>87.98</v>
      </c>
      <c r="J1829">
        <v>0.33119999999999999</v>
      </c>
      <c r="K1829">
        <v>0.41549999999999998</v>
      </c>
      <c r="L1829">
        <v>0.25330000000000003</v>
      </c>
      <c r="M1829">
        <v>1.35</v>
      </c>
      <c r="N1829">
        <v>1.54</v>
      </c>
      <c r="O1829">
        <v>53.9</v>
      </c>
      <c r="P1829">
        <v>18.5</v>
      </c>
      <c r="Q1829">
        <v>1</v>
      </c>
      <c r="R1829">
        <v>3</v>
      </c>
      <c r="S1829">
        <v>1.2</v>
      </c>
      <c r="T1829">
        <v>1.88</v>
      </c>
      <c r="U1829">
        <v>0.59</v>
      </c>
      <c r="V1829">
        <v>1.69</v>
      </c>
      <c r="W1829">
        <v>1.05</v>
      </c>
      <c r="X1829">
        <v>2.63</v>
      </c>
    </row>
    <row r="1830" spans="2:24" hidden="1" x14ac:dyDescent="0.35">
      <c r="B1830">
        <v>2020</v>
      </c>
      <c r="C1830" s="1">
        <v>44297</v>
      </c>
      <c r="D1830">
        <v>2411</v>
      </c>
      <c r="E1830" t="s">
        <v>23</v>
      </c>
      <c r="F1830" t="s">
        <v>51</v>
      </c>
      <c r="G1830" t="s">
        <v>40</v>
      </c>
      <c r="H1830">
        <v>58.13</v>
      </c>
      <c r="I1830">
        <v>81.17</v>
      </c>
      <c r="J1830">
        <v>0.18579999999999999</v>
      </c>
      <c r="K1830">
        <v>0.56950000000000001</v>
      </c>
      <c r="L1830">
        <v>0.2447</v>
      </c>
      <c r="M1830">
        <v>0.86</v>
      </c>
      <c r="N1830">
        <v>1.71</v>
      </c>
      <c r="O1830">
        <v>0.9</v>
      </c>
      <c r="P1830">
        <v>1.2</v>
      </c>
      <c r="Q1830">
        <v>0</v>
      </c>
      <c r="R1830">
        <v>3</v>
      </c>
      <c r="S1830">
        <v>0.34</v>
      </c>
      <c r="T1830">
        <v>2.0699999999999998</v>
      </c>
      <c r="U1830">
        <v>0.34</v>
      </c>
      <c r="V1830">
        <v>1.5</v>
      </c>
      <c r="W1830">
        <v>0</v>
      </c>
      <c r="X1830">
        <v>2.74</v>
      </c>
    </row>
    <row r="1831" spans="2:24" hidden="1" x14ac:dyDescent="0.35">
      <c r="B1831">
        <v>2020</v>
      </c>
      <c r="C1831" s="1">
        <v>44298</v>
      </c>
      <c r="D1831">
        <v>2411</v>
      </c>
      <c r="E1831" t="s">
        <v>23</v>
      </c>
      <c r="F1831" t="s">
        <v>31</v>
      </c>
      <c r="G1831" t="s">
        <v>34</v>
      </c>
      <c r="H1831">
        <v>59.42</v>
      </c>
      <c r="I1831">
        <v>70.25</v>
      </c>
      <c r="J1831">
        <v>0.31580000000000003</v>
      </c>
      <c r="K1831">
        <v>0.42199999999999999</v>
      </c>
      <c r="L1831">
        <v>0.26219999999999999</v>
      </c>
      <c r="M1831">
        <v>1.24</v>
      </c>
      <c r="N1831">
        <v>1.47</v>
      </c>
      <c r="O1831">
        <v>4.9000000000000004</v>
      </c>
      <c r="P1831">
        <v>0.9</v>
      </c>
      <c r="Q1831">
        <v>3</v>
      </c>
      <c r="R1831">
        <v>0</v>
      </c>
      <c r="S1831">
        <v>2.84</v>
      </c>
      <c r="T1831">
        <v>1.57</v>
      </c>
      <c r="U1831">
        <v>1.92</v>
      </c>
      <c r="V1831">
        <v>1.61</v>
      </c>
      <c r="W1831">
        <v>3.15</v>
      </c>
      <c r="X1831">
        <v>0</v>
      </c>
    </row>
    <row r="1832" spans="2:24" hidden="1" x14ac:dyDescent="0.35">
      <c r="B1832">
        <v>2020</v>
      </c>
      <c r="C1832" s="1">
        <v>44298</v>
      </c>
      <c r="D1832">
        <v>2411</v>
      </c>
      <c r="E1832" t="s">
        <v>23</v>
      </c>
      <c r="F1832" t="s">
        <v>45</v>
      </c>
      <c r="G1832" t="s">
        <v>28</v>
      </c>
      <c r="H1832">
        <v>78.010000000000005</v>
      </c>
      <c r="I1832">
        <v>71.62</v>
      </c>
      <c r="J1832">
        <v>0.48780000000000001</v>
      </c>
      <c r="K1832">
        <v>0.24690000000000001</v>
      </c>
      <c r="L1832">
        <v>0.26529999999999998</v>
      </c>
      <c r="M1832">
        <v>1.51</v>
      </c>
      <c r="N1832">
        <v>1</v>
      </c>
      <c r="O1832">
        <v>5.0999999999999996</v>
      </c>
      <c r="P1832">
        <v>9.3000000000000007</v>
      </c>
      <c r="Q1832">
        <v>0</v>
      </c>
      <c r="R1832">
        <v>0</v>
      </c>
      <c r="S1832">
        <v>1.23</v>
      </c>
      <c r="T1832">
        <v>0.45</v>
      </c>
      <c r="U1832">
        <v>1.85</v>
      </c>
      <c r="V1832">
        <v>0.99</v>
      </c>
      <c r="W1832">
        <v>0</v>
      </c>
      <c r="X1832">
        <v>0</v>
      </c>
    </row>
    <row r="1833" spans="2:24" hidden="1" x14ac:dyDescent="0.35">
      <c r="B1833">
        <v>2020</v>
      </c>
      <c r="C1833" s="1">
        <v>44302</v>
      </c>
      <c r="D1833">
        <v>2411</v>
      </c>
      <c r="E1833" t="s">
        <v>23</v>
      </c>
      <c r="F1833" t="s">
        <v>28</v>
      </c>
      <c r="G1833" t="s">
        <v>29</v>
      </c>
      <c r="H1833">
        <v>71.73</v>
      </c>
      <c r="I1833">
        <v>77.94</v>
      </c>
      <c r="J1833">
        <v>0.32479999999999998</v>
      </c>
      <c r="K1833">
        <v>0.41749999999999998</v>
      </c>
      <c r="L1833">
        <v>0.25769999999999998</v>
      </c>
      <c r="M1833">
        <v>1.3</v>
      </c>
      <c r="N1833">
        <v>1.5</v>
      </c>
      <c r="O1833">
        <v>6.3</v>
      </c>
      <c r="P1833">
        <v>29.7</v>
      </c>
      <c r="Q1833">
        <v>2</v>
      </c>
      <c r="R1833">
        <v>2</v>
      </c>
      <c r="S1833">
        <v>2.7</v>
      </c>
      <c r="T1833">
        <v>1.74</v>
      </c>
      <c r="U1833">
        <v>1.66</v>
      </c>
      <c r="V1833">
        <v>0.32</v>
      </c>
      <c r="W1833">
        <v>2.1</v>
      </c>
      <c r="X1833">
        <v>2.1</v>
      </c>
    </row>
    <row r="1834" spans="2:24" hidden="1" x14ac:dyDescent="0.35">
      <c r="B1834">
        <v>2020</v>
      </c>
      <c r="C1834" s="1">
        <v>44303</v>
      </c>
      <c r="D1834">
        <v>2411</v>
      </c>
      <c r="E1834" t="s">
        <v>23</v>
      </c>
      <c r="F1834" t="s">
        <v>46</v>
      </c>
      <c r="G1834" t="s">
        <v>43</v>
      </c>
      <c r="H1834">
        <v>63.82</v>
      </c>
      <c r="I1834">
        <v>76.14</v>
      </c>
      <c r="J1834">
        <v>0.24390000000000001</v>
      </c>
      <c r="K1834">
        <v>0.51329999999999998</v>
      </c>
      <c r="L1834">
        <v>0.2429</v>
      </c>
      <c r="M1834">
        <v>1.1299999999999999</v>
      </c>
      <c r="N1834">
        <v>1.74</v>
      </c>
      <c r="O1834">
        <v>33.6</v>
      </c>
      <c r="P1834">
        <v>88.7</v>
      </c>
      <c r="Q1834">
        <v>3</v>
      </c>
      <c r="R1834">
        <v>2</v>
      </c>
      <c r="S1834">
        <v>2.12</v>
      </c>
      <c r="T1834">
        <v>2.21</v>
      </c>
      <c r="U1834">
        <v>0.86</v>
      </c>
      <c r="V1834">
        <v>1.36</v>
      </c>
      <c r="W1834">
        <v>2.73</v>
      </c>
      <c r="X1834">
        <v>2.1</v>
      </c>
    </row>
    <row r="1835" spans="2:24" hidden="1" x14ac:dyDescent="0.35">
      <c r="B1835">
        <v>2020</v>
      </c>
      <c r="C1835" s="1">
        <v>44303</v>
      </c>
      <c r="D1835">
        <v>2411</v>
      </c>
      <c r="E1835" t="s">
        <v>23</v>
      </c>
      <c r="F1835" t="s">
        <v>49</v>
      </c>
      <c r="G1835" t="s">
        <v>51</v>
      </c>
      <c r="H1835">
        <v>73.16</v>
      </c>
      <c r="I1835">
        <v>56.89</v>
      </c>
      <c r="J1835">
        <v>0.47939999999999999</v>
      </c>
      <c r="K1835">
        <v>0.23380000000000001</v>
      </c>
      <c r="L1835">
        <v>0.2868</v>
      </c>
      <c r="M1835">
        <v>1.35</v>
      </c>
      <c r="N1835">
        <v>0.85</v>
      </c>
      <c r="O1835">
        <v>0.2</v>
      </c>
      <c r="P1835">
        <v>0</v>
      </c>
      <c r="Q1835">
        <v>1</v>
      </c>
      <c r="R1835">
        <v>0</v>
      </c>
      <c r="S1835">
        <v>1.24</v>
      </c>
      <c r="T1835">
        <v>0.34</v>
      </c>
      <c r="U1835">
        <v>0.87</v>
      </c>
      <c r="V1835">
        <v>0.89</v>
      </c>
      <c r="W1835">
        <v>1.05</v>
      </c>
      <c r="X1835">
        <v>0</v>
      </c>
    </row>
    <row r="1836" spans="2:24" hidden="1" x14ac:dyDescent="0.35">
      <c r="B1836">
        <v>2020</v>
      </c>
      <c r="C1836" s="1">
        <v>44304</v>
      </c>
      <c r="D1836">
        <v>2411</v>
      </c>
      <c r="E1836" t="s">
        <v>23</v>
      </c>
      <c r="F1836" t="s">
        <v>40</v>
      </c>
      <c r="G1836" t="s">
        <v>48</v>
      </c>
      <c r="H1836">
        <v>83.33</v>
      </c>
      <c r="I1836">
        <v>70.38</v>
      </c>
      <c r="J1836">
        <v>0.55530000000000002</v>
      </c>
      <c r="K1836">
        <v>0.18609999999999999</v>
      </c>
      <c r="L1836">
        <v>0.2586</v>
      </c>
      <c r="M1836">
        <v>1.58</v>
      </c>
      <c r="N1836">
        <v>0.79</v>
      </c>
      <c r="O1836">
        <v>3.8</v>
      </c>
      <c r="P1836">
        <v>42.9</v>
      </c>
      <c r="Q1836">
        <v>1</v>
      </c>
      <c r="R1836">
        <v>1</v>
      </c>
      <c r="S1836">
        <v>2.69</v>
      </c>
      <c r="T1836">
        <v>0.87</v>
      </c>
      <c r="U1836">
        <v>2.34</v>
      </c>
      <c r="V1836">
        <v>0.44</v>
      </c>
      <c r="W1836">
        <v>1.05</v>
      </c>
      <c r="X1836">
        <v>1.05</v>
      </c>
    </row>
    <row r="1837" spans="2:24" hidden="1" x14ac:dyDescent="0.35">
      <c r="B1837">
        <v>2020</v>
      </c>
      <c r="C1837" s="1">
        <v>44304</v>
      </c>
      <c r="D1837">
        <v>2411</v>
      </c>
      <c r="E1837" t="s">
        <v>23</v>
      </c>
      <c r="F1837" t="s">
        <v>39</v>
      </c>
      <c r="G1837" t="s">
        <v>32</v>
      </c>
      <c r="H1837">
        <v>88.18</v>
      </c>
      <c r="I1837">
        <v>66.06</v>
      </c>
      <c r="J1837">
        <v>0.70140000000000002</v>
      </c>
      <c r="K1837">
        <v>0.1051</v>
      </c>
      <c r="L1837">
        <v>0.19359999999999999</v>
      </c>
      <c r="M1837">
        <v>2.08</v>
      </c>
      <c r="N1837">
        <v>0.66</v>
      </c>
      <c r="O1837">
        <v>7</v>
      </c>
      <c r="P1837">
        <v>14.5</v>
      </c>
      <c r="Q1837">
        <v>3</v>
      </c>
      <c r="R1837">
        <v>1</v>
      </c>
      <c r="S1837">
        <v>2.85</v>
      </c>
      <c r="T1837">
        <v>0.99</v>
      </c>
      <c r="U1837">
        <v>2.76</v>
      </c>
      <c r="V1837">
        <v>0.78</v>
      </c>
      <c r="W1837">
        <v>2.63</v>
      </c>
      <c r="X1837">
        <v>1.05</v>
      </c>
    </row>
    <row r="1838" spans="2:24" hidden="1" x14ac:dyDescent="0.35">
      <c r="B1838">
        <v>2020</v>
      </c>
      <c r="C1838" s="1">
        <v>44305</v>
      </c>
      <c r="D1838">
        <v>2411</v>
      </c>
      <c r="E1838" t="s">
        <v>23</v>
      </c>
      <c r="F1838" t="s">
        <v>53</v>
      </c>
      <c r="G1838" t="s">
        <v>41</v>
      </c>
      <c r="H1838">
        <v>72.05</v>
      </c>
      <c r="I1838">
        <v>89.17</v>
      </c>
      <c r="J1838">
        <v>0.15709999999999999</v>
      </c>
      <c r="K1838">
        <v>0.64500000000000002</v>
      </c>
      <c r="L1838">
        <v>0.19789999999999999</v>
      </c>
      <c r="M1838">
        <v>1</v>
      </c>
      <c r="N1838">
        <v>2.21</v>
      </c>
      <c r="O1838">
        <v>0.6</v>
      </c>
      <c r="P1838">
        <v>100</v>
      </c>
      <c r="Q1838">
        <v>1</v>
      </c>
      <c r="R1838">
        <v>1</v>
      </c>
      <c r="S1838">
        <v>2.89</v>
      </c>
      <c r="T1838">
        <v>1.65</v>
      </c>
      <c r="U1838">
        <v>1.75</v>
      </c>
      <c r="V1838">
        <v>1.79</v>
      </c>
      <c r="W1838">
        <v>1.05</v>
      </c>
      <c r="X1838">
        <v>1.05</v>
      </c>
    </row>
    <row r="1839" spans="2:24" hidden="1" x14ac:dyDescent="0.35">
      <c r="B1839">
        <v>2020</v>
      </c>
      <c r="C1839" s="1">
        <v>44306</v>
      </c>
      <c r="D1839">
        <v>2411</v>
      </c>
      <c r="E1839" t="s">
        <v>23</v>
      </c>
      <c r="F1839" t="s">
        <v>42</v>
      </c>
      <c r="G1839" t="s">
        <v>45</v>
      </c>
      <c r="H1839">
        <v>87.33</v>
      </c>
      <c r="I1839">
        <v>78.290000000000006</v>
      </c>
      <c r="J1839">
        <v>0.64170000000000005</v>
      </c>
      <c r="K1839">
        <v>0.1249</v>
      </c>
      <c r="L1839">
        <v>0.2334</v>
      </c>
      <c r="M1839">
        <v>1.74</v>
      </c>
      <c r="N1839">
        <v>0.61</v>
      </c>
      <c r="O1839">
        <v>100</v>
      </c>
      <c r="P1839">
        <v>3.4</v>
      </c>
      <c r="Q1839">
        <v>0</v>
      </c>
      <c r="R1839">
        <v>0</v>
      </c>
      <c r="S1839">
        <v>0.78</v>
      </c>
      <c r="T1839">
        <v>0.51</v>
      </c>
      <c r="U1839">
        <v>0.51</v>
      </c>
      <c r="V1839">
        <v>0.72</v>
      </c>
      <c r="W1839">
        <v>0</v>
      </c>
      <c r="X1839">
        <v>0</v>
      </c>
    </row>
    <row r="1840" spans="2:24" hidden="1" x14ac:dyDescent="0.35">
      <c r="B1840">
        <v>2020</v>
      </c>
      <c r="C1840" s="1">
        <v>44307</v>
      </c>
      <c r="D1840">
        <v>2411</v>
      </c>
      <c r="E1840" t="s">
        <v>23</v>
      </c>
      <c r="F1840" t="s">
        <v>29</v>
      </c>
      <c r="G1840" t="s">
        <v>34</v>
      </c>
      <c r="H1840">
        <v>76.930000000000007</v>
      </c>
      <c r="I1840">
        <v>67.89</v>
      </c>
      <c r="J1840">
        <v>0.56440000000000001</v>
      </c>
      <c r="K1840">
        <v>0.2102</v>
      </c>
      <c r="L1840">
        <v>0.22539999999999999</v>
      </c>
      <c r="M1840">
        <v>1.94</v>
      </c>
      <c r="N1840">
        <v>1.1000000000000001</v>
      </c>
      <c r="O1840">
        <v>25.8</v>
      </c>
      <c r="P1840">
        <v>1.6</v>
      </c>
      <c r="Q1840">
        <v>2</v>
      </c>
      <c r="R1840">
        <v>1</v>
      </c>
      <c r="S1840">
        <v>1.47</v>
      </c>
      <c r="T1840">
        <v>1.35</v>
      </c>
      <c r="U1840">
        <v>1.68</v>
      </c>
      <c r="V1840">
        <v>0.9</v>
      </c>
      <c r="W1840">
        <v>2.1</v>
      </c>
      <c r="X1840">
        <v>1.05</v>
      </c>
    </row>
    <row r="1841" spans="2:24" hidden="1" x14ac:dyDescent="0.35">
      <c r="B1841">
        <v>2020</v>
      </c>
      <c r="C1841" s="1">
        <v>44307</v>
      </c>
      <c r="D1841">
        <v>2411</v>
      </c>
      <c r="E1841" t="s">
        <v>23</v>
      </c>
      <c r="F1841" t="s">
        <v>52</v>
      </c>
      <c r="G1841" t="s">
        <v>36</v>
      </c>
      <c r="H1841">
        <v>73.790000000000006</v>
      </c>
      <c r="I1841">
        <v>93.67</v>
      </c>
      <c r="J1841">
        <v>0.12870000000000001</v>
      </c>
      <c r="K1841">
        <v>0.67320000000000002</v>
      </c>
      <c r="L1841">
        <v>0.1981</v>
      </c>
      <c r="M1841">
        <v>0.8</v>
      </c>
      <c r="N1841">
        <v>2.12</v>
      </c>
      <c r="O1841">
        <v>3.4</v>
      </c>
      <c r="P1841">
        <v>8.9</v>
      </c>
      <c r="Q1841">
        <v>1</v>
      </c>
      <c r="R1841">
        <v>2</v>
      </c>
      <c r="S1841">
        <v>0.81</v>
      </c>
      <c r="T1841">
        <v>1.52</v>
      </c>
      <c r="U1841">
        <v>0.91</v>
      </c>
      <c r="V1841">
        <v>2.1</v>
      </c>
      <c r="W1841">
        <v>1.05</v>
      </c>
      <c r="X1841">
        <v>2.1</v>
      </c>
    </row>
    <row r="1842" spans="2:24" hidden="1" x14ac:dyDescent="0.35">
      <c r="B1842">
        <v>2020</v>
      </c>
      <c r="C1842" s="1">
        <v>44308</v>
      </c>
      <c r="D1842">
        <v>2411</v>
      </c>
      <c r="E1842" t="s">
        <v>23</v>
      </c>
      <c r="F1842" t="s">
        <v>25</v>
      </c>
      <c r="G1842" t="s">
        <v>31</v>
      </c>
      <c r="H1842">
        <v>78.75</v>
      </c>
      <c r="I1842">
        <v>61.34</v>
      </c>
      <c r="J1842">
        <v>0.68989999999999996</v>
      </c>
      <c r="K1842">
        <v>0.1096</v>
      </c>
      <c r="L1842">
        <v>0.20050000000000001</v>
      </c>
      <c r="M1842">
        <v>2.02</v>
      </c>
      <c r="N1842">
        <v>0.66</v>
      </c>
      <c r="O1842">
        <v>100</v>
      </c>
      <c r="P1842">
        <v>13.9</v>
      </c>
      <c r="Q1842">
        <v>3</v>
      </c>
      <c r="R1842">
        <v>0</v>
      </c>
      <c r="S1842">
        <v>2.37</v>
      </c>
      <c r="T1842">
        <v>0.32</v>
      </c>
      <c r="U1842">
        <v>1.39</v>
      </c>
      <c r="V1842">
        <v>0.6</v>
      </c>
      <c r="W1842">
        <v>3.15</v>
      </c>
      <c r="X1842">
        <v>0</v>
      </c>
    </row>
    <row r="1843" spans="2:24" hidden="1" x14ac:dyDescent="0.35">
      <c r="B1843">
        <v>2020</v>
      </c>
      <c r="C1843" s="1">
        <v>44309</v>
      </c>
      <c r="D1843">
        <v>2411</v>
      </c>
      <c r="E1843" t="s">
        <v>23</v>
      </c>
      <c r="F1843" t="s">
        <v>40</v>
      </c>
      <c r="G1843" t="s">
        <v>28</v>
      </c>
      <c r="H1843">
        <v>83.48</v>
      </c>
      <c r="I1843">
        <v>72.53</v>
      </c>
      <c r="J1843">
        <v>0.56230000000000002</v>
      </c>
      <c r="K1843">
        <v>0.19700000000000001</v>
      </c>
      <c r="L1843">
        <v>0.24079999999999999</v>
      </c>
      <c r="M1843">
        <v>1.75</v>
      </c>
      <c r="N1843">
        <v>0.93</v>
      </c>
      <c r="O1843">
        <v>1.5</v>
      </c>
      <c r="P1843">
        <v>7.1</v>
      </c>
      <c r="Q1843">
        <v>0</v>
      </c>
      <c r="R1843">
        <v>1</v>
      </c>
      <c r="S1843">
        <v>0.89</v>
      </c>
      <c r="T1843">
        <v>0.6</v>
      </c>
      <c r="U1843">
        <v>1.4</v>
      </c>
      <c r="V1843">
        <v>0.67</v>
      </c>
      <c r="W1843">
        <v>0</v>
      </c>
      <c r="X1843">
        <v>1.05</v>
      </c>
    </row>
    <row r="1844" spans="2:24" hidden="1" x14ac:dyDescent="0.35">
      <c r="B1844">
        <v>2020</v>
      </c>
      <c r="C1844" s="1">
        <v>44310</v>
      </c>
      <c r="D1844">
        <v>2411</v>
      </c>
      <c r="E1844" t="s">
        <v>23</v>
      </c>
      <c r="F1844" t="s">
        <v>41</v>
      </c>
      <c r="G1844" t="s">
        <v>46</v>
      </c>
      <c r="H1844">
        <v>88.35</v>
      </c>
      <c r="I1844">
        <v>64.2</v>
      </c>
      <c r="J1844">
        <v>0.80469999999999997</v>
      </c>
      <c r="K1844">
        <v>5.6800000000000003E-2</v>
      </c>
      <c r="L1844">
        <v>0.13850000000000001</v>
      </c>
      <c r="M1844">
        <v>2.52</v>
      </c>
      <c r="N1844">
        <v>0.52</v>
      </c>
      <c r="O1844">
        <v>100</v>
      </c>
      <c r="P1844">
        <v>7.4</v>
      </c>
      <c r="Q1844">
        <v>1</v>
      </c>
      <c r="R1844">
        <v>1</v>
      </c>
      <c r="S1844">
        <v>3.19</v>
      </c>
      <c r="T1844">
        <v>0.98</v>
      </c>
      <c r="U1844">
        <v>2.84</v>
      </c>
      <c r="V1844">
        <v>0.78</v>
      </c>
      <c r="W1844">
        <v>1.05</v>
      </c>
      <c r="X1844">
        <v>1.05</v>
      </c>
    </row>
    <row r="1845" spans="2:24" hidden="1" x14ac:dyDescent="0.35">
      <c r="B1845">
        <v>2020</v>
      </c>
      <c r="C1845" s="1">
        <v>44310</v>
      </c>
      <c r="D1845">
        <v>2411</v>
      </c>
      <c r="E1845" t="s">
        <v>23</v>
      </c>
      <c r="F1845" t="s">
        <v>43</v>
      </c>
      <c r="G1845" t="s">
        <v>42</v>
      </c>
      <c r="H1845">
        <v>75.430000000000007</v>
      </c>
      <c r="I1845">
        <v>87.1</v>
      </c>
      <c r="J1845">
        <v>0.29060000000000002</v>
      </c>
      <c r="K1845">
        <v>0.4506</v>
      </c>
      <c r="L1845">
        <v>0.25879999999999997</v>
      </c>
      <c r="M1845">
        <v>1.19</v>
      </c>
      <c r="N1845">
        <v>1.54</v>
      </c>
      <c r="O1845">
        <v>100</v>
      </c>
      <c r="P1845">
        <v>100</v>
      </c>
      <c r="Q1845">
        <v>0</v>
      </c>
      <c r="R1845">
        <v>1</v>
      </c>
      <c r="S1845">
        <v>0.37</v>
      </c>
      <c r="T1845">
        <v>2.4900000000000002</v>
      </c>
      <c r="U1845">
        <v>0.38</v>
      </c>
      <c r="V1845">
        <v>1.6</v>
      </c>
      <c r="W1845">
        <v>0</v>
      </c>
      <c r="X1845">
        <v>1.05</v>
      </c>
    </row>
    <row r="1846" spans="2:24" hidden="1" x14ac:dyDescent="0.35">
      <c r="B1846">
        <v>2020</v>
      </c>
      <c r="C1846" s="1">
        <v>44310</v>
      </c>
      <c r="D1846">
        <v>2411</v>
      </c>
      <c r="E1846" t="s">
        <v>23</v>
      </c>
      <c r="F1846" t="s">
        <v>51</v>
      </c>
      <c r="G1846" t="s">
        <v>45</v>
      </c>
      <c r="H1846">
        <v>57.29</v>
      </c>
      <c r="I1846">
        <v>79.099999999999994</v>
      </c>
      <c r="J1846">
        <v>0.20030000000000001</v>
      </c>
      <c r="K1846">
        <v>0.52280000000000004</v>
      </c>
      <c r="L1846">
        <v>0.27689999999999998</v>
      </c>
      <c r="M1846">
        <v>0.77</v>
      </c>
      <c r="N1846">
        <v>1.44</v>
      </c>
      <c r="O1846">
        <v>0</v>
      </c>
      <c r="P1846">
        <v>2.8</v>
      </c>
      <c r="Q1846">
        <v>1</v>
      </c>
      <c r="R1846">
        <v>0</v>
      </c>
      <c r="S1846">
        <v>0.79</v>
      </c>
      <c r="T1846">
        <v>1.95</v>
      </c>
      <c r="U1846">
        <v>0.53</v>
      </c>
      <c r="V1846">
        <v>2.13</v>
      </c>
      <c r="W1846">
        <v>1.05</v>
      </c>
      <c r="X1846">
        <v>0</v>
      </c>
    </row>
    <row r="1847" spans="2:24" hidden="1" x14ac:dyDescent="0.35">
      <c r="B1847">
        <v>2020</v>
      </c>
      <c r="C1847" s="1">
        <v>44311</v>
      </c>
      <c r="D1847">
        <v>2411</v>
      </c>
      <c r="E1847" t="s">
        <v>23</v>
      </c>
      <c r="F1847" t="s">
        <v>49</v>
      </c>
      <c r="G1847" t="s">
        <v>32</v>
      </c>
      <c r="H1847">
        <v>73.19</v>
      </c>
      <c r="I1847">
        <v>65.78</v>
      </c>
      <c r="J1847">
        <v>0.4677</v>
      </c>
      <c r="K1847">
        <v>0.25230000000000002</v>
      </c>
      <c r="L1847">
        <v>0.28000000000000003</v>
      </c>
      <c r="M1847">
        <v>1.39</v>
      </c>
      <c r="N1847">
        <v>0.94</v>
      </c>
      <c r="O1847">
        <v>0</v>
      </c>
      <c r="P1847">
        <v>18.3</v>
      </c>
      <c r="Q1847">
        <v>0</v>
      </c>
      <c r="R1847">
        <v>4</v>
      </c>
      <c r="S1847">
        <v>0.47</v>
      </c>
      <c r="T1847">
        <v>2.25</v>
      </c>
      <c r="U1847">
        <v>0.37</v>
      </c>
      <c r="V1847">
        <v>1.52</v>
      </c>
      <c r="W1847">
        <v>0</v>
      </c>
      <c r="X1847">
        <v>3.82</v>
      </c>
    </row>
    <row r="1848" spans="2:24" hidden="1" x14ac:dyDescent="0.35">
      <c r="B1848">
        <v>2020</v>
      </c>
      <c r="C1848" s="1">
        <v>44311</v>
      </c>
      <c r="D1848">
        <v>2411</v>
      </c>
      <c r="E1848" t="s">
        <v>23</v>
      </c>
      <c r="F1848" t="s">
        <v>53</v>
      </c>
      <c r="G1848" t="s">
        <v>39</v>
      </c>
      <c r="H1848">
        <v>73.23</v>
      </c>
      <c r="I1848">
        <v>88.13</v>
      </c>
      <c r="J1848">
        <v>0.26419999999999999</v>
      </c>
      <c r="K1848">
        <v>0.49969999999999998</v>
      </c>
      <c r="L1848">
        <v>0.2361</v>
      </c>
      <c r="M1848">
        <v>1.26</v>
      </c>
      <c r="N1848">
        <v>1.82</v>
      </c>
      <c r="O1848">
        <v>0.2</v>
      </c>
      <c r="P1848">
        <v>1.2</v>
      </c>
      <c r="Q1848">
        <v>0</v>
      </c>
      <c r="R1848">
        <v>0</v>
      </c>
      <c r="S1848">
        <v>0.26</v>
      </c>
      <c r="T1848">
        <v>1.05</v>
      </c>
      <c r="U1848">
        <v>0.31</v>
      </c>
      <c r="V1848">
        <v>2.2799999999999998</v>
      </c>
      <c r="W1848">
        <v>0</v>
      </c>
      <c r="X1848">
        <v>0</v>
      </c>
    </row>
    <row r="1849" spans="2:24" hidden="1" x14ac:dyDescent="0.35">
      <c r="B1849">
        <v>2020</v>
      </c>
      <c r="C1849" s="1">
        <v>44311</v>
      </c>
      <c r="D1849">
        <v>2411</v>
      </c>
      <c r="E1849" t="s">
        <v>23</v>
      </c>
      <c r="F1849" t="s">
        <v>52</v>
      </c>
      <c r="G1849" t="s">
        <v>31</v>
      </c>
      <c r="H1849">
        <v>74.09</v>
      </c>
      <c r="I1849">
        <v>60.23</v>
      </c>
      <c r="J1849">
        <v>0.57120000000000004</v>
      </c>
      <c r="K1849">
        <v>0.19109999999999999</v>
      </c>
      <c r="L1849">
        <v>0.23769999999999999</v>
      </c>
      <c r="M1849">
        <v>1.78</v>
      </c>
      <c r="N1849">
        <v>0.92</v>
      </c>
      <c r="O1849">
        <v>0.5</v>
      </c>
      <c r="P1849">
        <v>3.5</v>
      </c>
      <c r="Q1849">
        <v>2</v>
      </c>
      <c r="R1849">
        <v>2</v>
      </c>
      <c r="S1849">
        <v>2.81</v>
      </c>
      <c r="T1849">
        <v>1.62</v>
      </c>
      <c r="U1849">
        <v>3.03</v>
      </c>
      <c r="V1849">
        <v>0.74</v>
      </c>
      <c r="W1849">
        <v>2.1</v>
      </c>
      <c r="X1849">
        <v>2.1</v>
      </c>
    </row>
    <row r="1850" spans="2:24" hidden="1" x14ac:dyDescent="0.35">
      <c r="B1850">
        <v>2020</v>
      </c>
      <c r="C1850" s="1">
        <v>44312</v>
      </c>
      <c r="D1850">
        <v>2411</v>
      </c>
      <c r="E1850" t="s">
        <v>23</v>
      </c>
      <c r="F1850" t="s">
        <v>25</v>
      </c>
      <c r="G1850" t="s">
        <v>30</v>
      </c>
      <c r="H1850">
        <v>79.73</v>
      </c>
      <c r="I1850">
        <v>58.67</v>
      </c>
      <c r="J1850">
        <v>0.73629999999999995</v>
      </c>
      <c r="K1850">
        <v>7.8399999999999997E-2</v>
      </c>
      <c r="L1850">
        <v>0.1852</v>
      </c>
      <c r="M1850">
        <v>2.06</v>
      </c>
      <c r="N1850">
        <v>0.51</v>
      </c>
      <c r="O1850">
        <v>94.7</v>
      </c>
      <c r="P1850">
        <v>0.4</v>
      </c>
      <c r="Q1850">
        <v>2</v>
      </c>
      <c r="R1850">
        <v>1</v>
      </c>
      <c r="S1850">
        <v>1.21</v>
      </c>
      <c r="T1850">
        <v>0.64</v>
      </c>
      <c r="U1850">
        <v>1.98</v>
      </c>
      <c r="V1850">
        <v>0.42</v>
      </c>
      <c r="W1850">
        <v>2.1</v>
      </c>
      <c r="X1850">
        <v>1.05</v>
      </c>
    </row>
    <row r="1851" spans="2:24" hidden="1" x14ac:dyDescent="0.35">
      <c r="B1851">
        <v>2020</v>
      </c>
      <c r="C1851" s="1">
        <v>44316</v>
      </c>
      <c r="D1851">
        <v>2411</v>
      </c>
      <c r="E1851" t="s">
        <v>23</v>
      </c>
      <c r="F1851" t="s">
        <v>34</v>
      </c>
      <c r="G1851" t="s">
        <v>25</v>
      </c>
      <c r="H1851">
        <v>68</v>
      </c>
      <c r="I1851">
        <v>79.63</v>
      </c>
      <c r="J1851">
        <v>0.25080000000000002</v>
      </c>
      <c r="K1851">
        <v>0.49390000000000001</v>
      </c>
      <c r="L1851">
        <v>0.25540000000000002</v>
      </c>
      <c r="M1851">
        <v>1.07</v>
      </c>
      <c r="N1851">
        <v>1.61</v>
      </c>
      <c r="O1851">
        <v>2.6</v>
      </c>
      <c r="P1851">
        <v>69</v>
      </c>
      <c r="Q1851">
        <v>1</v>
      </c>
      <c r="R1851">
        <v>1</v>
      </c>
      <c r="S1851">
        <v>0.95</v>
      </c>
      <c r="T1851">
        <v>2.62</v>
      </c>
      <c r="U1851">
        <v>0.26</v>
      </c>
      <c r="V1851">
        <v>2.4</v>
      </c>
      <c r="W1851">
        <v>1.05</v>
      </c>
      <c r="X1851">
        <v>0.84</v>
      </c>
    </row>
    <row r="1852" spans="2:24" hidden="1" x14ac:dyDescent="0.35">
      <c r="B1852">
        <v>2020</v>
      </c>
      <c r="C1852" s="1">
        <v>44317</v>
      </c>
      <c r="D1852">
        <v>2411</v>
      </c>
      <c r="E1852" t="s">
        <v>23</v>
      </c>
      <c r="F1852" t="s">
        <v>30</v>
      </c>
      <c r="G1852" t="s">
        <v>36</v>
      </c>
      <c r="H1852">
        <v>58.83</v>
      </c>
      <c r="I1852">
        <v>93.52</v>
      </c>
      <c r="J1852">
        <v>6.3200000000000006E-2</v>
      </c>
      <c r="K1852">
        <v>0.7974</v>
      </c>
      <c r="L1852">
        <v>0.13930000000000001</v>
      </c>
      <c r="M1852">
        <v>0.59</v>
      </c>
      <c r="N1852">
        <v>2.58</v>
      </c>
      <c r="O1852">
        <v>0.4</v>
      </c>
      <c r="P1852">
        <v>3.5</v>
      </c>
      <c r="Q1852">
        <v>0</v>
      </c>
      <c r="R1852">
        <v>2</v>
      </c>
      <c r="S1852">
        <v>0.51</v>
      </c>
      <c r="T1852">
        <v>1.91</v>
      </c>
      <c r="U1852">
        <v>0.73</v>
      </c>
      <c r="V1852">
        <v>1.71</v>
      </c>
      <c r="W1852">
        <v>0</v>
      </c>
      <c r="X1852">
        <v>2.1</v>
      </c>
    </row>
    <row r="1853" spans="2:24" hidden="1" x14ac:dyDescent="0.35">
      <c r="B1853">
        <v>2020</v>
      </c>
      <c r="C1853" s="1">
        <v>44317</v>
      </c>
      <c r="D1853">
        <v>2411</v>
      </c>
      <c r="E1853" t="s">
        <v>23</v>
      </c>
      <c r="F1853" t="s">
        <v>45</v>
      </c>
      <c r="G1853" t="s">
        <v>53</v>
      </c>
      <c r="H1853">
        <v>79.03</v>
      </c>
      <c r="I1853">
        <v>72.88</v>
      </c>
      <c r="J1853">
        <v>0.48509999999999998</v>
      </c>
      <c r="K1853">
        <v>0.25259999999999999</v>
      </c>
      <c r="L1853">
        <v>0.26219999999999999</v>
      </c>
      <c r="M1853">
        <v>1.54</v>
      </c>
      <c r="N1853">
        <v>1.03</v>
      </c>
      <c r="O1853">
        <v>8.4</v>
      </c>
      <c r="P1853">
        <v>0</v>
      </c>
      <c r="Q1853">
        <v>2</v>
      </c>
      <c r="R1853">
        <v>0</v>
      </c>
      <c r="S1853">
        <v>2.5299999999999998</v>
      </c>
      <c r="T1853">
        <v>0.63</v>
      </c>
      <c r="U1853">
        <v>1.5</v>
      </c>
      <c r="V1853">
        <v>0.51</v>
      </c>
      <c r="W1853">
        <v>1.86</v>
      </c>
      <c r="X1853">
        <v>0</v>
      </c>
    </row>
    <row r="1854" spans="2:24" hidden="1" x14ac:dyDescent="0.35">
      <c r="B1854">
        <v>2020</v>
      </c>
      <c r="C1854" s="1">
        <v>44317</v>
      </c>
      <c r="D1854">
        <v>2411</v>
      </c>
      <c r="E1854" t="s">
        <v>23</v>
      </c>
      <c r="F1854" t="s">
        <v>42</v>
      </c>
      <c r="G1854" t="s">
        <v>48</v>
      </c>
      <c r="H1854">
        <v>88.42</v>
      </c>
      <c r="I1854">
        <v>70.02</v>
      </c>
      <c r="J1854">
        <v>0.71689999999999998</v>
      </c>
      <c r="K1854">
        <v>7.3599999999999999E-2</v>
      </c>
      <c r="L1854">
        <v>0.20949999999999999</v>
      </c>
      <c r="M1854">
        <v>1.82</v>
      </c>
      <c r="N1854">
        <v>0.4</v>
      </c>
      <c r="O1854">
        <v>100</v>
      </c>
      <c r="P1854">
        <v>33.1</v>
      </c>
      <c r="Q1854">
        <v>2</v>
      </c>
      <c r="R1854">
        <v>0</v>
      </c>
      <c r="S1854">
        <v>1.79</v>
      </c>
      <c r="T1854">
        <v>0.3</v>
      </c>
      <c r="U1854">
        <v>1.17</v>
      </c>
      <c r="V1854">
        <v>1.21</v>
      </c>
      <c r="W1854">
        <v>2.1</v>
      </c>
      <c r="X1854">
        <v>0</v>
      </c>
    </row>
    <row r="1855" spans="2:24" hidden="1" x14ac:dyDescent="0.35">
      <c r="B1855">
        <v>2020</v>
      </c>
      <c r="C1855" s="1">
        <v>44317</v>
      </c>
      <c r="D1855">
        <v>2411</v>
      </c>
      <c r="E1855" t="s">
        <v>23</v>
      </c>
      <c r="F1855" t="s">
        <v>28</v>
      </c>
      <c r="G1855" t="s">
        <v>52</v>
      </c>
      <c r="H1855">
        <v>73.45</v>
      </c>
      <c r="I1855">
        <v>73.89</v>
      </c>
      <c r="J1855">
        <v>0.4239</v>
      </c>
      <c r="K1855">
        <v>0.309</v>
      </c>
      <c r="L1855">
        <v>0.2671</v>
      </c>
      <c r="M1855">
        <v>1.43</v>
      </c>
      <c r="N1855">
        <v>1.19</v>
      </c>
      <c r="O1855">
        <v>11.4</v>
      </c>
      <c r="P1855">
        <v>0.2</v>
      </c>
      <c r="Q1855">
        <v>1</v>
      </c>
      <c r="R1855">
        <v>2</v>
      </c>
      <c r="S1855">
        <v>1.33</v>
      </c>
      <c r="T1855">
        <v>1.86</v>
      </c>
      <c r="U1855">
        <v>1.43</v>
      </c>
      <c r="V1855">
        <v>1.42</v>
      </c>
      <c r="W1855">
        <v>1.05</v>
      </c>
      <c r="X1855">
        <v>2.1</v>
      </c>
    </row>
    <row r="1856" spans="2:24" hidden="1" x14ac:dyDescent="0.35">
      <c r="B1856">
        <v>2020</v>
      </c>
      <c r="C1856" s="1">
        <v>44318</v>
      </c>
      <c r="D1856">
        <v>2411</v>
      </c>
      <c r="E1856" t="s">
        <v>23</v>
      </c>
      <c r="F1856" t="s">
        <v>46</v>
      </c>
      <c r="G1856" t="s">
        <v>40</v>
      </c>
      <c r="H1856">
        <v>64.47</v>
      </c>
      <c r="I1856">
        <v>82.86</v>
      </c>
      <c r="J1856">
        <v>0.23280000000000001</v>
      </c>
      <c r="K1856">
        <v>0.51859999999999995</v>
      </c>
      <c r="L1856">
        <v>0.24859999999999999</v>
      </c>
      <c r="M1856">
        <v>1.04</v>
      </c>
      <c r="N1856">
        <v>1.68</v>
      </c>
      <c r="O1856">
        <v>5</v>
      </c>
      <c r="P1856">
        <v>0</v>
      </c>
      <c r="Q1856">
        <v>0</v>
      </c>
      <c r="R1856">
        <v>2</v>
      </c>
      <c r="S1856">
        <v>0.27</v>
      </c>
      <c r="T1856">
        <v>1.9</v>
      </c>
      <c r="U1856">
        <v>0.64</v>
      </c>
      <c r="V1856">
        <v>1.82</v>
      </c>
      <c r="W1856">
        <v>0</v>
      </c>
      <c r="X1856">
        <v>2.1</v>
      </c>
    </row>
    <row r="1857" spans="2:24" hidden="1" x14ac:dyDescent="0.35">
      <c r="B1857">
        <v>2020</v>
      </c>
      <c r="C1857" s="1">
        <v>44318</v>
      </c>
      <c r="D1857">
        <v>2411</v>
      </c>
      <c r="E1857" t="s">
        <v>23</v>
      </c>
      <c r="F1857" t="s">
        <v>29</v>
      </c>
      <c r="G1857" t="s">
        <v>51</v>
      </c>
      <c r="H1857">
        <v>76.89</v>
      </c>
      <c r="I1857">
        <v>57.4</v>
      </c>
      <c r="J1857">
        <v>0.68620000000000003</v>
      </c>
      <c r="K1857">
        <v>0.11169999999999999</v>
      </c>
      <c r="L1857">
        <v>0.2021</v>
      </c>
      <c r="M1857">
        <v>2.0099999999999998</v>
      </c>
      <c r="N1857">
        <v>0.66</v>
      </c>
      <c r="O1857">
        <v>26.8</v>
      </c>
      <c r="P1857">
        <v>0</v>
      </c>
      <c r="Q1857">
        <v>4</v>
      </c>
      <c r="R1857">
        <v>0</v>
      </c>
      <c r="S1857">
        <v>2.99</v>
      </c>
      <c r="T1857">
        <v>0.5</v>
      </c>
      <c r="U1857">
        <v>1.68</v>
      </c>
      <c r="V1857">
        <v>0.91</v>
      </c>
      <c r="W1857">
        <v>4.04</v>
      </c>
      <c r="X1857">
        <v>0</v>
      </c>
    </row>
    <row r="1858" spans="2:24" hidden="1" x14ac:dyDescent="0.35">
      <c r="B1858">
        <v>2020</v>
      </c>
      <c r="C1858" s="1">
        <v>44319</v>
      </c>
      <c r="D1858">
        <v>2411</v>
      </c>
      <c r="E1858" t="s">
        <v>23</v>
      </c>
      <c r="F1858" t="s">
        <v>31</v>
      </c>
      <c r="G1858" t="s">
        <v>49</v>
      </c>
      <c r="H1858">
        <v>59.78</v>
      </c>
      <c r="I1858">
        <v>69.87</v>
      </c>
      <c r="J1858">
        <v>0.34129999999999999</v>
      </c>
      <c r="K1858">
        <v>0.38190000000000002</v>
      </c>
      <c r="L1858">
        <v>0.27679999999999999</v>
      </c>
      <c r="M1858">
        <v>1.21</v>
      </c>
      <c r="N1858">
        <v>1.29</v>
      </c>
      <c r="O1858">
        <v>1.6</v>
      </c>
      <c r="P1858">
        <v>0</v>
      </c>
      <c r="Q1858">
        <v>1</v>
      </c>
      <c r="R1858">
        <v>1</v>
      </c>
      <c r="S1858">
        <v>1.1299999999999999</v>
      </c>
      <c r="T1858">
        <v>1.01</v>
      </c>
      <c r="U1858">
        <v>1.4</v>
      </c>
      <c r="V1858">
        <v>1.85</v>
      </c>
      <c r="W1858">
        <v>1.05</v>
      </c>
      <c r="X1858">
        <v>1.05</v>
      </c>
    </row>
    <row r="1859" spans="2:24" hidden="1" x14ac:dyDescent="0.35">
      <c r="B1859">
        <v>2020</v>
      </c>
      <c r="C1859" s="1">
        <v>44319</v>
      </c>
      <c r="D1859">
        <v>2411</v>
      </c>
      <c r="E1859" t="s">
        <v>23</v>
      </c>
      <c r="F1859" t="s">
        <v>32</v>
      </c>
      <c r="G1859" t="s">
        <v>43</v>
      </c>
      <c r="H1859">
        <v>69</v>
      </c>
      <c r="I1859">
        <v>74.319999999999993</v>
      </c>
      <c r="J1859">
        <v>0.32100000000000001</v>
      </c>
      <c r="K1859">
        <v>0.42520000000000002</v>
      </c>
      <c r="L1859">
        <v>0.25380000000000003</v>
      </c>
      <c r="M1859">
        <v>1.32</v>
      </c>
      <c r="N1859">
        <v>1.55</v>
      </c>
      <c r="O1859">
        <v>2.7</v>
      </c>
      <c r="P1859">
        <v>48.8</v>
      </c>
      <c r="Q1859">
        <v>1</v>
      </c>
      <c r="R1859">
        <v>2</v>
      </c>
      <c r="S1859">
        <v>2.0699999999999998</v>
      </c>
      <c r="T1859">
        <v>2.34</v>
      </c>
      <c r="U1859">
        <v>1.06</v>
      </c>
      <c r="V1859">
        <v>2.19</v>
      </c>
      <c r="W1859">
        <v>1.05</v>
      </c>
      <c r="X1859">
        <v>2.1</v>
      </c>
    </row>
    <row r="1860" spans="2:24" hidden="1" x14ac:dyDescent="0.35">
      <c r="B1860">
        <v>2020</v>
      </c>
      <c r="C1860" s="1">
        <v>44323</v>
      </c>
      <c r="D1860">
        <v>2411</v>
      </c>
      <c r="E1860" t="s">
        <v>23</v>
      </c>
      <c r="F1860" t="s">
        <v>25</v>
      </c>
      <c r="G1860" t="s">
        <v>46</v>
      </c>
      <c r="H1860">
        <v>80.48</v>
      </c>
      <c r="I1860">
        <v>63.35</v>
      </c>
      <c r="J1860">
        <v>0.69879999999999998</v>
      </c>
      <c r="K1860">
        <v>0.1007</v>
      </c>
      <c r="L1860">
        <v>0.20039999999999999</v>
      </c>
      <c r="M1860">
        <v>1.99</v>
      </c>
      <c r="N1860">
        <v>0.6</v>
      </c>
      <c r="O1860">
        <v>100</v>
      </c>
      <c r="P1860">
        <v>6.7</v>
      </c>
      <c r="Q1860">
        <v>2</v>
      </c>
      <c r="R1860">
        <v>4</v>
      </c>
      <c r="S1860">
        <v>2.71</v>
      </c>
      <c r="T1860">
        <v>3.08</v>
      </c>
      <c r="U1860">
        <v>2.4</v>
      </c>
      <c r="V1860">
        <v>0.69</v>
      </c>
      <c r="W1860">
        <v>2.1</v>
      </c>
      <c r="X1860">
        <v>4.12</v>
      </c>
    </row>
    <row r="1861" spans="2:24" hidden="1" x14ac:dyDescent="0.35">
      <c r="B1861">
        <v>2020</v>
      </c>
      <c r="C1861" s="1">
        <v>44324</v>
      </c>
      <c r="D1861">
        <v>2411</v>
      </c>
      <c r="E1861" t="s">
        <v>23</v>
      </c>
      <c r="F1861" t="s">
        <v>53</v>
      </c>
      <c r="G1861" t="s">
        <v>29</v>
      </c>
      <c r="H1861">
        <v>71.709999999999994</v>
      </c>
      <c r="I1861">
        <v>77.86</v>
      </c>
      <c r="J1861">
        <v>0.31030000000000002</v>
      </c>
      <c r="K1861">
        <v>0.44879999999999998</v>
      </c>
      <c r="L1861">
        <v>0.2409</v>
      </c>
      <c r="M1861">
        <v>1.4</v>
      </c>
      <c r="N1861">
        <v>1.72</v>
      </c>
      <c r="O1861">
        <v>0</v>
      </c>
      <c r="P1861">
        <v>58.5</v>
      </c>
      <c r="Q1861">
        <v>3</v>
      </c>
      <c r="R1861">
        <v>1</v>
      </c>
      <c r="S1861">
        <v>2.35</v>
      </c>
      <c r="T1861">
        <v>1.43</v>
      </c>
      <c r="U1861">
        <v>2.11</v>
      </c>
      <c r="V1861">
        <v>1.1100000000000001</v>
      </c>
      <c r="W1861">
        <v>2.8</v>
      </c>
      <c r="X1861">
        <v>1.05</v>
      </c>
    </row>
    <row r="1862" spans="2:24" hidden="1" x14ac:dyDescent="0.35">
      <c r="B1862">
        <v>2020</v>
      </c>
      <c r="C1862" s="1">
        <v>44324</v>
      </c>
      <c r="D1862">
        <v>2411</v>
      </c>
      <c r="E1862" t="s">
        <v>23</v>
      </c>
      <c r="F1862" t="s">
        <v>51</v>
      </c>
      <c r="G1862" t="s">
        <v>30</v>
      </c>
      <c r="H1862">
        <v>56.05</v>
      </c>
      <c r="I1862">
        <v>59.09</v>
      </c>
      <c r="J1862">
        <v>0.36609999999999998</v>
      </c>
      <c r="K1862">
        <v>0.33710000000000001</v>
      </c>
      <c r="L1862">
        <v>0.29670000000000002</v>
      </c>
      <c r="M1862">
        <v>1.1399999999999999</v>
      </c>
      <c r="N1862">
        <v>1.08</v>
      </c>
      <c r="O1862">
        <v>0</v>
      </c>
      <c r="P1862">
        <v>0.6</v>
      </c>
      <c r="Q1862">
        <v>0</v>
      </c>
      <c r="R1862">
        <v>2</v>
      </c>
      <c r="S1862">
        <v>0.75</v>
      </c>
      <c r="T1862">
        <v>2.04</v>
      </c>
      <c r="U1862">
        <v>0.55000000000000004</v>
      </c>
      <c r="V1862">
        <v>1.91</v>
      </c>
      <c r="W1862">
        <v>0</v>
      </c>
      <c r="X1862">
        <v>1.64</v>
      </c>
    </row>
    <row r="1863" spans="2:24" hidden="1" x14ac:dyDescent="0.35">
      <c r="B1863">
        <v>2020</v>
      </c>
      <c r="C1863" s="1">
        <v>44324</v>
      </c>
      <c r="D1863">
        <v>2411</v>
      </c>
      <c r="E1863" t="s">
        <v>23</v>
      </c>
      <c r="F1863" t="s">
        <v>36</v>
      </c>
      <c r="G1863" t="s">
        <v>42</v>
      </c>
      <c r="H1863">
        <v>93.26</v>
      </c>
      <c r="I1863">
        <v>89.41</v>
      </c>
      <c r="J1863">
        <v>0.47039999999999998</v>
      </c>
      <c r="K1863">
        <v>0.25440000000000002</v>
      </c>
      <c r="L1863">
        <v>0.27510000000000001</v>
      </c>
      <c r="M1863">
        <v>1.42</v>
      </c>
      <c r="N1863">
        <v>0.97</v>
      </c>
      <c r="O1863">
        <v>0.3</v>
      </c>
      <c r="P1863">
        <v>83.2</v>
      </c>
      <c r="Q1863">
        <v>1</v>
      </c>
      <c r="R1863">
        <v>2</v>
      </c>
      <c r="S1863">
        <v>1.9</v>
      </c>
      <c r="T1863">
        <v>0.7</v>
      </c>
      <c r="U1863">
        <v>1.27</v>
      </c>
      <c r="V1863">
        <v>1.02</v>
      </c>
      <c r="W1863">
        <v>1.05</v>
      </c>
      <c r="X1863">
        <v>2.1</v>
      </c>
    </row>
    <row r="1864" spans="2:24" hidden="1" x14ac:dyDescent="0.35">
      <c r="B1864">
        <v>2020</v>
      </c>
      <c r="C1864" s="1">
        <v>44324</v>
      </c>
      <c r="D1864">
        <v>2411</v>
      </c>
      <c r="E1864" t="s">
        <v>23</v>
      </c>
      <c r="F1864" t="s">
        <v>41</v>
      </c>
      <c r="G1864" t="s">
        <v>34</v>
      </c>
      <c r="H1864">
        <v>88.11</v>
      </c>
      <c r="I1864">
        <v>66.989999999999995</v>
      </c>
      <c r="J1864">
        <v>0.78159999999999996</v>
      </c>
      <c r="K1864">
        <v>7.0599999999999996E-2</v>
      </c>
      <c r="L1864">
        <v>0.14779999999999999</v>
      </c>
      <c r="M1864">
        <v>2.5099999999999998</v>
      </c>
      <c r="N1864">
        <v>0.62</v>
      </c>
      <c r="O1864">
        <v>100</v>
      </c>
      <c r="P1864">
        <v>0.6</v>
      </c>
      <c r="Q1864">
        <v>2</v>
      </c>
      <c r="R1864">
        <v>0</v>
      </c>
      <c r="S1864">
        <v>2.41</v>
      </c>
      <c r="T1864">
        <v>1.27</v>
      </c>
      <c r="U1864">
        <v>2.27</v>
      </c>
      <c r="V1864">
        <v>0.9</v>
      </c>
      <c r="W1864">
        <v>1.58</v>
      </c>
      <c r="X1864">
        <v>0</v>
      </c>
    </row>
    <row r="1865" spans="2:24" hidden="1" x14ac:dyDescent="0.35">
      <c r="B1865">
        <v>2020</v>
      </c>
      <c r="C1865" s="1">
        <v>44325</v>
      </c>
      <c r="D1865">
        <v>2411</v>
      </c>
      <c r="E1865" t="s">
        <v>23</v>
      </c>
      <c r="F1865" t="s">
        <v>49</v>
      </c>
      <c r="G1865" t="s">
        <v>45</v>
      </c>
      <c r="H1865">
        <v>69.88</v>
      </c>
      <c r="I1865">
        <v>80.13</v>
      </c>
      <c r="J1865">
        <v>0.32019999999999998</v>
      </c>
      <c r="K1865">
        <v>0.37840000000000001</v>
      </c>
      <c r="L1865">
        <v>0.3014</v>
      </c>
      <c r="M1865">
        <v>1.02</v>
      </c>
      <c r="N1865">
        <v>1.1399999999999999</v>
      </c>
      <c r="O1865">
        <v>0</v>
      </c>
      <c r="P1865">
        <v>0.3</v>
      </c>
      <c r="Q1865">
        <v>2</v>
      </c>
      <c r="R1865">
        <v>1</v>
      </c>
      <c r="S1865">
        <v>1.26</v>
      </c>
      <c r="T1865">
        <v>0.36</v>
      </c>
      <c r="U1865">
        <v>1.81</v>
      </c>
      <c r="V1865">
        <v>1.41</v>
      </c>
      <c r="W1865">
        <v>1.68</v>
      </c>
      <c r="X1865">
        <v>1.05</v>
      </c>
    </row>
    <row r="1866" spans="2:24" hidden="1" x14ac:dyDescent="0.35">
      <c r="B1866">
        <v>2020</v>
      </c>
      <c r="C1866" s="1">
        <v>44325</v>
      </c>
      <c r="D1866">
        <v>2411</v>
      </c>
      <c r="E1866" t="s">
        <v>23</v>
      </c>
      <c r="F1866" t="s">
        <v>52</v>
      </c>
      <c r="G1866" t="s">
        <v>39</v>
      </c>
      <c r="H1866">
        <v>74.55</v>
      </c>
      <c r="I1866">
        <v>87.67</v>
      </c>
      <c r="J1866">
        <v>0.2606</v>
      </c>
      <c r="K1866">
        <v>0.49640000000000001</v>
      </c>
      <c r="L1866">
        <v>0.24299999999999999</v>
      </c>
      <c r="M1866">
        <v>1.19</v>
      </c>
      <c r="N1866">
        <v>1.73</v>
      </c>
      <c r="O1866">
        <v>0</v>
      </c>
      <c r="P1866">
        <v>1.8</v>
      </c>
      <c r="Q1866">
        <v>1</v>
      </c>
      <c r="R1866">
        <v>3</v>
      </c>
      <c r="S1866">
        <v>0.55000000000000004</v>
      </c>
      <c r="T1866">
        <v>1.83</v>
      </c>
      <c r="U1866">
        <v>0.77</v>
      </c>
      <c r="V1866">
        <v>2.17</v>
      </c>
      <c r="W1866">
        <v>1.05</v>
      </c>
      <c r="X1866">
        <v>2.71</v>
      </c>
    </row>
    <row r="1867" spans="2:24" hidden="1" x14ac:dyDescent="0.35">
      <c r="B1867">
        <v>2020</v>
      </c>
      <c r="C1867" s="1">
        <v>44325</v>
      </c>
      <c r="D1867">
        <v>2411</v>
      </c>
      <c r="E1867" t="s">
        <v>23</v>
      </c>
      <c r="F1867" t="s">
        <v>43</v>
      </c>
      <c r="G1867" t="s">
        <v>28</v>
      </c>
      <c r="H1867">
        <v>74.88</v>
      </c>
      <c r="I1867">
        <v>72.61</v>
      </c>
      <c r="J1867">
        <v>0.54659999999999997</v>
      </c>
      <c r="K1867">
        <v>0.21659999999999999</v>
      </c>
      <c r="L1867">
        <v>0.23680000000000001</v>
      </c>
      <c r="M1867">
        <v>1.8</v>
      </c>
      <c r="N1867">
        <v>1.05</v>
      </c>
      <c r="O1867">
        <v>89.8</v>
      </c>
      <c r="P1867">
        <v>1.9</v>
      </c>
      <c r="Q1867">
        <v>0</v>
      </c>
      <c r="R1867">
        <v>1</v>
      </c>
      <c r="S1867">
        <v>1.1200000000000001</v>
      </c>
      <c r="T1867">
        <v>1.68</v>
      </c>
      <c r="U1867">
        <v>1.57</v>
      </c>
      <c r="V1867">
        <v>0.95</v>
      </c>
      <c r="W1867">
        <v>0</v>
      </c>
      <c r="X1867">
        <v>1.05</v>
      </c>
    </row>
    <row r="1868" spans="2:24" hidden="1" x14ac:dyDescent="0.35">
      <c r="B1868">
        <v>2020</v>
      </c>
      <c r="C1868" s="1">
        <v>44325</v>
      </c>
      <c r="D1868">
        <v>2411</v>
      </c>
      <c r="E1868" t="s">
        <v>23</v>
      </c>
      <c r="F1868" t="s">
        <v>40</v>
      </c>
      <c r="G1868" t="s">
        <v>31</v>
      </c>
      <c r="H1868">
        <v>84.06</v>
      </c>
      <c r="I1868">
        <v>59.78</v>
      </c>
      <c r="J1868">
        <v>0.57099999999999995</v>
      </c>
      <c r="K1868">
        <v>0.1946</v>
      </c>
      <c r="L1868">
        <v>0.2344</v>
      </c>
      <c r="M1868">
        <v>1.82</v>
      </c>
      <c r="N1868">
        <v>0.96</v>
      </c>
      <c r="O1868">
        <v>0</v>
      </c>
      <c r="P1868">
        <v>0.5</v>
      </c>
      <c r="Q1868">
        <v>3</v>
      </c>
      <c r="R1868">
        <v>1</v>
      </c>
      <c r="S1868">
        <v>1.21</v>
      </c>
      <c r="T1868">
        <v>1.89</v>
      </c>
      <c r="U1868">
        <v>1.06</v>
      </c>
      <c r="V1868">
        <v>0.89</v>
      </c>
      <c r="W1868">
        <v>2.63</v>
      </c>
      <c r="X1868">
        <v>1.05</v>
      </c>
    </row>
    <row r="1869" spans="2:24" hidden="1" x14ac:dyDescent="0.35">
      <c r="B1869">
        <v>2020</v>
      </c>
      <c r="C1869" s="1">
        <v>44326</v>
      </c>
      <c r="D1869">
        <v>2411</v>
      </c>
      <c r="E1869" t="s">
        <v>23</v>
      </c>
      <c r="F1869" t="s">
        <v>48</v>
      </c>
      <c r="G1869" t="s">
        <v>32</v>
      </c>
      <c r="H1869">
        <v>70</v>
      </c>
      <c r="I1869">
        <v>68.14</v>
      </c>
      <c r="J1869">
        <v>0.42380000000000001</v>
      </c>
      <c r="K1869">
        <v>0.29249999999999998</v>
      </c>
      <c r="L1869">
        <v>0.28370000000000001</v>
      </c>
      <c r="M1869">
        <v>1.31</v>
      </c>
      <c r="N1869">
        <v>1.04</v>
      </c>
      <c r="O1869">
        <v>9.4</v>
      </c>
      <c r="P1869">
        <v>6.4</v>
      </c>
      <c r="Q1869">
        <v>0</v>
      </c>
      <c r="R1869">
        <v>2</v>
      </c>
      <c r="S1869">
        <v>1</v>
      </c>
      <c r="T1869">
        <v>1.98</v>
      </c>
      <c r="U1869">
        <v>2.76</v>
      </c>
      <c r="V1869">
        <v>1.88</v>
      </c>
      <c r="W1869">
        <v>0</v>
      </c>
      <c r="X1869">
        <v>2.1</v>
      </c>
    </row>
    <row r="1870" spans="2:24" hidden="1" x14ac:dyDescent="0.35">
      <c r="B1870">
        <v>2020</v>
      </c>
      <c r="C1870" s="1">
        <v>44327</v>
      </c>
      <c r="D1870">
        <v>2411</v>
      </c>
      <c r="E1870" t="s">
        <v>23</v>
      </c>
      <c r="F1870" t="s">
        <v>39</v>
      </c>
      <c r="G1870" t="s">
        <v>25</v>
      </c>
      <c r="H1870">
        <v>88.25</v>
      </c>
      <c r="I1870">
        <v>78.36</v>
      </c>
      <c r="J1870">
        <v>0.49149999999999999</v>
      </c>
      <c r="K1870">
        <v>0.26119999999999999</v>
      </c>
      <c r="L1870">
        <v>0.24729999999999999</v>
      </c>
      <c r="M1870">
        <v>1.69</v>
      </c>
      <c r="N1870">
        <v>1.1599999999999999</v>
      </c>
      <c r="O1870">
        <v>0.7</v>
      </c>
      <c r="P1870">
        <v>100</v>
      </c>
      <c r="Q1870">
        <v>1</v>
      </c>
      <c r="R1870">
        <v>2</v>
      </c>
      <c r="S1870">
        <v>0.25</v>
      </c>
      <c r="T1870">
        <v>1.17</v>
      </c>
      <c r="U1870">
        <v>0.53</v>
      </c>
      <c r="V1870">
        <v>1.08</v>
      </c>
      <c r="W1870">
        <v>1.05</v>
      </c>
      <c r="X1870">
        <v>2.1</v>
      </c>
    </row>
    <row r="1871" spans="2:24" hidden="1" x14ac:dyDescent="0.35">
      <c r="B1871">
        <v>2020</v>
      </c>
      <c r="C1871" s="1">
        <v>44327</v>
      </c>
      <c r="D1871">
        <v>2411</v>
      </c>
      <c r="E1871" t="s">
        <v>23</v>
      </c>
      <c r="F1871" t="s">
        <v>34</v>
      </c>
      <c r="G1871" t="s">
        <v>30</v>
      </c>
      <c r="H1871">
        <v>67.11</v>
      </c>
      <c r="I1871">
        <v>61.09</v>
      </c>
      <c r="J1871">
        <v>0.43090000000000001</v>
      </c>
      <c r="K1871">
        <v>0.30149999999999999</v>
      </c>
      <c r="L1871">
        <v>0.2676</v>
      </c>
      <c r="M1871">
        <v>1.44</v>
      </c>
      <c r="N1871">
        <v>1.1599999999999999</v>
      </c>
      <c r="O1871">
        <v>0</v>
      </c>
      <c r="P1871">
        <v>0</v>
      </c>
      <c r="Q1871">
        <v>3</v>
      </c>
      <c r="R1871">
        <v>1</v>
      </c>
      <c r="S1871">
        <v>1.45</v>
      </c>
      <c r="T1871">
        <v>1.4</v>
      </c>
      <c r="U1871">
        <v>0.82</v>
      </c>
      <c r="V1871">
        <v>1.53</v>
      </c>
      <c r="W1871">
        <v>3.04</v>
      </c>
      <c r="X1871">
        <v>1.05</v>
      </c>
    </row>
    <row r="1872" spans="2:24" hidden="1" x14ac:dyDescent="0.35">
      <c r="B1872">
        <v>2020</v>
      </c>
      <c r="C1872" s="1">
        <v>44328</v>
      </c>
      <c r="D1872">
        <v>2411</v>
      </c>
      <c r="E1872" t="s">
        <v>23</v>
      </c>
      <c r="F1872" t="s">
        <v>42</v>
      </c>
      <c r="G1872" t="s">
        <v>40</v>
      </c>
      <c r="H1872">
        <v>89.83</v>
      </c>
      <c r="I1872">
        <v>83.07</v>
      </c>
      <c r="J1872">
        <v>0.58189999999999997</v>
      </c>
      <c r="K1872">
        <v>0.16450000000000001</v>
      </c>
      <c r="L1872">
        <v>0.25359999999999999</v>
      </c>
      <c r="M1872">
        <v>1.61</v>
      </c>
      <c r="N1872">
        <v>0.72</v>
      </c>
      <c r="O1872">
        <v>60.7</v>
      </c>
      <c r="P1872">
        <v>0</v>
      </c>
      <c r="Q1872">
        <v>0</v>
      </c>
      <c r="R1872">
        <v>1</v>
      </c>
      <c r="S1872">
        <v>1.78</v>
      </c>
      <c r="T1872">
        <v>0.67</v>
      </c>
      <c r="U1872">
        <v>2.86</v>
      </c>
      <c r="V1872">
        <v>0.61</v>
      </c>
      <c r="W1872">
        <v>0</v>
      </c>
      <c r="X1872">
        <v>1.05</v>
      </c>
    </row>
    <row r="1873" spans="2:24" hidden="1" x14ac:dyDescent="0.35">
      <c r="B1873">
        <v>2020</v>
      </c>
      <c r="C1873" s="1">
        <v>44329</v>
      </c>
      <c r="D1873">
        <v>2411</v>
      </c>
      <c r="E1873" t="s">
        <v>23</v>
      </c>
      <c r="F1873" t="s">
        <v>52</v>
      </c>
      <c r="G1873" t="s">
        <v>28</v>
      </c>
      <c r="H1873">
        <v>73.709999999999994</v>
      </c>
      <c r="I1873">
        <v>73.459999999999994</v>
      </c>
      <c r="J1873">
        <v>0.43169999999999997</v>
      </c>
      <c r="K1873">
        <v>0.30220000000000002</v>
      </c>
      <c r="L1873">
        <v>0.2661</v>
      </c>
      <c r="M1873">
        <v>1.45</v>
      </c>
      <c r="N1873">
        <v>1.17</v>
      </c>
      <c r="O1873">
        <v>0</v>
      </c>
      <c r="P1873">
        <v>2.2000000000000002</v>
      </c>
      <c r="Q1873">
        <v>0</v>
      </c>
      <c r="R1873">
        <v>0</v>
      </c>
      <c r="S1873">
        <v>0.67</v>
      </c>
      <c r="T1873">
        <v>1.1100000000000001</v>
      </c>
      <c r="U1873">
        <v>1.21</v>
      </c>
      <c r="V1873">
        <v>2.06</v>
      </c>
      <c r="W1873">
        <v>0</v>
      </c>
      <c r="X1873">
        <v>0</v>
      </c>
    </row>
    <row r="1874" spans="2:24" hidden="1" x14ac:dyDescent="0.35">
      <c r="B1874">
        <v>2020</v>
      </c>
      <c r="C1874" s="1">
        <v>44329</v>
      </c>
      <c r="D1874">
        <v>2411</v>
      </c>
      <c r="E1874" t="s">
        <v>23</v>
      </c>
      <c r="F1874" t="s">
        <v>39</v>
      </c>
      <c r="G1874" t="s">
        <v>41</v>
      </c>
      <c r="H1874">
        <v>87.2</v>
      </c>
      <c r="I1874">
        <v>88.09</v>
      </c>
      <c r="J1874">
        <v>0.32790000000000002</v>
      </c>
      <c r="K1874">
        <v>0.42009999999999997</v>
      </c>
      <c r="L1874">
        <v>0.252</v>
      </c>
      <c r="M1874">
        <v>1.35</v>
      </c>
      <c r="N1874">
        <v>1.56</v>
      </c>
      <c r="O1874">
        <v>0</v>
      </c>
      <c r="P1874">
        <v>100</v>
      </c>
      <c r="Q1874">
        <v>2</v>
      </c>
      <c r="R1874">
        <v>4</v>
      </c>
      <c r="S1874">
        <v>2.3199999999999998</v>
      </c>
      <c r="T1874">
        <v>3.6</v>
      </c>
      <c r="U1874">
        <v>1.83</v>
      </c>
      <c r="V1874">
        <v>1.49</v>
      </c>
      <c r="W1874">
        <v>2.1</v>
      </c>
      <c r="X1874">
        <v>3.69</v>
      </c>
    </row>
    <row r="1875" spans="2:24" hidden="1" x14ac:dyDescent="0.35">
      <c r="B1875">
        <v>2020</v>
      </c>
      <c r="C1875" s="1">
        <v>44330</v>
      </c>
      <c r="D1875">
        <v>2411</v>
      </c>
      <c r="E1875" t="s">
        <v>23</v>
      </c>
      <c r="F1875" t="s">
        <v>46</v>
      </c>
      <c r="G1875" t="s">
        <v>36</v>
      </c>
      <c r="H1875">
        <v>64.739999999999995</v>
      </c>
      <c r="I1875">
        <v>93.19</v>
      </c>
      <c r="J1875">
        <v>0.21690000000000001</v>
      </c>
      <c r="K1875">
        <v>0.56279999999999997</v>
      </c>
      <c r="L1875">
        <v>0.2203</v>
      </c>
      <c r="M1875">
        <v>1.17</v>
      </c>
      <c r="N1875">
        <v>2.0099999999999998</v>
      </c>
      <c r="O1875">
        <v>0</v>
      </c>
      <c r="P1875">
        <v>0</v>
      </c>
      <c r="Q1875">
        <v>3</v>
      </c>
      <c r="R1875">
        <v>4</v>
      </c>
      <c r="S1875">
        <v>2.62</v>
      </c>
      <c r="T1875">
        <v>1.64</v>
      </c>
      <c r="U1875">
        <v>0.95</v>
      </c>
      <c r="V1875">
        <v>1.96</v>
      </c>
      <c r="W1875">
        <v>3.15</v>
      </c>
      <c r="X1875">
        <v>4.2</v>
      </c>
    </row>
    <row r="1876" spans="2:24" hidden="1" x14ac:dyDescent="0.35">
      <c r="B1876">
        <v>2020</v>
      </c>
      <c r="C1876" s="1">
        <v>44331</v>
      </c>
      <c r="D1876">
        <v>2411</v>
      </c>
      <c r="E1876" t="s">
        <v>23</v>
      </c>
      <c r="F1876" t="s">
        <v>32</v>
      </c>
      <c r="G1876" t="s">
        <v>53</v>
      </c>
      <c r="H1876">
        <v>69.099999999999994</v>
      </c>
      <c r="I1876">
        <v>72.900000000000006</v>
      </c>
      <c r="J1876">
        <v>0.37730000000000002</v>
      </c>
      <c r="K1876">
        <v>0.37030000000000002</v>
      </c>
      <c r="L1876">
        <v>0.25240000000000001</v>
      </c>
      <c r="M1876">
        <v>1.48</v>
      </c>
      <c r="N1876">
        <v>1.46</v>
      </c>
      <c r="O1876">
        <v>0</v>
      </c>
      <c r="P1876">
        <v>0</v>
      </c>
      <c r="Q1876">
        <v>0</v>
      </c>
      <c r="R1876">
        <v>4</v>
      </c>
      <c r="S1876">
        <v>1.39</v>
      </c>
      <c r="T1876">
        <v>1.89</v>
      </c>
      <c r="U1876">
        <v>2.0699999999999998</v>
      </c>
      <c r="V1876">
        <v>1.54</v>
      </c>
      <c r="W1876">
        <v>0</v>
      </c>
      <c r="X1876">
        <v>3.82</v>
      </c>
    </row>
    <row r="1877" spans="2:24" hidden="1" x14ac:dyDescent="0.35">
      <c r="B1877">
        <v>2020</v>
      </c>
      <c r="C1877" s="1">
        <v>44331</v>
      </c>
      <c r="D1877">
        <v>2411</v>
      </c>
      <c r="E1877" t="s">
        <v>23</v>
      </c>
      <c r="F1877" t="s">
        <v>34</v>
      </c>
      <c r="G1877" t="s">
        <v>48</v>
      </c>
      <c r="H1877">
        <v>66.81</v>
      </c>
      <c r="I1877">
        <v>68.64</v>
      </c>
      <c r="J1877">
        <v>0.3906</v>
      </c>
      <c r="K1877">
        <v>0.33160000000000001</v>
      </c>
      <c r="L1877">
        <v>0.27779999999999999</v>
      </c>
      <c r="M1877">
        <v>1.3</v>
      </c>
      <c r="N1877">
        <v>1.18</v>
      </c>
      <c r="O1877">
        <v>0</v>
      </c>
      <c r="P1877">
        <v>0</v>
      </c>
      <c r="Q1877">
        <v>3</v>
      </c>
      <c r="R1877">
        <v>1</v>
      </c>
      <c r="S1877">
        <v>1.99</v>
      </c>
      <c r="T1877">
        <v>0.83</v>
      </c>
      <c r="U1877">
        <v>1.72</v>
      </c>
      <c r="V1877">
        <v>1.42</v>
      </c>
      <c r="W1877">
        <v>2.84</v>
      </c>
      <c r="X1877">
        <v>1.05</v>
      </c>
    </row>
    <row r="1878" spans="2:24" hidden="1" x14ac:dyDescent="0.35">
      <c r="B1878">
        <v>2020</v>
      </c>
      <c r="C1878" s="1">
        <v>44331</v>
      </c>
      <c r="D1878">
        <v>2411</v>
      </c>
      <c r="E1878" t="s">
        <v>23</v>
      </c>
      <c r="F1878" t="s">
        <v>45</v>
      </c>
      <c r="G1878" t="s">
        <v>43</v>
      </c>
      <c r="H1878">
        <v>79.099999999999994</v>
      </c>
      <c r="I1878">
        <v>74.290000000000006</v>
      </c>
      <c r="J1878">
        <v>0.45329999999999998</v>
      </c>
      <c r="K1878">
        <v>0.28160000000000002</v>
      </c>
      <c r="L1878">
        <v>0.26519999999999999</v>
      </c>
      <c r="M1878">
        <v>1.49</v>
      </c>
      <c r="N1878">
        <v>1.1100000000000001</v>
      </c>
      <c r="O1878">
        <v>0</v>
      </c>
      <c r="P1878">
        <v>9.9</v>
      </c>
      <c r="Q1878">
        <v>1</v>
      </c>
      <c r="R1878">
        <v>1</v>
      </c>
      <c r="S1878">
        <v>0.72</v>
      </c>
      <c r="T1878">
        <v>1.95</v>
      </c>
      <c r="U1878">
        <v>1.4</v>
      </c>
      <c r="V1878">
        <v>2.1</v>
      </c>
      <c r="W1878">
        <v>1.05</v>
      </c>
      <c r="X1878">
        <v>1.05</v>
      </c>
    </row>
    <row r="1879" spans="2:24" hidden="1" x14ac:dyDescent="0.35">
      <c r="B1879">
        <v>2020</v>
      </c>
      <c r="C1879" s="1">
        <v>44332</v>
      </c>
      <c r="D1879">
        <v>2411</v>
      </c>
      <c r="E1879" t="s">
        <v>23</v>
      </c>
      <c r="F1879" t="s">
        <v>30</v>
      </c>
      <c r="G1879" t="s">
        <v>52</v>
      </c>
      <c r="H1879">
        <v>61.13</v>
      </c>
      <c r="I1879">
        <v>73.14</v>
      </c>
      <c r="J1879">
        <v>0.32879999999999998</v>
      </c>
      <c r="K1879">
        <v>0.40079999999999999</v>
      </c>
      <c r="L1879">
        <v>0.27029999999999998</v>
      </c>
      <c r="M1879">
        <v>1.22</v>
      </c>
      <c r="N1879">
        <v>1.37</v>
      </c>
      <c r="O1879">
        <v>0</v>
      </c>
      <c r="P1879">
        <v>0</v>
      </c>
      <c r="Q1879">
        <v>3</v>
      </c>
      <c r="R1879">
        <v>2</v>
      </c>
      <c r="S1879">
        <v>1.9</v>
      </c>
      <c r="T1879">
        <v>1.41</v>
      </c>
      <c r="U1879">
        <v>1.53</v>
      </c>
      <c r="V1879">
        <v>1.9</v>
      </c>
      <c r="W1879">
        <v>3.15</v>
      </c>
      <c r="X1879">
        <v>2.1</v>
      </c>
    </row>
    <row r="1880" spans="2:24" hidden="1" x14ac:dyDescent="0.35">
      <c r="B1880">
        <v>2020</v>
      </c>
      <c r="C1880" s="1">
        <v>44332</v>
      </c>
      <c r="D1880">
        <v>2411</v>
      </c>
      <c r="E1880" t="s">
        <v>23</v>
      </c>
      <c r="F1880" t="s">
        <v>29</v>
      </c>
      <c r="G1880" t="s">
        <v>49</v>
      </c>
      <c r="H1880">
        <v>76.59</v>
      </c>
      <c r="I1880">
        <v>70.849999999999994</v>
      </c>
      <c r="J1880">
        <v>0.48299999999999998</v>
      </c>
      <c r="K1880">
        <v>0.26119999999999999</v>
      </c>
      <c r="L1880">
        <v>0.25569999999999998</v>
      </c>
      <c r="M1880">
        <v>1.6</v>
      </c>
      <c r="N1880">
        <v>1.1100000000000001</v>
      </c>
      <c r="O1880">
        <v>1.1000000000000001</v>
      </c>
      <c r="P1880">
        <v>0</v>
      </c>
      <c r="Q1880">
        <v>2</v>
      </c>
      <c r="R1880">
        <v>0</v>
      </c>
      <c r="S1880">
        <v>3.93</v>
      </c>
      <c r="T1880">
        <v>1.03</v>
      </c>
      <c r="U1880">
        <v>1.69</v>
      </c>
      <c r="V1880">
        <v>1.1100000000000001</v>
      </c>
      <c r="W1880">
        <v>2.1</v>
      </c>
      <c r="X1880">
        <v>0</v>
      </c>
    </row>
    <row r="1881" spans="2:24" hidden="1" x14ac:dyDescent="0.35">
      <c r="B1881">
        <v>2020</v>
      </c>
      <c r="C1881" s="1">
        <v>44332</v>
      </c>
      <c r="D1881">
        <v>2411</v>
      </c>
      <c r="E1881" t="s">
        <v>23</v>
      </c>
      <c r="F1881" t="s">
        <v>31</v>
      </c>
      <c r="G1881" t="s">
        <v>41</v>
      </c>
      <c r="H1881">
        <v>61</v>
      </c>
      <c r="I1881">
        <v>88.53</v>
      </c>
      <c r="J1881">
        <v>9.2499999999999999E-2</v>
      </c>
      <c r="K1881">
        <v>0.75239999999999996</v>
      </c>
      <c r="L1881">
        <v>0.15509999999999999</v>
      </c>
      <c r="M1881">
        <v>0.79</v>
      </c>
      <c r="N1881">
        <v>2.57</v>
      </c>
      <c r="O1881">
        <v>0</v>
      </c>
      <c r="P1881">
        <v>100</v>
      </c>
      <c r="Q1881">
        <v>1</v>
      </c>
      <c r="R1881">
        <v>2</v>
      </c>
      <c r="S1881">
        <v>1.3</v>
      </c>
      <c r="T1881">
        <v>2.31</v>
      </c>
      <c r="U1881">
        <v>1.23</v>
      </c>
      <c r="V1881">
        <v>3.63</v>
      </c>
      <c r="W1881">
        <v>1.05</v>
      </c>
      <c r="X1881">
        <v>2.1</v>
      </c>
    </row>
    <row r="1882" spans="2:24" hidden="1" x14ac:dyDescent="0.35">
      <c r="B1882">
        <v>2020</v>
      </c>
      <c r="C1882" s="1">
        <v>44332</v>
      </c>
      <c r="D1882">
        <v>2411</v>
      </c>
      <c r="E1882" t="s">
        <v>23</v>
      </c>
      <c r="F1882" t="s">
        <v>28</v>
      </c>
      <c r="G1882" t="s">
        <v>51</v>
      </c>
      <c r="H1882">
        <v>74.38</v>
      </c>
      <c r="I1882">
        <v>54.06</v>
      </c>
      <c r="J1882">
        <v>0.49830000000000002</v>
      </c>
      <c r="K1882">
        <v>0.22770000000000001</v>
      </c>
      <c r="L1882">
        <v>0.27400000000000002</v>
      </c>
      <c r="M1882">
        <v>1.45</v>
      </c>
      <c r="N1882">
        <v>0.88</v>
      </c>
      <c r="O1882">
        <v>0</v>
      </c>
      <c r="P1882">
        <v>0</v>
      </c>
      <c r="Q1882">
        <v>0</v>
      </c>
      <c r="R1882">
        <v>1</v>
      </c>
      <c r="S1882">
        <v>1.64</v>
      </c>
      <c r="T1882">
        <v>1.25</v>
      </c>
      <c r="U1882">
        <v>1.69</v>
      </c>
      <c r="V1882">
        <v>1.32</v>
      </c>
      <c r="W1882">
        <v>0</v>
      </c>
      <c r="X1882">
        <v>1.05</v>
      </c>
    </row>
    <row r="1883" spans="2:24" hidden="1" x14ac:dyDescent="0.35">
      <c r="B1883">
        <v>2020</v>
      </c>
      <c r="C1883" s="1">
        <v>44334</v>
      </c>
      <c r="D1883">
        <v>2411</v>
      </c>
      <c r="E1883" t="s">
        <v>23</v>
      </c>
      <c r="F1883" t="s">
        <v>39</v>
      </c>
      <c r="G1883" t="s">
        <v>48</v>
      </c>
      <c r="H1883">
        <v>86.37</v>
      </c>
      <c r="I1883">
        <v>67.5</v>
      </c>
      <c r="J1883">
        <v>0.5252</v>
      </c>
      <c r="K1883">
        <v>0.22900000000000001</v>
      </c>
      <c r="L1883">
        <v>0.24579999999999999</v>
      </c>
      <c r="M1883">
        <v>1.71</v>
      </c>
      <c r="N1883">
        <v>1.04</v>
      </c>
      <c r="O1883">
        <v>0</v>
      </c>
      <c r="P1883">
        <v>0</v>
      </c>
      <c r="Q1883">
        <v>1</v>
      </c>
      <c r="R1883">
        <v>1</v>
      </c>
      <c r="S1883">
        <v>0.86</v>
      </c>
      <c r="T1883">
        <v>1</v>
      </c>
      <c r="U1883">
        <v>1.1399999999999999</v>
      </c>
      <c r="V1883">
        <v>0.51</v>
      </c>
      <c r="W1883">
        <v>1.05</v>
      </c>
      <c r="X1883">
        <v>1.05</v>
      </c>
    </row>
    <row r="1884" spans="2:24" hidden="1" x14ac:dyDescent="0.35">
      <c r="B1884">
        <v>2020</v>
      </c>
      <c r="C1884" s="1">
        <v>44334</v>
      </c>
      <c r="D1884">
        <v>2411</v>
      </c>
      <c r="E1884" t="s">
        <v>23</v>
      </c>
      <c r="F1884" t="s">
        <v>34</v>
      </c>
      <c r="G1884" t="s">
        <v>53</v>
      </c>
      <c r="H1884">
        <v>67.59</v>
      </c>
      <c r="I1884">
        <v>74.03</v>
      </c>
      <c r="J1884">
        <v>0.36630000000000001</v>
      </c>
      <c r="K1884">
        <v>0.38719999999999999</v>
      </c>
      <c r="L1884">
        <v>0.2465</v>
      </c>
      <c r="M1884">
        <v>1.51</v>
      </c>
      <c r="N1884">
        <v>1.56</v>
      </c>
      <c r="O1884">
        <v>0</v>
      </c>
      <c r="P1884">
        <v>0</v>
      </c>
      <c r="Q1884">
        <v>0</v>
      </c>
      <c r="R1884">
        <v>2</v>
      </c>
      <c r="S1884">
        <v>1.35</v>
      </c>
      <c r="T1884">
        <v>1.7</v>
      </c>
      <c r="U1884">
        <v>1.3</v>
      </c>
      <c r="V1884">
        <v>1.43</v>
      </c>
      <c r="W1884">
        <v>0</v>
      </c>
      <c r="X1884">
        <v>1.58</v>
      </c>
    </row>
    <row r="1885" spans="2:24" hidden="1" x14ac:dyDescent="0.35">
      <c r="B1885">
        <v>2020</v>
      </c>
      <c r="C1885" s="1">
        <v>44334</v>
      </c>
      <c r="D1885">
        <v>2411</v>
      </c>
      <c r="E1885" t="s">
        <v>23</v>
      </c>
      <c r="F1885" t="s">
        <v>45</v>
      </c>
      <c r="G1885" t="s">
        <v>36</v>
      </c>
      <c r="H1885">
        <v>78.08</v>
      </c>
      <c r="I1885">
        <v>93.24</v>
      </c>
      <c r="J1885">
        <v>0.27229999999999999</v>
      </c>
      <c r="K1885">
        <v>0.46700000000000003</v>
      </c>
      <c r="L1885">
        <v>0.26069999999999999</v>
      </c>
      <c r="M1885">
        <v>1.1100000000000001</v>
      </c>
      <c r="N1885">
        <v>1.54</v>
      </c>
      <c r="O1885">
        <v>0</v>
      </c>
      <c r="P1885">
        <v>0</v>
      </c>
      <c r="Q1885">
        <v>3</v>
      </c>
      <c r="R1885">
        <v>2</v>
      </c>
      <c r="S1885">
        <v>1.22</v>
      </c>
      <c r="T1885">
        <v>1.04</v>
      </c>
      <c r="U1885">
        <v>2.44</v>
      </c>
      <c r="V1885">
        <v>0.75</v>
      </c>
      <c r="W1885">
        <v>2.52</v>
      </c>
      <c r="X1885">
        <v>2.1</v>
      </c>
    </row>
    <row r="1886" spans="2:24" hidden="1" x14ac:dyDescent="0.35">
      <c r="B1886">
        <v>2020</v>
      </c>
      <c r="C1886" s="1">
        <v>44334</v>
      </c>
      <c r="D1886">
        <v>2411</v>
      </c>
      <c r="E1886" t="s">
        <v>23</v>
      </c>
      <c r="F1886" t="s">
        <v>42</v>
      </c>
      <c r="G1886" t="s">
        <v>25</v>
      </c>
      <c r="H1886">
        <v>89.91</v>
      </c>
      <c r="I1886">
        <v>79.900000000000006</v>
      </c>
      <c r="J1886">
        <v>0.56659999999999999</v>
      </c>
      <c r="K1886">
        <v>0.18279999999999999</v>
      </c>
      <c r="L1886">
        <v>0.25059999999999999</v>
      </c>
      <c r="M1886">
        <v>1.65</v>
      </c>
      <c r="N1886">
        <v>0.82</v>
      </c>
      <c r="O1886">
        <v>100</v>
      </c>
      <c r="P1886">
        <v>100</v>
      </c>
      <c r="Q1886">
        <v>2</v>
      </c>
      <c r="R1886">
        <v>1</v>
      </c>
      <c r="S1886">
        <v>2.78</v>
      </c>
      <c r="T1886">
        <v>1.17</v>
      </c>
      <c r="U1886">
        <v>1.33</v>
      </c>
      <c r="V1886">
        <v>0.85</v>
      </c>
      <c r="W1886">
        <v>2.1</v>
      </c>
      <c r="X1886">
        <v>1.05</v>
      </c>
    </row>
    <row r="1887" spans="2:24" hidden="1" x14ac:dyDescent="0.35">
      <c r="B1887">
        <v>2020</v>
      </c>
      <c r="C1887" s="1">
        <v>44335</v>
      </c>
      <c r="D1887">
        <v>2411</v>
      </c>
      <c r="E1887" t="s">
        <v>23</v>
      </c>
      <c r="F1887" t="s">
        <v>28</v>
      </c>
      <c r="G1887" t="s">
        <v>49</v>
      </c>
      <c r="H1887">
        <v>72.900000000000006</v>
      </c>
      <c r="I1887">
        <v>69.52</v>
      </c>
      <c r="J1887">
        <v>0.40720000000000001</v>
      </c>
      <c r="K1887">
        <v>0.30630000000000002</v>
      </c>
      <c r="L1887">
        <v>0.28649999999999998</v>
      </c>
      <c r="M1887">
        <v>1.27</v>
      </c>
      <c r="N1887">
        <v>1.06</v>
      </c>
      <c r="O1887">
        <v>0</v>
      </c>
      <c r="P1887">
        <v>0</v>
      </c>
      <c r="Q1887">
        <v>1</v>
      </c>
      <c r="R1887">
        <v>0</v>
      </c>
      <c r="S1887">
        <v>0.74</v>
      </c>
      <c r="T1887">
        <v>0.4</v>
      </c>
      <c r="U1887">
        <v>1.29</v>
      </c>
      <c r="V1887">
        <v>0.95</v>
      </c>
      <c r="W1887">
        <v>1.05</v>
      </c>
      <c r="X1887">
        <v>0</v>
      </c>
    </row>
    <row r="1888" spans="2:24" hidden="1" x14ac:dyDescent="0.35">
      <c r="B1888">
        <v>2020</v>
      </c>
      <c r="C1888" s="1">
        <v>44335</v>
      </c>
      <c r="D1888">
        <v>2411</v>
      </c>
      <c r="E1888" t="s">
        <v>23</v>
      </c>
      <c r="F1888" t="s">
        <v>29</v>
      </c>
      <c r="G1888" t="s">
        <v>52</v>
      </c>
      <c r="H1888">
        <v>77.66</v>
      </c>
      <c r="I1888">
        <v>71.86</v>
      </c>
      <c r="J1888">
        <v>0.44340000000000002</v>
      </c>
      <c r="K1888">
        <v>0.3135</v>
      </c>
      <c r="L1888">
        <v>0.24310000000000001</v>
      </c>
      <c r="M1888">
        <v>1.69</v>
      </c>
      <c r="N1888">
        <v>1.39</v>
      </c>
      <c r="O1888">
        <v>0</v>
      </c>
      <c r="P1888">
        <v>0</v>
      </c>
      <c r="Q1888">
        <v>1</v>
      </c>
      <c r="R1888">
        <v>2</v>
      </c>
      <c r="S1888">
        <v>1.04</v>
      </c>
      <c r="T1888">
        <v>1.51</v>
      </c>
      <c r="U1888">
        <v>1.91</v>
      </c>
      <c r="V1888">
        <v>1.35</v>
      </c>
      <c r="W1888">
        <v>1.05</v>
      </c>
      <c r="X1888">
        <v>2.1</v>
      </c>
    </row>
    <row r="1889" spans="2:24" hidden="1" x14ac:dyDescent="0.35">
      <c r="B1889">
        <v>2020</v>
      </c>
      <c r="C1889" s="1">
        <v>44335</v>
      </c>
      <c r="D1889">
        <v>2411</v>
      </c>
      <c r="E1889" t="s">
        <v>23</v>
      </c>
      <c r="F1889" t="s">
        <v>46</v>
      </c>
      <c r="G1889" t="s">
        <v>51</v>
      </c>
      <c r="H1889">
        <v>66.67</v>
      </c>
      <c r="I1889">
        <v>55.57</v>
      </c>
      <c r="J1889">
        <v>0.46589999999999998</v>
      </c>
      <c r="K1889">
        <v>0.27189999999999998</v>
      </c>
      <c r="L1889">
        <v>0.26219999999999999</v>
      </c>
      <c r="M1889">
        <v>1.52</v>
      </c>
      <c r="N1889">
        <v>1.1000000000000001</v>
      </c>
      <c r="O1889">
        <v>0</v>
      </c>
      <c r="P1889">
        <v>0</v>
      </c>
      <c r="Q1889">
        <v>1</v>
      </c>
      <c r="R1889">
        <v>0</v>
      </c>
      <c r="S1889">
        <v>1.74</v>
      </c>
      <c r="T1889">
        <v>0.94</v>
      </c>
      <c r="U1889">
        <v>1.53</v>
      </c>
      <c r="V1889">
        <v>1.0900000000000001</v>
      </c>
      <c r="W1889">
        <v>1.05</v>
      </c>
      <c r="X1889">
        <v>0</v>
      </c>
    </row>
    <row r="1890" spans="2:24" hidden="1" x14ac:dyDescent="0.35">
      <c r="B1890">
        <v>2020</v>
      </c>
      <c r="C1890" s="1">
        <v>44335</v>
      </c>
      <c r="D1890">
        <v>2411</v>
      </c>
      <c r="E1890" t="s">
        <v>23</v>
      </c>
      <c r="F1890" t="s">
        <v>30</v>
      </c>
      <c r="G1890" t="s">
        <v>40</v>
      </c>
      <c r="H1890">
        <v>61.79</v>
      </c>
      <c r="I1890">
        <v>82.98</v>
      </c>
      <c r="J1890">
        <v>0.2823</v>
      </c>
      <c r="K1890">
        <v>0.45419999999999999</v>
      </c>
      <c r="L1890">
        <v>0.26350000000000001</v>
      </c>
      <c r="M1890">
        <v>1.1299999999999999</v>
      </c>
      <c r="N1890">
        <v>1.5</v>
      </c>
      <c r="O1890">
        <v>0</v>
      </c>
      <c r="P1890">
        <v>0</v>
      </c>
      <c r="Q1890">
        <v>1</v>
      </c>
      <c r="R1890">
        <v>3</v>
      </c>
      <c r="S1890">
        <v>1.1499999999999999</v>
      </c>
      <c r="T1890">
        <v>1.85</v>
      </c>
      <c r="U1890">
        <v>1.47</v>
      </c>
      <c r="V1890">
        <v>1.21</v>
      </c>
      <c r="W1890">
        <v>1.05</v>
      </c>
      <c r="X1890">
        <v>2.63</v>
      </c>
    </row>
    <row r="1891" spans="2:24" hidden="1" x14ac:dyDescent="0.35">
      <c r="B1891">
        <v>2020</v>
      </c>
      <c r="C1891" s="1">
        <v>44335</v>
      </c>
      <c r="D1891">
        <v>2411</v>
      </c>
      <c r="E1891" t="s">
        <v>23</v>
      </c>
      <c r="F1891" t="s">
        <v>31</v>
      </c>
      <c r="G1891" t="s">
        <v>43</v>
      </c>
      <c r="H1891">
        <v>60.98</v>
      </c>
      <c r="I1891">
        <v>75.349999999999994</v>
      </c>
      <c r="J1891">
        <v>0.32629999999999998</v>
      </c>
      <c r="K1891">
        <v>0.43070000000000003</v>
      </c>
      <c r="L1891">
        <v>0.24299999999999999</v>
      </c>
      <c r="M1891">
        <v>1.43</v>
      </c>
      <c r="N1891">
        <v>1.67</v>
      </c>
      <c r="O1891">
        <v>0</v>
      </c>
      <c r="P1891">
        <v>0</v>
      </c>
      <c r="Q1891">
        <v>1</v>
      </c>
      <c r="R1891">
        <v>3</v>
      </c>
      <c r="S1891">
        <v>1.1399999999999999</v>
      </c>
      <c r="T1891">
        <v>3.46</v>
      </c>
      <c r="U1891">
        <v>1.54</v>
      </c>
      <c r="V1891">
        <v>1.41</v>
      </c>
      <c r="W1891">
        <v>1.05</v>
      </c>
      <c r="X1891">
        <v>2.7</v>
      </c>
    </row>
    <row r="1892" spans="2:24" hidden="1" x14ac:dyDescent="0.35">
      <c r="B1892">
        <v>2020</v>
      </c>
      <c r="C1892" s="1">
        <v>44335</v>
      </c>
      <c r="D1892">
        <v>2411</v>
      </c>
      <c r="E1892" t="s">
        <v>23</v>
      </c>
      <c r="F1892" t="s">
        <v>32</v>
      </c>
      <c r="G1892" t="s">
        <v>41</v>
      </c>
      <c r="H1892">
        <v>67.69</v>
      </c>
      <c r="I1892">
        <v>88.43</v>
      </c>
      <c r="J1892">
        <v>0.12839999999999999</v>
      </c>
      <c r="K1892">
        <v>0.68930000000000002</v>
      </c>
      <c r="L1892">
        <v>0.1822</v>
      </c>
      <c r="M1892">
        <v>0.91</v>
      </c>
      <c r="N1892">
        <v>2.34</v>
      </c>
      <c r="O1892">
        <v>0</v>
      </c>
      <c r="P1892">
        <v>100</v>
      </c>
      <c r="Q1892">
        <v>0</v>
      </c>
      <c r="R1892">
        <v>3</v>
      </c>
      <c r="S1892">
        <v>1.06</v>
      </c>
      <c r="T1892">
        <v>3.31</v>
      </c>
      <c r="U1892">
        <v>1.88</v>
      </c>
      <c r="V1892">
        <v>2.83</v>
      </c>
      <c r="W1892">
        <v>0</v>
      </c>
      <c r="X1892">
        <v>2.68</v>
      </c>
    </row>
    <row r="1893" spans="2:24" hidden="1" x14ac:dyDescent="0.35">
      <c r="B1893">
        <v>2020</v>
      </c>
      <c r="C1893" s="1">
        <v>44339</v>
      </c>
      <c r="D1893">
        <v>2411</v>
      </c>
      <c r="E1893" t="s">
        <v>23</v>
      </c>
      <c r="F1893" t="s">
        <v>40</v>
      </c>
      <c r="G1893" t="s">
        <v>45</v>
      </c>
      <c r="H1893">
        <v>82.71</v>
      </c>
      <c r="I1893">
        <v>79.66</v>
      </c>
      <c r="J1893">
        <v>0.41</v>
      </c>
      <c r="K1893">
        <v>0.30690000000000001</v>
      </c>
      <c r="L1893">
        <v>0.28310000000000002</v>
      </c>
      <c r="M1893">
        <v>1.3</v>
      </c>
      <c r="N1893">
        <v>1.08</v>
      </c>
      <c r="O1893">
        <v>0</v>
      </c>
      <c r="P1893">
        <v>0</v>
      </c>
      <c r="Q1893">
        <v>2</v>
      </c>
      <c r="R1893">
        <v>0</v>
      </c>
      <c r="S1893">
        <v>0.77</v>
      </c>
      <c r="T1893">
        <v>0.2</v>
      </c>
      <c r="U1893">
        <v>2.2599999999999998</v>
      </c>
      <c r="V1893">
        <v>0.57999999999999996</v>
      </c>
      <c r="W1893">
        <v>2.1</v>
      </c>
      <c r="X1893">
        <v>0</v>
      </c>
    </row>
    <row r="1894" spans="2:24" hidden="1" x14ac:dyDescent="0.35">
      <c r="B1894">
        <v>2020</v>
      </c>
      <c r="C1894" s="1">
        <v>44339</v>
      </c>
      <c r="D1894">
        <v>2411</v>
      </c>
      <c r="E1894" t="s">
        <v>23</v>
      </c>
      <c r="F1894" t="s">
        <v>43</v>
      </c>
      <c r="G1894" t="s">
        <v>34</v>
      </c>
      <c r="H1894">
        <v>75.89</v>
      </c>
      <c r="I1894">
        <v>67.069999999999993</v>
      </c>
      <c r="J1894">
        <v>0.45750000000000002</v>
      </c>
      <c r="K1894">
        <v>0.30020000000000002</v>
      </c>
      <c r="L1894">
        <v>0.2422</v>
      </c>
      <c r="M1894">
        <v>1.71</v>
      </c>
      <c r="N1894">
        <v>1.35</v>
      </c>
      <c r="O1894">
        <v>0</v>
      </c>
      <c r="P1894">
        <v>0</v>
      </c>
      <c r="Q1894">
        <v>3</v>
      </c>
      <c r="R1894">
        <v>0</v>
      </c>
      <c r="S1894">
        <v>2.12</v>
      </c>
      <c r="T1894">
        <v>1.64</v>
      </c>
      <c r="U1894">
        <v>0.73</v>
      </c>
      <c r="V1894">
        <v>1.53</v>
      </c>
      <c r="W1894">
        <v>2.75</v>
      </c>
      <c r="X1894">
        <v>0</v>
      </c>
    </row>
    <row r="1895" spans="2:24" hidden="1" x14ac:dyDescent="0.35">
      <c r="B1895">
        <v>2020</v>
      </c>
      <c r="C1895" s="1">
        <v>44339</v>
      </c>
      <c r="D1895">
        <v>2411</v>
      </c>
      <c r="E1895" t="s">
        <v>23</v>
      </c>
      <c r="F1895" t="s">
        <v>51</v>
      </c>
      <c r="G1895" t="s">
        <v>32</v>
      </c>
      <c r="H1895">
        <v>55.73</v>
      </c>
      <c r="I1895">
        <v>66.86</v>
      </c>
      <c r="J1895">
        <v>0.32490000000000002</v>
      </c>
      <c r="K1895">
        <v>0.39810000000000001</v>
      </c>
      <c r="L1895">
        <v>0.27700000000000002</v>
      </c>
      <c r="M1895">
        <v>1.1599999999999999</v>
      </c>
      <c r="N1895">
        <v>1.32</v>
      </c>
      <c r="O1895">
        <v>0</v>
      </c>
      <c r="P1895">
        <v>0</v>
      </c>
      <c r="Q1895">
        <v>1</v>
      </c>
      <c r="R1895">
        <v>0</v>
      </c>
      <c r="S1895">
        <v>0.45</v>
      </c>
      <c r="T1895">
        <v>0.73</v>
      </c>
      <c r="U1895">
        <v>0.97</v>
      </c>
      <c r="V1895">
        <v>1.55</v>
      </c>
      <c r="W1895">
        <v>1.05</v>
      </c>
      <c r="X1895">
        <v>0</v>
      </c>
    </row>
    <row r="1896" spans="2:24" hidden="1" x14ac:dyDescent="0.35">
      <c r="B1896">
        <v>2020</v>
      </c>
      <c r="C1896" s="1">
        <v>44339</v>
      </c>
      <c r="D1896">
        <v>2411</v>
      </c>
      <c r="E1896" t="s">
        <v>23</v>
      </c>
      <c r="F1896" t="s">
        <v>52</v>
      </c>
      <c r="G1896" t="s">
        <v>42</v>
      </c>
      <c r="H1896">
        <v>72.73</v>
      </c>
      <c r="I1896">
        <v>89.92</v>
      </c>
      <c r="J1896">
        <v>0.15010000000000001</v>
      </c>
      <c r="K1896">
        <v>0.62609999999999999</v>
      </c>
      <c r="L1896">
        <v>0.2238</v>
      </c>
      <c r="M1896">
        <v>0.79</v>
      </c>
      <c r="N1896">
        <v>1.87</v>
      </c>
      <c r="O1896">
        <v>0</v>
      </c>
      <c r="P1896">
        <v>100</v>
      </c>
      <c r="Q1896">
        <v>2</v>
      </c>
      <c r="R1896">
        <v>1</v>
      </c>
      <c r="S1896">
        <v>1</v>
      </c>
      <c r="T1896">
        <v>4.1100000000000003</v>
      </c>
      <c r="U1896">
        <v>0.79</v>
      </c>
      <c r="V1896">
        <v>2.71</v>
      </c>
      <c r="W1896">
        <v>2.1</v>
      </c>
      <c r="X1896">
        <v>1.05</v>
      </c>
    </row>
    <row r="1897" spans="2:24" hidden="1" x14ac:dyDescent="0.35">
      <c r="B1897">
        <v>2020</v>
      </c>
      <c r="C1897" s="1">
        <v>44339</v>
      </c>
      <c r="D1897">
        <v>2411</v>
      </c>
      <c r="E1897" t="s">
        <v>23</v>
      </c>
      <c r="F1897" t="s">
        <v>49</v>
      </c>
      <c r="G1897" t="s">
        <v>39</v>
      </c>
      <c r="H1897">
        <v>69.5</v>
      </c>
      <c r="I1897">
        <v>85.69</v>
      </c>
      <c r="J1897">
        <v>0.29099999999999998</v>
      </c>
      <c r="K1897">
        <v>0.44640000000000002</v>
      </c>
      <c r="L1897">
        <v>0.26269999999999999</v>
      </c>
      <c r="M1897">
        <v>1.1599999999999999</v>
      </c>
      <c r="N1897">
        <v>1.5</v>
      </c>
      <c r="O1897">
        <v>0</v>
      </c>
      <c r="P1897">
        <v>0</v>
      </c>
      <c r="Q1897">
        <v>1</v>
      </c>
      <c r="R1897">
        <v>2</v>
      </c>
      <c r="S1897">
        <v>1.1100000000000001</v>
      </c>
      <c r="T1897">
        <v>2</v>
      </c>
      <c r="U1897">
        <v>1.23</v>
      </c>
      <c r="V1897">
        <v>1.06</v>
      </c>
      <c r="W1897">
        <v>1.05</v>
      </c>
      <c r="X1897">
        <v>2.1</v>
      </c>
    </row>
    <row r="1898" spans="2:24" hidden="1" x14ac:dyDescent="0.35">
      <c r="B1898">
        <v>2020</v>
      </c>
      <c r="C1898" s="1">
        <v>44339</v>
      </c>
      <c r="D1898">
        <v>2411</v>
      </c>
      <c r="E1898" t="s">
        <v>23</v>
      </c>
      <c r="F1898" t="s">
        <v>36</v>
      </c>
      <c r="G1898" t="s">
        <v>28</v>
      </c>
      <c r="H1898">
        <v>92.39</v>
      </c>
      <c r="I1898">
        <v>73.319999999999993</v>
      </c>
      <c r="J1898">
        <v>0.54869999999999997</v>
      </c>
      <c r="K1898">
        <v>0.21479999999999999</v>
      </c>
      <c r="L1898">
        <v>0.23649999999999999</v>
      </c>
      <c r="M1898">
        <v>1.81</v>
      </c>
      <c r="N1898">
        <v>1.04</v>
      </c>
      <c r="O1898">
        <v>0</v>
      </c>
      <c r="P1898">
        <v>0</v>
      </c>
      <c r="Q1898">
        <v>5</v>
      </c>
      <c r="R1898">
        <v>0</v>
      </c>
      <c r="S1898">
        <v>2.7</v>
      </c>
      <c r="T1898">
        <v>1.1200000000000001</v>
      </c>
      <c r="U1898">
        <v>2.1800000000000002</v>
      </c>
      <c r="V1898">
        <v>0.72</v>
      </c>
      <c r="W1898">
        <v>5.09</v>
      </c>
      <c r="X1898">
        <v>0</v>
      </c>
    </row>
    <row r="1899" spans="2:24" hidden="1" x14ac:dyDescent="0.35">
      <c r="B1899">
        <v>2020</v>
      </c>
      <c r="C1899" s="1">
        <v>44339</v>
      </c>
      <c r="D1899">
        <v>2411</v>
      </c>
      <c r="E1899" t="s">
        <v>23</v>
      </c>
      <c r="F1899" t="s">
        <v>48</v>
      </c>
      <c r="G1899" t="s">
        <v>46</v>
      </c>
      <c r="H1899">
        <v>68.709999999999994</v>
      </c>
      <c r="I1899">
        <v>66.790000000000006</v>
      </c>
      <c r="J1899">
        <v>0.39200000000000002</v>
      </c>
      <c r="K1899">
        <v>0.33679999999999999</v>
      </c>
      <c r="L1899">
        <v>0.2712</v>
      </c>
      <c r="M1899">
        <v>1.35</v>
      </c>
      <c r="N1899">
        <v>1.23</v>
      </c>
      <c r="O1899">
        <v>0</v>
      </c>
      <c r="P1899">
        <v>0</v>
      </c>
      <c r="Q1899">
        <v>0</v>
      </c>
      <c r="R1899">
        <v>2</v>
      </c>
      <c r="S1899">
        <v>0.98</v>
      </c>
      <c r="T1899">
        <v>1.72</v>
      </c>
      <c r="U1899">
        <v>1.29</v>
      </c>
      <c r="V1899">
        <v>0.47</v>
      </c>
      <c r="W1899">
        <v>0</v>
      </c>
      <c r="X1899">
        <v>1.63</v>
      </c>
    </row>
    <row r="1900" spans="2:24" hidden="1" x14ac:dyDescent="0.35">
      <c r="B1900">
        <v>2020</v>
      </c>
      <c r="C1900" s="1">
        <v>44339</v>
      </c>
      <c r="D1900">
        <v>2411</v>
      </c>
      <c r="E1900" t="s">
        <v>23</v>
      </c>
      <c r="F1900" t="s">
        <v>53</v>
      </c>
      <c r="G1900" t="s">
        <v>31</v>
      </c>
      <c r="H1900">
        <v>74.73</v>
      </c>
      <c r="I1900">
        <v>60.12</v>
      </c>
      <c r="J1900">
        <v>0.4859</v>
      </c>
      <c r="K1900">
        <v>0.27679999999999999</v>
      </c>
      <c r="L1900">
        <v>0.23730000000000001</v>
      </c>
      <c r="M1900">
        <v>1.8</v>
      </c>
      <c r="N1900">
        <v>1.3</v>
      </c>
      <c r="O1900">
        <v>0</v>
      </c>
      <c r="P1900">
        <v>0</v>
      </c>
      <c r="Q1900">
        <v>3</v>
      </c>
      <c r="R1900">
        <v>1</v>
      </c>
      <c r="S1900">
        <v>2.14</v>
      </c>
      <c r="T1900">
        <v>1.06</v>
      </c>
      <c r="U1900">
        <v>2.2400000000000002</v>
      </c>
      <c r="V1900">
        <v>1.17</v>
      </c>
      <c r="W1900">
        <v>2.94</v>
      </c>
      <c r="X1900">
        <v>1.05</v>
      </c>
    </row>
    <row r="1901" spans="2:24" hidden="1" x14ac:dyDescent="0.35">
      <c r="B1901">
        <v>2020</v>
      </c>
      <c r="C1901" s="1">
        <v>44339</v>
      </c>
      <c r="D1901">
        <v>2411</v>
      </c>
      <c r="E1901" t="s">
        <v>23</v>
      </c>
      <c r="F1901" t="s">
        <v>41</v>
      </c>
      <c r="G1901" t="s">
        <v>30</v>
      </c>
      <c r="H1901">
        <v>88.84</v>
      </c>
      <c r="I1901">
        <v>61.9</v>
      </c>
      <c r="J1901">
        <v>0.83899999999999997</v>
      </c>
      <c r="K1901">
        <v>4.4699999999999997E-2</v>
      </c>
      <c r="L1901">
        <v>0.1164</v>
      </c>
      <c r="M1901">
        <v>2.76</v>
      </c>
      <c r="N1901">
        <v>0.5</v>
      </c>
      <c r="O1901">
        <v>100</v>
      </c>
      <c r="P1901">
        <v>0</v>
      </c>
      <c r="Q1901">
        <v>2</v>
      </c>
      <c r="R1901">
        <v>0</v>
      </c>
      <c r="S1901">
        <v>2.2799999999999998</v>
      </c>
      <c r="T1901">
        <v>0.79</v>
      </c>
      <c r="U1901">
        <v>3.13</v>
      </c>
      <c r="V1901">
        <v>0.22</v>
      </c>
      <c r="W1901">
        <v>2.0099999999999998</v>
      </c>
      <c r="X1901">
        <v>0</v>
      </c>
    </row>
    <row r="1902" spans="2:24" hidden="1" x14ac:dyDescent="0.35">
      <c r="B1902">
        <v>2020</v>
      </c>
      <c r="C1902" s="1">
        <v>44339</v>
      </c>
      <c r="D1902">
        <v>2411</v>
      </c>
      <c r="E1902" t="s">
        <v>23</v>
      </c>
      <c r="F1902" t="s">
        <v>25</v>
      </c>
      <c r="G1902" t="s">
        <v>29</v>
      </c>
      <c r="H1902">
        <v>79.7</v>
      </c>
      <c r="I1902">
        <v>76.849999999999994</v>
      </c>
      <c r="J1902">
        <v>0.54369999999999996</v>
      </c>
      <c r="K1902">
        <v>0.22459999999999999</v>
      </c>
      <c r="L1902">
        <v>0.23169999999999999</v>
      </c>
      <c r="M1902">
        <v>1.87</v>
      </c>
      <c r="N1902">
        <v>1.1200000000000001</v>
      </c>
      <c r="O1902">
        <v>100</v>
      </c>
      <c r="P1902">
        <v>0</v>
      </c>
      <c r="Q1902">
        <v>2</v>
      </c>
      <c r="R1902">
        <v>4</v>
      </c>
      <c r="S1902">
        <v>1.86</v>
      </c>
      <c r="T1902">
        <v>2.56</v>
      </c>
      <c r="U1902">
        <v>0.57999999999999996</v>
      </c>
      <c r="V1902">
        <v>1.77</v>
      </c>
      <c r="W1902">
        <v>2.1</v>
      </c>
      <c r="X1902">
        <v>3.68</v>
      </c>
    </row>
  </sheetData>
  <autoFilter ref="B2:X1902" xr:uid="{5D2C1625-4204-41D7-91C7-16C73CF2A118}">
    <filterColumn colId="0">
      <filters>
        <filter val="201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4D8C-3503-4ABC-A3CF-59FAE8D1A03E}">
  <dimension ref="D7:N387"/>
  <sheetViews>
    <sheetView workbookViewId="0">
      <selection activeCell="J8" sqref="J8"/>
    </sheetView>
    <sheetView workbookViewId="1"/>
  </sheetViews>
  <sheetFormatPr defaultRowHeight="14.5" x14ac:dyDescent="0.35"/>
  <cols>
    <col min="4" max="4" width="38.6328125" bestFit="1" customWidth="1"/>
  </cols>
  <sheetData>
    <row r="7" spans="4:14" x14ac:dyDescent="0.35">
      <c r="E7" t="s">
        <v>121</v>
      </c>
      <c r="F7" t="s">
        <v>122</v>
      </c>
      <c r="G7" t="s">
        <v>118</v>
      </c>
      <c r="H7" t="s">
        <v>119</v>
      </c>
      <c r="I7" t="s">
        <v>120</v>
      </c>
      <c r="L7" t="s">
        <v>123</v>
      </c>
      <c r="M7" t="s">
        <v>123</v>
      </c>
      <c r="N7" t="b">
        <f>L7=M7</f>
        <v>1</v>
      </c>
    </row>
    <row r="8" spans="4:14" x14ac:dyDescent="0.35">
      <c r="D8" t="str">
        <f>E8&amp;F8</f>
        <v>LiverpoolNorwich City</v>
      </c>
      <c r="E8" t="s">
        <v>41</v>
      </c>
      <c r="F8" t="s">
        <v>50</v>
      </c>
      <c r="G8">
        <v>1.1599999999999999</v>
      </c>
      <c r="H8">
        <v>10</v>
      </c>
      <c r="I8">
        <v>23</v>
      </c>
    </row>
    <row r="9" spans="4:14" x14ac:dyDescent="0.35">
      <c r="D9" t="str">
        <f t="shared" ref="D9:D72" si="0">E9&amp;F9</f>
        <v>West Ham UnitedManchester City</v>
      </c>
      <c r="E9" t="s">
        <v>43</v>
      </c>
      <c r="F9" t="s">
        <v>36</v>
      </c>
      <c r="G9">
        <v>13</v>
      </c>
      <c r="H9">
        <v>6.75</v>
      </c>
      <c r="I9">
        <v>1.29</v>
      </c>
    </row>
    <row r="10" spans="4:14" x14ac:dyDescent="0.35">
      <c r="D10" t="str">
        <f t="shared" si="0"/>
        <v>AFC BournemouthSheffield United</v>
      </c>
      <c r="E10" t="s">
        <v>38</v>
      </c>
      <c r="F10" t="s">
        <v>51</v>
      </c>
      <c r="G10">
        <v>2.06</v>
      </c>
      <c r="H10">
        <v>3.65</v>
      </c>
      <c r="I10">
        <v>4</v>
      </c>
    </row>
    <row r="11" spans="4:14" x14ac:dyDescent="0.35">
      <c r="D11" t="str">
        <f t="shared" si="0"/>
        <v>BurnleySouthampton</v>
      </c>
      <c r="E11" t="s">
        <v>32</v>
      </c>
      <c r="F11" t="s">
        <v>34</v>
      </c>
      <c r="G11">
        <v>2.8</v>
      </c>
      <c r="H11">
        <v>3.33</v>
      </c>
      <c r="I11">
        <v>2.85</v>
      </c>
    </row>
    <row r="12" spans="4:14" x14ac:dyDescent="0.35">
      <c r="D12" t="str">
        <f t="shared" si="0"/>
        <v>Crystal PalaceEverton</v>
      </c>
      <c r="E12" t="s">
        <v>30</v>
      </c>
      <c r="F12" t="s">
        <v>28</v>
      </c>
      <c r="G12">
        <v>3.21</v>
      </c>
      <c r="H12">
        <v>3.4</v>
      </c>
      <c r="I12">
        <v>2.52</v>
      </c>
    </row>
    <row r="13" spans="4:14" x14ac:dyDescent="0.35">
      <c r="D13" t="str">
        <f t="shared" si="0"/>
        <v>WatfordBrighton and Hove Albion</v>
      </c>
      <c r="E13" t="s">
        <v>35</v>
      </c>
      <c r="F13" t="s">
        <v>45</v>
      </c>
      <c r="G13">
        <v>2</v>
      </c>
      <c r="H13">
        <v>3.5</v>
      </c>
      <c r="I13">
        <v>4.5999999999999996</v>
      </c>
    </row>
    <row r="14" spans="4:14" x14ac:dyDescent="0.35">
      <c r="D14" t="str">
        <f t="shared" si="0"/>
        <v>Tottenham HotspurAston Villa</v>
      </c>
      <c r="E14" t="s">
        <v>29</v>
      </c>
      <c r="F14" t="s">
        <v>52</v>
      </c>
      <c r="G14">
        <v>1.33</v>
      </c>
      <c r="H14">
        <v>5.95</v>
      </c>
      <c r="I14">
        <v>12</v>
      </c>
    </row>
    <row r="15" spans="4:14" x14ac:dyDescent="0.35">
      <c r="D15" t="str">
        <f t="shared" si="0"/>
        <v>Leicester CityWolverhampton</v>
      </c>
      <c r="E15" t="s">
        <v>25</v>
      </c>
      <c r="F15" t="s">
        <v>49</v>
      </c>
      <c r="G15">
        <v>2.29</v>
      </c>
      <c r="H15">
        <v>3.38</v>
      </c>
      <c r="I15">
        <v>3.66</v>
      </c>
    </row>
    <row r="16" spans="4:14" x14ac:dyDescent="0.35">
      <c r="D16" t="str">
        <f t="shared" si="0"/>
        <v>NewcastleArsenal</v>
      </c>
      <c r="E16" t="s">
        <v>46</v>
      </c>
      <c r="F16" t="s">
        <v>40</v>
      </c>
      <c r="G16">
        <v>4.7</v>
      </c>
      <c r="H16">
        <v>4</v>
      </c>
      <c r="I16">
        <v>1.83</v>
      </c>
    </row>
    <row r="17" spans="4:9" x14ac:dyDescent="0.35">
      <c r="D17" t="str">
        <f t="shared" si="0"/>
        <v>Manchester UnitedChelsea</v>
      </c>
      <c r="E17" t="s">
        <v>39</v>
      </c>
      <c r="F17" t="s">
        <v>42</v>
      </c>
      <c r="G17">
        <v>2.2799999999999998</v>
      </c>
      <c r="H17">
        <v>3.43</v>
      </c>
      <c r="I17">
        <v>3.63</v>
      </c>
    </row>
    <row r="18" spans="4:9" x14ac:dyDescent="0.35">
      <c r="D18" t="str">
        <f t="shared" si="0"/>
        <v>ArsenalBurnley</v>
      </c>
      <c r="E18" t="s">
        <v>40</v>
      </c>
      <c r="F18" t="s">
        <v>32</v>
      </c>
      <c r="G18">
        <v>1.36</v>
      </c>
      <c r="H18">
        <v>5.75</v>
      </c>
      <c r="I18">
        <v>11</v>
      </c>
    </row>
    <row r="19" spans="4:9" x14ac:dyDescent="0.35">
      <c r="D19" t="str">
        <f t="shared" si="0"/>
        <v>Aston VillaAFC Bournemouth</v>
      </c>
      <c r="E19" t="s">
        <v>52</v>
      </c>
      <c r="F19" t="s">
        <v>38</v>
      </c>
      <c r="G19">
        <v>2.42</v>
      </c>
      <c r="H19">
        <v>3.64</v>
      </c>
      <c r="I19">
        <v>3.2</v>
      </c>
    </row>
    <row r="20" spans="4:9" x14ac:dyDescent="0.35">
      <c r="D20" t="str">
        <f t="shared" si="0"/>
        <v>Brighton and Hove AlbionWest Ham United</v>
      </c>
      <c r="E20" t="s">
        <v>45</v>
      </c>
      <c r="F20" t="s">
        <v>43</v>
      </c>
      <c r="G20">
        <v>2.65</v>
      </c>
      <c r="H20">
        <v>3.42</v>
      </c>
      <c r="I20">
        <v>3</v>
      </c>
    </row>
    <row r="21" spans="4:9" x14ac:dyDescent="0.35">
      <c r="D21" t="str">
        <f t="shared" si="0"/>
        <v>EvertonWatford</v>
      </c>
      <c r="E21" t="s">
        <v>28</v>
      </c>
      <c r="F21" t="s">
        <v>35</v>
      </c>
      <c r="G21">
        <v>1.8</v>
      </c>
      <c r="H21">
        <v>4.05</v>
      </c>
      <c r="I21">
        <v>5.2</v>
      </c>
    </row>
    <row r="22" spans="4:9" x14ac:dyDescent="0.35">
      <c r="D22" t="str">
        <f t="shared" si="0"/>
        <v>Norwich CityNewcastle</v>
      </c>
      <c r="E22" t="s">
        <v>50</v>
      </c>
      <c r="F22" t="s">
        <v>46</v>
      </c>
      <c r="G22">
        <v>2.2999999999999998</v>
      </c>
      <c r="H22">
        <v>3.5</v>
      </c>
      <c r="I22">
        <v>3.5</v>
      </c>
    </row>
    <row r="23" spans="4:9" x14ac:dyDescent="0.35">
      <c r="D23" t="str">
        <f t="shared" si="0"/>
        <v>SouthamptonLiverpool</v>
      </c>
      <c r="E23" t="s">
        <v>34</v>
      </c>
      <c r="F23" t="s">
        <v>41</v>
      </c>
      <c r="G23">
        <v>7.5</v>
      </c>
      <c r="H23">
        <v>4.9000000000000004</v>
      </c>
      <c r="I23">
        <v>1.52</v>
      </c>
    </row>
    <row r="24" spans="4:9" x14ac:dyDescent="0.35">
      <c r="D24" t="str">
        <f t="shared" si="0"/>
        <v>Manchester CityTottenham Hotspur</v>
      </c>
      <c r="E24" t="s">
        <v>36</v>
      </c>
      <c r="F24" t="s">
        <v>29</v>
      </c>
      <c r="G24">
        <v>1.4</v>
      </c>
      <c r="H24">
        <v>5.5</v>
      </c>
      <c r="I24">
        <v>9</v>
      </c>
    </row>
    <row r="25" spans="4:9" x14ac:dyDescent="0.35">
      <c r="D25" t="str">
        <f t="shared" si="0"/>
        <v>Sheffield UnitedCrystal Palace</v>
      </c>
      <c r="E25" t="s">
        <v>51</v>
      </c>
      <c r="F25" t="s">
        <v>30</v>
      </c>
      <c r="G25">
        <v>2.65</v>
      </c>
      <c r="H25">
        <v>3.35</v>
      </c>
      <c r="I25">
        <v>3.1</v>
      </c>
    </row>
    <row r="26" spans="4:9" x14ac:dyDescent="0.35">
      <c r="D26" t="str">
        <f t="shared" si="0"/>
        <v>ChelseaLeicester City</v>
      </c>
      <c r="E26" t="s">
        <v>42</v>
      </c>
      <c r="F26" t="s">
        <v>25</v>
      </c>
      <c r="G26">
        <v>1.77</v>
      </c>
      <c r="H26">
        <v>4</v>
      </c>
      <c r="I26">
        <v>5.35</v>
      </c>
    </row>
    <row r="27" spans="4:9" x14ac:dyDescent="0.35">
      <c r="D27" t="str">
        <f t="shared" si="0"/>
        <v>WolverhamptonManchester United</v>
      </c>
      <c r="E27" t="s">
        <v>49</v>
      </c>
      <c r="F27" t="s">
        <v>39</v>
      </c>
      <c r="G27">
        <v>3.41</v>
      </c>
      <c r="H27">
        <v>3.4</v>
      </c>
      <c r="I27">
        <v>2.35</v>
      </c>
    </row>
    <row r="28" spans="4:9" x14ac:dyDescent="0.35">
      <c r="D28" t="str">
        <f t="shared" si="0"/>
        <v>Aston VillaEverton</v>
      </c>
      <c r="E28" t="s">
        <v>52</v>
      </c>
      <c r="F28" t="s">
        <v>28</v>
      </c>
      <c r="G28">
        <v>3.26</v>
      </c>
      <c r="H28">
        <v>3.72</v>
      </c>
      <c r="I28">
        <v>2.35</v>
      </c>
    </row>
    <row r="29" spans="4:9" x14ac:dyDescent="0.35">
      <c r="D29" t="str">
        <f t="shared" si="0"/>
        <v>Norwich CityChelsea</v>
      </c>
      <c r="E29" t="s">
        <v>50</v>
      </c>
      <c r="F29" t="s">
        <v>42</v>
      </c>
      <c r="G29">
        <v>4.4000000000000004</v>
      </c>
      <c r="H29">
        <v>4.07</v>
      </c>
      <c r="I29">
        <v>1.87</v>
      </c>
    </row>
    <row r="30" spans="4:9" x14ac:dyDescent="0.35">
      <c r="D30" t="str">
        <f t="shared" si="0"/>
        <v>Brighton and Hove AlbionSouthampton</v>
      </c>
      <c r="E30" t="s">
        <v>45</v>
      </c>
      <c r="F30" t="s">
        <v>34</v>
      </c>
      <c r="G30">
        <v>2.5499999999999998</v>
      </c>
      <c r="H30">
        <v>3.4</v>
      </c>
      <c r="I30">
        <v>3.2</v>
      </c>
    </row>
    <row r="31" spans="4:9" x14ac:dyDescent="0.35">
      <c r="D31" t="str">
        <f t="shared" si="0"/>
        <v>Manchester UnitedCrystal Palace</v>
      </c>
      <c r="E31" t="s">
        <v>39</v>
      </c>
      <c r="F31" t="s">
        <v>30</v>
      </c>
      <c r="G31">
        <v>1.39</v>
      </c>
      <c r="H31">
        <v>5.3</v>
      </c>
      <c r="I31">
        <v>10.75</v>
      </c>
    </row>
    <row r="32" spans="4:9" x14ac:dyDescent="0.35">
      <c r="D32" t="str">
        <f t="shared" si="0"/>
        <v>Sheffield UnitedLeicester City</v>
      </c>
      <c r="E32" t="s">
        <v>51</v>
      </c>
      <c r="F32" t="s">
        <v>25</v>
      </c>
      <c r="G32">
        <v>3.6</v>
      </c>
      <c r="H32">
        <v>3.34</v>
      </c>
      <c r="I32">
        <v>2.3199999999999998</v>
      </c>
    </row>
    <row r="33" spans="4:9" x14ac:dyDescent="0.35">
      <c r="D33" t="str">
        <f t="shared" si="0"/>
        <v>WatfordWest Ham United</v>
      </c>
      <c r="E33" t="s">
        <v>35</v>
      </c>
      <c r="F33" t="s">
        <v>43</v>
      </c>
      <c r="G33">
        <v>2.2000000000000002</v>
      </c>
      <c r="H33">
        <v>3.65</v>
      </c>
      <c r="I33">
        <v>3.65</v>
      </c>
    </row>
    <row r="34" spans="4:9" x14ac:dyDescent="0.35">
      <c r="D34" t="str">
        <f t="shared" si="0"/>
        <v>LiverpoolArsenal</v>
      </c>
      <c r="E34" t="s">
        <v>41</v>
      </c>
      <c r="F34" t="s">
        <v>40</v>
      </c>
      <c r="G34">
        <v>1.53</v>
      </c>
      <c r="H34">
        <v>5</v>
      </c>
      <c r="I34">
        <v>6.5</v>
      </c>
    </row>
    <row r="35" spans="4:9" x14ac:dyDescent="0.35">
      <c r="D35" t="str">
        <f t="shared" si="0"/>
        <v>AFC BournemouthManchester City</v>
      </c>
      <c r="E35" t="s">
        <v>38</v>
      </c>
      <c r="F35" t="s">
        <v>36</v>
      </c>
      <c r="G35">
        <v>17</v>
      </c>
      <c r="H35">
        <v>8</v>
      </c>
      <c r="I35">
        <v>1.22</v>
      </c>
    </row>
    <row r="36" spans="4:9" x14ac:dyDescent="0.35">
      <c r="D36" t="str">
        <f t="shared" si="0"/>
        <v>Tottenham HotspurNewcastle</v>
      </c>
      <c r="E36" t="s">
        <v>29</v>
      </c>
      <c r="F36" t="s">
        <v>46</v>
      </c>
      <c r="G36">
        <v>1.27</v>
      </c>
      <c r="H36">
        <v>6.75</v>
      </c>
      <c r="I36">
        <v>14</v>
      </c>
    </row>
    <row r="37" spans="4:9" x14ac:dyDescent="0.35">
      <c r="D37" t="str">
        <f t="shared" si="0"/>
        <v>WolverhamptonBurnley</v>
      </c>
      <c r="E37" t="s">
        <v>49</v>
      </c>
      <c r="F37" t="s">
        <v>32</v>
      </c>
      <c r="G37">
        <v>1.9</v>
      </c>
      <c r="H37">
        <v>3.55</v>
      </c>
      <c r="I37">
        <v>5.0599999999999996</v>
      </c>
    </row>
    <row r="38" spans="4:9" x14ac:dyDescent="0.35">
      <c r="D38" t="str">
        <f t="shared" si="0"/>
        <v>SouthamptonManchester United</v>
      </c>
      <c r="E38" t="s">
        <v>34</v>
      </c>
      <c r="F38" t="s">
        <v>39</v>
      </c>
      <c r="G38">
        <v>3.9</v>
      </c>
      <c r="H38">
        <v>3.48</v>
      </c>
      <c r="I38">
        <v>2.15</v>
      </c>
    </row>
    <row r="39" spans="4:9" x14ac:dyDescent="0.35">
      <c r="D39" t="str">
        <f t="shared" si="0"/>
        <v>ChelseaSheffield United</v>
      </c>
      <c r="E39" t="s">
        <v>42</v>
      </c>
      <c r="F39" t="s">
        <v>51</v>
      </c>
      <c r="G39">
        <v>1.4</v>
      </c>
      <c r="H39">
        <v>5.3</v>
      </c>
      <c r="I39">
        <v>10.75</v>
      </c>
    </row>
    <row r="40" spans="4:9" x14ac:dyDescent="0.35">
      <c r="D40" t="str">
        <f t="shared" si="0"/>
        <v>Crystal PalaceAston Villa</v>
      </c>
      <c r="E40" t="s">
        <v>30</v>
      </c>
      <c r="F40" t="s">
        <v>52</v>
      </c>
      <c r="G40">
        <v>2.27</v>
      </c>
      <c r="H40">
        <v>3.46</v>
      </c>
      <c r="I40">
        <v>3.6</v>
      </c>
    </row>
    <row r="41" spans="4:9" x14ac:dyDescent="0.35">
      <c r="D41" t="str">
        <f t="shared" si="0"/>
        <v>Leicester CityAFC Bournemouth</v>
      </c>
      <c r="E41" t="s">
        <v>25</v>
      </c>
      <c r="F41" t="s">
        <v>38</v>
      </c>
      <c r="G41">
        <v>1.77</v>
      </c>
      <c r="H41">
        <v>4.12</v>
      </c>
      <c r="I41">
        <v>5</v>
      </c>
    </row>
    <row r="42" spans="4:9" x14ac:dyDescent="0.35">
      <c r="D42" t="str">
        <f t="shared" si="0"/>
        <v>Manchester CityBrighton and Hove Albion</v>
      </c>
      <c r="E42" t="s">
        <v>36</v>
      </c>
      <c r="F42" t="s">
        <v>45</v>
      </c>
      <c r="G42">
        <v>1.1000000000000001</v>
      </c>
      <c r="H42">
        <v>13.01</v>
      </c>
      <c r="I42">
        <v>36</v>
      </c>
    </row>
    <row r="43" spans="4:9" x14ac:dyDescent="0.35">
      <c r="D43" t="str">
        <f t="shared" si="0"/>
        <v>NewcastleWatford</v>
      </c>
      <c r="E43" t="s">
        <v>46</v>
      </c>
      <c r="F43" t="s">
        <v>35</v>
      </c>
      <c r="G43">
        <v>2.73</v>
      </c>
      <c r="H43">
        <v>3.32</v>
      </c>
      <c r="I43">
        <v>3</v>
      </c>
    </row>
    <row r="44" spans="4:9" x14ac:dyDescent="0.35">
      <c r="D44" t="str">
        <f t="shared" si="0"/>
        <v>West Ham UnitedNorwich City</v>
      </c>
      <c r="E44" t="s">
        <v>43</v>
      </c>
      <c r="F44" t="s">
        <v>50</v>
      </c>
      <c r="G44">
        <v>1.94</v>
      </c>
      <c r="H44">
        <v>4.03</v>
      </c>
      <c r="I44">
        <v>4.0999999999999996</v>
      </c>
    </row>
    <row r="45" spans="4:9" x14ac:dyDescent="0.35">
      <c r="D45" t="str">
        <f t="shared" si="0"/>
        <v>BurnleyLiverpool</v>
      </c>
      <c r="E45" t="s">
        <v>32</v>
      </c>
      <c r="F45" t="s">
        <v>41</v>
      </c>
      <c r="G45">
        <v>11</v>
      </c>
      <c r="H45">
        <v>5.7</v>
      </c>
      <c r="I45">
        <v>1.37</v>
      </c>
    </row>
    <row r="46" spans="4:9" x14ac:dyDescent="0.35">
      <c r="D46" t="str">
        <f t="shared" si="0"/>
        <v>EvertonWolverhampton</v>
      </c>
      <c r="E46" t="s">
        <v>28</v>
      </c>
      <c r="F46" t="s">
        <v>49</v>
      </c>
      <c r="G46">
        <v>2.2200000000000002</v>
      </c>
      <c r="H46">
        <v>3.4</v>
      </c>
      <c r="I46">
        <v>3.85</v>
      </c>
    </row>
    <row r="47" spans="4:9" x14ac:dyDescent="0.35">
      <c r="D47" t="str">
        <f t="shared" si="0"/>
        <v>ArsenalTottenham Hotspur</v>
      </c>
      <c r="E47" t="s">
        <v>40</v>
      </c>
      <c r="F47" t="s">
        <v>29</v>
      </c>
      <c r="G47">
        <v>2.4300000000000002</v>
      </c>
      <c r="H47">
        <v>3.75</v>
      </c>
      <c r="I47">
        <v>3</v>
      </c>
    </row>
    <row r="48" spans="4:9" x14ac:dyDescent="0.35">
      <c r="D48" t="str">
        <f t="shared" si="0"/>
        <v>LiverpoolNewcastle</v>
      </c>
      <c r="E48" t="s">
        <v>41</v>
      </c>
      <c r="F48" t="s">
        <v>46</v>
      </c>
      <c r="G48">
        <v>1.18</v>
      </c>
      <c r="H48">
        <v>9.15</v>
      </c>
      <c r="I48">
        <v>23</v>
      </c>
    </row>
    <row r="49" spans="4:9" x14ac:dyDescent="0.35">
      <c r="D49" t="str">
        <f t="shared" si="0"/>
        <v>Brighton and Hove AlbionBurnley</v>
      </c>
      <c r="E49" t="s">
        <v>45</v>
      </c>
      <c r="F49" t="s">
        <v>32</v>
      </c>
      <c r="G49">
        <v>2.2000000000000002</v>
      </c>
      <c r="H49">
        <v>3.42</v>
      </c>
      <c r="I49">
        <v>3.8</v>
      </c>
    </row>
    <row r="50" spans="4:9" x14ac:dyDescent="0.35">
      <c r="D50" t="str">
        <f t="shared" si="0"/>
        <v>Manchester UnitedLeicester City</v>
      </c>
      <c r="E50" t="s">
        <v>39</v>
      </c>
      <c r="F50" t="s">
        <v>25</v>
      </c>
      <c r="G50">
        <v>2</v>
      </c>
      <c r="H50">
        <v>3.8</v>
      </c>
      <c r="I50">
        <v>4.5</v>
      </c>
    </row>
    <row r="51" spans="4:9" x14ac:dyDescent="0.35">
      <c r="D51" t="str">
        <f t="shared" si="0"/>
        <v>Sheffield UnitedSouthampton</v>
      </c>
      <c r="E51" t="s">
        <v>51</v>
      </c>
      <c r="F51" t="s">
        <v>34</v>
      </c>
      <c r="G51">
        <v>2.5499999999999998</v>
      </c>
      <c r="H51">
        <v>3.35</v>
      </c>
      <c r="I51">
        <v>3.15</v>
      </c>
    </row>
    <row r="52" spans="4:9" x14ac:dyDescent="0.35">
      <c r="D52" t="str">
        <f t="shared" si="0"/>
        <v>Tottenham HotspurCrystal Palace</v>
      </c>
      <c r="E52" t="s">
        <v>29</v>
      </c>
      <c r="F52" t="s">
        <v>30</v>
      </c>
      <c r="G52">
        <v>1.45</v>
      </c>
      <c r="H52">
        <v>5.25</v>
      </c>
      <c r="I52">
        <v>9</v>
      </c>
    </row>
    <row r="53" spans="4:9" x14ac:dyDescent="0.35">
      <c r="D53" t="str">
        <f t="shared" si="0"/>
        <v>WolverhamptonChelsea</v>
      </c>
      <c r="E53" t="s">
        <v>49</v>
      </c>
      <c r="F53" t="s">
        <v>42</v>
      </c>
      <c r="G53">
        <v>3.07</v>
      </c>
      <c r="H53">
        <v>3.43</v>
      </c>
      <c r="I53">
        <v>2.6</v>
      </c>
    </row>
    <row r="54" spans="4:9" x14ac:dyDescent="0.35">
      <c r="D54" t="str">
        <f t="shared" si="0"/>
        <v>Norwich CityManchester City</v>
      </c>
      <c r="E54" t="s">
        <v>50</v>
      </c>
      <c r="F54" t="s">
        <v>36</v>
      </c>
      <c r="G54">
        <v>21</v>
      </c>
      <c r="H54">
        <v>9.85</v>
      </c>
      <c r="I54">
        <v>1.18</v>
      </c>
    </row>
    <row r="55" spans="4:9" x14ac:dyDescent="0.35">
      <c r="D55" t="str">
        <f t="shared" si="0"/>
        <v>AFC BournemouthEverton</v>
      </c>
      <c r="E55" t="s">
        <v>38</v>
      </c>
      <c r="F55" t="s">
        <v>28</v>
      </c>
      <c r="G55">
        <v>3.1</v>
      </c>
      <c r="H55">
        <v>3.55</v>
      </c>
      <c r="I55">
        <v>2.5</v>
      </c>
    </row>
    <row r="56" spans="4:9" x14ac:dyDescent="0.35">
      <c r="D56" t="str">
        <f t="shared" si="0"/>
        <v>WatfordArsenal</v>
      </c>
      <c r="E56" t="s">
        <v>35</v>
      </c>
      <c r="F56" t="s">
        <v>40</v>
      </c>
      <c r="G56">
        <v>3.9</v>
      </c>
      <c r="H56">
        <v>3.9</v>
      </c>
      <c r="I56">
        <v>2.08</v>
      </c>
    </row>
    <row r="57" spans="4:9" x14ac:dyDescent="0.35">
      <c r="D57" t="str">
        <f t="shared" si="0"/>
        <v>Aston VillaWest Ham United</v>
      </c>
      <c r="E57" t="s">
        <v>52</v>
      </c>
      <c r="F57" t="s">
        <v>43</v>
      </c>
      <c r="G57">
        <v>2.7</v>
      </c>
      <c r="H57">
        <v>3.67</v>
      </c>
      <c r="I57">
        <v>2.7</v>
      </c>
    </row>
    <row r="58" spans="4:9" x14ac:dyDescent="0.35">
      <c r="D58" t="str">
        <f t="shared" si="0"/>
        <v>SouthamptonAFC Bournemouth</v>
      </c>
      <c r="E58" t="s">
        <v>34</v>
      </c>
      <c r="F58" t="s">
        <v>38</v>
      </c>
      <c r="G58">
        <v>2.17</v>
      </c>
      <c r="H58">
        <v>3.7</v>
      </c>
      <c r="I58">
        <v>3.7</v>
      </c>
    </row>
    <row r="59" spans="4:9" x14ac:dyDescent="0.35">
      <c r="D59" t="str">
        <f t="shared" si="0"/>
        <v>Leicester CityTottenham Hotspur</v>
      </c>
      <c r="E59" t="s">
        <v>25</v>
      </c>
      <c r="F59" t="s">
        <v>29</v>
      </c>
      <c r="G59">
        <v>2.95</v>
      </c>
      <c r="H59">
        <v>3.6</v>
      </c>
      <c r="I59">
        <v>2.5499999999999998</v>
      </c>
    </row>
    <row r="60" spans="4:9" x14ac:dyDescent="0.35">
      <c r="D60" t="str">
        <f t="shared" si="0"/>
        <v>BurnleyNorwich City</v>
      </c>
      <c r="E60" t="s">
        <v>32</v>
      </c>
      <c r="F60" t="s">
        <v>50</v>
      </c>
      <c r="G60">
        <v>2.0499999999999998</v>
      </c>
      <c r="H60">
        <v>3.9</v>
      </c>
      <c r="I60">
        <v>3.8</v>
      </c>
    </row>
    <row r="61" spans="4:9" x14ac:dyDescent="0.35">
      <c r="D61" t="str">
        <f t="shared" si="0"/>
        <v>EvertonSheffield United</v>
      </c>
      <c r="E61" t="s">
        <v>28</v>
      </c>
      <c r="F61" t="s">
        <v>51</v>
      </c>
      <c r="G61">
        <v>1.71</v>
      </c>
      <c r="H61">
        <v>4</v>
      </c>
      <c r="I61">
        <v>6</v>
      </c>
    </row>
    <row r="62" spans="4:9" x14ac:dyDescent="0.35">
      <c r="D62" t="str">
        <f t="shared" si="0"/>
        <v>Manchester CityWatford</v>
      </c>
      <c r="E62" t="s">
        <v>36</v>
      </c>
      <c r="F62" t="s">
        <v>35</v>
      </c>
      <c r="G62">
        <v>1.1299999999999999</v>
      </c>
      <c r="H62">
        <v>11.5</v>
      </c>
      <c r="I62">
        <v>31</v>
      </c>
    </row>
    <row r="63" spans="4:9" x14ac:dyDescent="0.35">
      <c r="D63" t="str">
        <f t="shared" si="0"/>
        <v>NewcastleBrighton and Hove Albion</v>
      </c>
      <c r="E63" t="s">
        <v>46</v>
      </c>
      <c r="F63" t="s">
        <v>45</v>
      </c>
      <c r="G63">
        <v>2.5499999999999998</v>
      </c>
      <c r="H63">
        <v>3.28</v>
      </c>
      <c r="I63">
        <v>3.2</v>
      </c>
    </row>
    <row r="64" spans="4:9" x14ac:dyDescent="0.35">
      <c r="D64" t="str">
        <f t="shared" si="0"/>
        <v>Crystal PalaceWolverhampton</v>
      </c>
      <c r="E64" t="s">
        <v>30</v>
      </c>
      <c r="F64" t="s">
        <v>49</v>
      </c>
      <c r="G64">
        <v>2.7</v>
      </c>
      <c r="H64">
        <v>3.2</v>
      </c>
      <c r="I64">
        <v>3</v>
      </c>
    </row>
    <row r="65" spans="4:9" x14ac:dyDescent="0.35">
      <c r="D65" t="str">
        <f t="shared" si="0"/>
        <v>West Ham UnitedManchester United</v>
      </c>
      <c r="E65" t="s">
        <v>43</v>
      </c>
      <c r="F65" t="s">
        <v>39</v>
      </c>
      <c r="G65">
        <v>3.45</v>
      </c>
      <c r="H65">
        <v>3.72</v>
      </c>
      <c r="I65">
        <v>2.2799999999999998</v>
      </c>
    </row>
    <row r="66" spans="4:9" x14ac:dyDescent="0.35">
      <c r="D66" t="str">
        <f t="shared" si="0"/>
        <v>ArsenalAston Villa</v>
      </c>
      <c r="E66" t="s">
        <v>40</v>
      </c>
      <c r="F66" t="s">
        <v>52</v>
      </c>
      <c r="G66">
        <v>1.45</v>
      </c>
      <c r="H66">
        <v>5.05</v>
      </c>
      <c r="I66">
        <v>8.25</v>
      </c>
    </row>
    <row r="67" spans="4:9" x14ac:dyDescent="0.35">
      <c r="D67" t="str">
        <f t="shared" si="0"/>
        <v>ChelseaLiverpool</v>
      </c>
      <c r="E67" t="s">
        <v>42</v>
      </c>
      <c r="F67" t="s">
        <v>41</v>
      </c>
      <c r="G67">
        <v>3.75</v>
      </c>
      <c r="H67">
        <v>3.83</v>
      </c>
      <c r="I67">
        <v>2.1</v>
      </c>
    </row>
    <row r="68" spans="4:9" x14ac:dyDescent="0.35">
      <c r="D68" t="str">
        <f t="shared" si="0"/>
        <v>Sheffield UnitedLiverpool</v>
      </c>
      <c r="E68" t="s">
        <v>51</v>
      </c>
      <c r="F68" t="s">
        <v>41</v>
      </c>
      <c r="G68">
        <v>10</v>
      </c>
      <c r="H68">
        <v>5.4</v>
      </c>
      <c r="I68">
        <v>1.39</v>
      </c>
    </row>
    <row r="69" spans="4:9" x14ac:dyDescent="0.35">
      <c r="D69" t="str">
        <f t="shared" si="0"/>
        <v>Aston VillaBurnley</v>
      </c>
      <c r="E69" t="s">
        <v>52</v>
      </c>
      <c r="F69" t="s">
        <v>32</v>
      </c>
      <c r="G69">
        <v>2.4500000000000002</v>
      </c>
      <c r="H69">
        <v>3.47</v>
      </c>
      <c r="I69">
        <v>3.18</v>
      </c>
    </row>
    <row r="70" spans="4:9" x14ac:dyDescent="0.35">
      <c r="D70" t="str">
        <f t="shared" si="0"/>
        <v>AFC BournemouthWest Ham United</v>
      </c>
      <c r="E70" t="s">
        <v>38</v>
      </c>
      <c r="F70" t="s">
        <v>43</v>
      </c>
      <c r="G70">
        <v>2.58</v>
      </c>
      <c r="H70">
        <v>3.65</v>
      </c>
      <c r="I70">
        <v>2.9</v>
      </c>
    </row>
    <row r="71" spans="4:9" x14ac:dyDescent="0.35">
      <c r="D71" t="str">
        <f t="shared" si="0"/>
        <v>ChelseaBrighton and Hove Albion</v>
      </c>
      <c r="E71" t="s">
        <v>42</v>
      </c>
      <c r="F71" t="s">
        <v>45</v>
      </c>
      <c r="G71">
        <v>1.47</v>
      </c>
      <c r="H71">
        <v>4.8</v>
      </c>
      <c r="I71">
        <v>8.5</v>
      </c>
    </row>
    <row r="72" spans="4:9" x14ac:dyDescent="0.35">
      <c r="D72" t="str">
        <f t="shared" si="0"/>
        <v>Crystal PalaceNorwich City</v>
      </c>
      <c r="E72" t="s">
        <v>30</v>
      </c>
      <c r="F72" t="s">
        <v>50</v>
      </c>
      <c r="G72">
        <v>2</v>
      </c>
      <c r="H72">
        <v>3.85</v>
      </c>
      <c r="I72">
        <v>4</v>
      </c>
    </row>
    <row r="73" spans="4:9" x14ac:dyDescent="0.35">
      <c r="D73" t="str">
        <f t="shared" ref="D73:D136" si="1">E73&amp;F73</f>
        <v>Tottenham HotspurSouthampton</v>
      </c>
      <c r="E73" t="s">
        <v>29</v>
      </c>
      <c r="F73" t="s">
        <v>34</v>
      </c>
      <c r="G73">
        <v>1.49</v>
      </c>
      <c r="H73">
        <v>4.8</v>
      </c>
      <c r="I73">
        <v>8.18</v>
      </c>
    </row>
    <row r="74" spans="4:9" x14ac:dyDescent="0.35">
      <c r="D74" t="str">
        <f t="shared" si="1"/>
        <v>WolverhamptonWatford</v>
      </c>
      <c r="E74" t="s">
        <v>49</v>
      </c>
      <c r="F74" t="s">
        <v>35</v>
      </c>
      <c r="G74">
        <v>1.95</v>
      </c>
      <c r="H74">
        <v>3.6</v>
      </c>
      <c r="I74">
        <v>4.7</v>
      </c>
    </row>
    <row r="75" spans="4:9" x14ac:dyDescent="0.35">
      <c r="D75" t="str">
        <f t="shared" si="1"/>
        <v>EvertonManchester City</v>
      </c>
      <c r="E75" t="s">
        <v>28</v>
      </c>
      <c r="F75" t="s">
        <v>36</v>
      </c>
      <c r="G75">
        <v>11</v>
      </c>
      <c r="H75">
        <v>6.35</v>
      </c>
      <c r="I75">
        <v>1.33</v>
      </c>
    </row>
    <row r="76" spans="4:9" x14ac:dyDescent="0.35">
      <c r="D76" t="str">
        <f t="shared" si="1"/>
        <v>Leicester CityNewcastle</v>
      </c>
      <c r="E76" t="s">
        <v>25</v>
      </c>
      <c r="F76" t="s">
        <v>46</v>
      </c>
      <c r="G76">
        <v>1.56</v>
      </c>
      <c r="H76">
        <v>4.21</v>
      </c>
      <c r="I76">
        <v>7.6</v>
      </c>
    </row>
    <row r="77" spans="4:9" x14ac:dyDescent="0.35">
      <c r="D77" t="str">
        <f t="shared" si="1"/>
        <v>Manchester UnitedArsenal</v>
      </c>
      <c r="E77" t="s">
        <v>39</v>
      </c>
      <c r="F77" t="s">
        <v>40</v>
      </c>
      <c r="G77">
        <v>2.4300000000000002</v>
      </c>
      <c r="H77">
        <v>3.65</v>
      </c>
      <c r="I77">
        <v>3.15</v>
      </c>
    </row>
    <row r="78" spans="4:9" x14ac:dyDescent="0.35">
      <c r="D78" t="str">
        <f t="shared" si="1"/>
        <v>Brighton and Hove AlbionTottenham Hotspur</v>
      </c>
      <c r="E78" t="s">
        <v>45</v>
      </c>
      <c r="F78" t="s">
        <v>29</v>
      </c>
      <c r="G78">
        <v>4.0999999999999996</v>
      </c>
      <c r="H78">
        <v>3.75</v>
      </c>
      <c r="I78">
        <v>2.02</v>
      </c>
    </row>
    <row r="79" spans="4:9" x14ac:dyDescent="0.35">
      <c r="D79" t="str">
        <f t="shared" si="1"/>
        <v>BurnleyEverton</v>
      </c>
      <c r="E79" t="s">
        <v>32</v>
      </c>
      <c r="F79" t="s">
        <v>28</v>
      </c>
      <c r="G79">
        <v>3.05</v>
      </c>
      <c r="H79">
        <v>3.37</v>
      </c>
      <c r="I79">
        <v>2.65</v>
      </c>
    </row>
    <row r="80" spans="4:9" x14ac:dyDescent="0.35">
      <c r="D80" t="str">
        <f t="shared" si="1"/>
        <v>LiverpoolLeicester City</v>
      </c>
      <c r="E80" t="s">
        <v>41</v>
      </c>
      <c r="F80" t="s">
        <v>25</v>
      </c>
      <c r="G80">
        <v>1.5</v>
      </c>
      <c r="H80">
        <v>4.8499999999999996</v>
      </c>
      <c r="I80">
        <v>7.7</v>
      </c>
    </row>
    <row r="81" spans="4:9" x14ac:dyDescent="0.35">
      <c r="D81" t="str">
        <f t="shared" si="1"/>
        <v>Norwich CityAston Villa</v>
      </c>
      <c r="E81" t="s">
        <v>50</v>
      </c>
      <c r="F81" t="s">
        <v>52</v>
      </c>
      <c r="G81">
        <v>2.5</v>
      </c>
      <c r="H81">
        <v>3.75</v>
      </c>
      <c r="I81">
        <v>2.95</v>
      </c>
    </row>
    <row r="82" spans="4:9" x14ac:dyDescent="0.35">
      <c r="D82" t="str">
        <f t="shared" si="1"/>
        <v>WatfordSheffield United</v>
      </c>
      <c r="E82" t="s">
        <v>35</v>
      </c>
      <c r="F82" t="s">
        <v>51</v>
      </c>
      <c r="G82">
        <v>2.25</v>
      </c>
      <c r="H82">
        <v>3.5</v>
      </c>
      <c r="I82">
        <v>3.75</v>
      </c>
    </row>
    <row r="83" spans="4:9" x14ac:dyDescent="0.35">
      <c r="D83" t="str">
        <f t="shared" si="1"/>
        <v>West Ham UnitedCrystal Palace</v>
      </c>
      <c r="E83" t="s">
        <v>43</v>
      </c>
      <c r="F83" t="s">
        <v>30</v>
      </c>
      <c r="G83">
        <v>2.0499999999999998</v>
      </c>
      <c r="H83">
        <v>3.7</v>
      </c>
      <c r="I83">
        <v>4</v>
      </c>
    </row>
    <row r="84" spans="4:9" x14ac:dyDescent="0.35">
      <c r="D84" t="str">
        <f t="shared" si="1"/>
        <v>ArsenalAFC Bournemouth</v>
      </c>
      <c r="E84" t="s">
        <v>40</v>
      </c>
      <c r="F84" t="s">
        <v>38</v>
      </c>
      <c r="G84">
        <v>1.5</v>
      </c>
      <c r="H84">
        <v>5.2</v>
      </c>
      <c r="I84">
        <v>7.2</v>
      </c>
    </row>
    <row r="85" spans="4:9" x14ac:dyDescent="0.35">
      <c r="D85" t="str">
        <f t="shared" si="1"/>
        <v>Manchester CityWolverhampton</v>
      </c>
      <c r="E85" t="s">
        <v>36</v>
      </c>
      <c r="F85" t="s">
        <v>49</v>
      </c>
      <c r="G85">
        <v>1.1399999999999999</v>
      </c>
      <c r="H85">
        <v>10.5</v>
      </c>
      <c r="I85">
        <v>28</v>
      </c>
    </row>
    <row r="86" spans="4:9" x14ac:dyDescent="0.35">
      <c r="D86" t="str">
        <f t="shared" si="1"/>
        <v>SouthamptonChelsea</v>
      </c>
      <c r="E86" t="s">
        <v>34</v>
      </c>
      <c r="F86" t="s">
        <v>42</v>
      </c>
      <c r="G86">
        <v>4.3</v>
      </c>
      <c r="H86">
        <v>4</v>
      </c>
      <c r="I86">
        <v>1.93</v>
      </c>
    </row>
    <row r="87" spans="4:9" x14ac:dyDescent="0.35">
      <c r="D87" t="str">
        <f t="shared" si="1"/>
        <v>NewcastleManchester United</v>
      </c>
      <c r="E87" t="s">
        <v>46</v>
      </c>
      <c r="F87" t="s">
        <v>39</v>
      </c>
      <c r="G87">
        <v>4.5999999999999996</v>
      </c>
      <c r="H87">
        <v>3.55</v>
      </c>
      <c r="I87">
        <v>1.95</v>
      </c>
    </row>
    <row r="88" spans="4:9" x14ac:dyDescent="0.35">
      <c r="D88" t="str">
        <f t="shared" si="1"/>
        <v>EvertonWest Ham United</v>
      </c>
      <c r="E88" t="s">
        <v>28</v>
      </c>
      <c r="F88" t="s">
        <v>43</v>
      </c>
      <c r="G88">
        <v>2.02</v>
      </c>
      <c r="H88">
        <v>3.9</v>
      </c>
      <c r="I88">
        <v>4</v>
      </c>
    </row>
    <row r="89" spans="4:9" x14ac:dyDescent="0.35">
      <c r="D89" t="str">
        <f t="shared" si="1"/>
        <v>Aston VillaBrighton and Hove Albion</v>
      </c>
      <c r="E89" t="s">
        <v>52</v>
      </c>
      <c r="F89" t="s">
        <v>45</v>
      </c>
      <c r="G89">
        <v>2.4500000000000002</v>
      </c>
      <c r="H89">
        <v>3.55</v>
      </c>
      <c r="I89">
        <v>3.15</v>
      </c>
    </row>
    <row r="90" spans="4:9" x14ac:dyDescent="0.35">
      <c r="D90" t="str">
        <f t="shared" si="1"/>
        <v>AFC BournemouthNorwich City</v>
      </c>
      <c r="E90" t="s">
        <v>38</v>
      </c>
      <c r="F90" t="s">
        <v>50</v>
      </c>
      <c r="G90">
        <v>1.78</v>
      </c>
      <c r="H90">
        <v>4.5999999999999996</v>
      </c>
      <c r="I90">
        <v>4.5</v>
      </c>
    </row>
    <row r="91" spans="4:9" x14ac:dyDescent="0.35">
      <c r="D91" t="str">
        <f t="shared" si="1"/>
        <v>ChelseaNewcastle</v>
      </c>
      <c r="E91" t="s">
        <v>42</v>
      </c>
      <c r="F91" t="s">
        <v>46</v>
      </c>
      <c r="G91">
        <v>1.34</v>
      </c>
      <c r="H91">
        <v>5.9</v>
      </c>
      <c r="I91">
        <v>12</v>
      </c>
    </row>
    <row r="92" spans="4:9" x14ac:dyDescent="0.35">
      <c r="D92" t="str">
        <f t="shared" si="1"/>
        <v>Leicester CityBurnley</v>
      </c>
      <c r="E92" t="s">
        <v>25</v>
      </c>
      <c r="F92" t="s">
        <v>32</v>
      </c>
      <c r="G92">
        <v>1.62</v>
      </c>
      <c r="H92">
        <v>4.3</v>
      </c>
      <c r="I92">
        <v>6.8</v>
      </c>
    </row>
    <row r="93" spans="4:9" x14ac:dyDescent="0.35">
      <c r="D93" t="str">
        <f t="shared" si="1"/>
        <v>Tottenham HotspurWatford</v>
      </c>
      <c r="E93" t="s">
        <v>29</v>
      </c>
      <c r="F93" t="s">
        <v>35</v>
      </c>
      <c r="G93">
        <v>1.45</v>
      </c>
      <c r="H93">
        <v>5.0999999999999996</v>
      </c>
      <c r="I93">
        <v>8</v>
      </c>
    </row>
    <row r="94" spans="4:9" x14ac:dyDescent="0.35">
      <c r="D94" t="str">
        <f t="shared" si="1"/>
        <v>WolverhamptonSouthampton</v>
      </c>
      <c r="E94" t="s">
        <v>49</v>
      </c>
      <c r="F94" t="s">
        <v>34</v>
      </c>
      <c r="G94">
        <v>1.9</v>
      </c>
      <c r="H94">
        <v>3.75</v>
      </c>
      <c r="I94">
        <v>4.75</v>
      </c>
    </row>
    <row r="95" spans="4:9" x14ac:dyDescent="0.35">
      <c r="D95" t="str">
        <f t="shared" si="1"/>
        <v>Crystal PalaceManchester City</v>
      </c>
      <c r="E95" t="s">
        <v>30</v>
      </c>
      <c r="F95" t="s">
        <v>36</v>
      </c>
      <c r="G95">
        <v>13</v>
      </c>
      <c r="H95">
        <v>7.2</v>
      </c>
      <c r="I95">
        <v>1.26</v>
      </c>
    </row>
    <row r="96" spans="4:9" x14ac:dyDescent="0.35">
      <c r="D96" t="str">
        <f t="shared" si="1"/>
        <v>Manchester UnitedLiverpool</v>
      </c>
      <c r="E96" t="s">
        <v>39</v>
      </c>
      <c r="F96" t="s">
        <v>41</v>
      </c>
      <c r="G96">
        <v>5.5</v>
      </c>
      <c r="H96">
        <v>4.0999999999999996</v>
      </c>
      <c r="I96">
        <v>1.74</v>
      </c>
    </row>
    <row r="97" spans="4:9" x14ac:dyDescent="0.35">
      <c r="D97" t="str">
        <f t="shared" si="1"/>
        <v>Sheffield UnitedArsenal</v>
      </c>
      <c r="E97" t="s">
        <v>51</v>
      </c>
      <c r="F97" t="s">
        <v>40</v>
      </c>
      <c r="G97">
        <v>4</v>
      </c>
      <c r="H97">
        <v>3.94</v>
      </c>
      <c r="I97">
        <v>1.98</v>
      </c>
    </row>
    <row r="98" spans="4:9" x14ac:dyDescent="0.35">
      <c r="D98" t="str">
        <f t="shared" si="1"/>
        <v>SouthamptonLeicester City</v>
      </c>
      <c r="E98" t="s">
        <v>34</v>
      </c>
      <c r="F98" t="s">
        <v>25</v>
      </c>
      <c r="G98">
        <v>3.3</v>
      </c>
      <c r="H98">
        <v>3.5</v>
      </c>
      <c r="I98">
        <v>2.4500000000000002</v>
      </c>
    </row>
    <row r="99" spans="4:9" x14ac:dyDescent="0.35">
      <c r="D99" t="str">
        <f t="shared" si="1"/>
        <v>Manchester CityAston Villa</v>
      </c>
      <c r="E99" t="s">
        <v>36</v>
      </c>
      <c r="F99" t="s">
        <v>52</v>
      </c>
      <c r="G99">
        <v>1.1100000000000001</v>
      </c>
      <c r="H99">
        <v>13.25</v>
      </c>
      <c r="I99">
        <v>35</v>
      </c>
    </row>
    <row r="100" spans="4:9" x14ac:dyDescent="0.35">
      <c r="D100" t="str">
        <f t="shared" si="1"/>
        <v>Brighton and Hove AlbionEverton</v>
      </c>
      <c r="E100" t="s">
        <v>45</v>
      </c>
      <c r="F100" t="s">
        <v>28</v>
      </c>
      <c r="G100">
        <v>2.95</v>
      </c>
      <c r="H100">
        <v>3.46</v>
      </c>
      <c r="I100">
        <v>2.65</v>
      </c>
    </row>
    <row r="101" spans="4:9" x14ac:dyDescent="0.35">
      <c r="D101" t="str">
        <f t="shared" si="1"/>
        <v>WatfordAFC Bournemouth</v>
      </c>
      <c r="E101" t="s">
        <v>35</v>
      </c>
      <c r="F101" t="s">
        <v>38</v>
      </c>
      <c r="G101">
        <v>2.2599999999999998</v>
      </c>
      <c r="H101">
        <v>3.7</v>
      </c>
      <c r="I101">
        <v>3.44</v>
      </c>
    </row>
    <row r="102" spans="4:9" x14ac:dyDescent="0.35">
      <c r="D102" t="str">
        <f t="shared" si="1"/>
        <v>West Ham UnitedSheffield United</v>
      </c>
      <c r="E102" t="s">
        <v>43</v>
      </c>
      <c r="F102" t="s">
        <v>51</v>
      </c>
      <c r="G102">
        <v>2.1800000000000002</v>
      </c>
      <c r="H102">
        <v>3.6</v>
      </c>
      <c r="I102">
        <v>3.7</v>
      </c>
    </row>
    <row r="103" spans="4:9" x14ac:dyDescent="0.35">
      <c r="D103" t="str">
        <f t="shared" si="1"/>
        <v>BurnleyChelsea</v>
      </c>
      <c r="E103" t="s">
        <v>32</v>
      </c>
      <c r="F103" t="s">
        <v>42</v>
      </c>
      <c r="G103">
        <v>4.8</v>
      </c>
      <c r="H103">
        <v>4.25</v>
      </c>
      <c r="I103">
        <v>1.8</v>
      </c>
    </row>
    <row r="104" spans="4:9" x14ac:dyDescent="0.35">
      <c r="D104" t="str">
        <f t="shared" si="1"/>
        <v>NewcastleWolverhampton</v>
      </c>
      <c r="E104" t="s">
        <v>46</v>
      </c>
      <c r="F104" t="s">
        <v>49</v>
      </c>
      <c r="G104">
        <v>3.1</v>
      </c>
      <c r="H104">
        <v>3.2</v>
      </c>
      <c r="I104">
        <v>2.7</v>
      </c>
    </row>
    <row r="105" spans="4:9" x14ac:dyDescent="0.35">
      <c r="D105" t="str">
        <f t="shared" si="1"/>
        <v>ArsenalCrystal Palace</v>
      </c>
      <c r="E105" t="s">
        <v>40</v>
      </c>
      <c r="F105" t="s">
        <v>30</v>
      </c>
      <c r="G105">
        <v>1.54</v>
      </c>
      <c r="H105">
        <v>4.8</v>
      </c>
      <c r="I105">
        <v>7</v>
      </c>
    </row>
    <row r="106" spans="4:9" x14ac:dyDescent="0.35">
      <c r="D106" t="str">
        <f t="shared" si="1"/>
        <v>LiverpoolTottenham Hotspur</v>
      </c>
      <c r="E106" t="s">
        <v>41</v>
      </c>
      <c r="F106" t="s">
        <v>29</v>
      </c>
      <c r="G106">
        <v>1.57</v>
      </c>
      <c r="H106">
        <v>4.6500000000000004</v>
      </c>
      <c r="I106">
        <v>6.5</v>
      </c>
    </row>
    <row r="107" spans="4:9" x14ac:dyDescent="0.35">
      <c r="D107" t="str">
        <f t="shared" si="1"/>
        <v>Norwich CityManchester United</v>
      </c>
      <c r="E107" t="s">
        <v>50</v>
      </c>
      <c r="F107" t="s">
        <v>39</v>
      </c>
      <c r="G107">
        <v>4.6500000000000004</v>
      </c>
      <c r="H107">
        <v>4.0999999999999996</v>
      </c>
      <c r="I107">
        <v>1.87</v>
      </c>
    </row>
    <row r="108" spans="4:9" x14ac:dyDescent="0.35">
      <c r="D108" t="str">
        <f t="shared" si="1"/>
        <v>AFC BournemouthManchester United</v>
      </c>
      <c r="E108" t="s">
        <v>38</v>
      </c>
      <c r="F108" t="s">
        <v>39</v>
      </c>
      <c r="G108">
        <v>3.44</v>
      </c>
      <c r="H108">
        <v>3.7</v>
      </c>
      <c r="I108">
        <v>2.2599999999999998</v>
      </c>
    </row>
    <row r="109" spans="4:9" x14ac:dyDescent="0.35">
      <c r="D109" t="str">
        <f t="shared" si="1"/>
        <v>ArsenalWolverhampton</v>
      </c>
      <c r="E109" t="s">
        <v>40</v>
      </c>
      <c r="F109" t="s">
        <v>49</v>
      </c>
      <c r="G109">
        <v>1.83</v>
      </c>
      <c r="H109">
        <v>4</v>
      </c>
      <c r="I109">
        <v>4.8499999999999996</v>
      </c>
    </row>
    <row r="110" spans="4:9" x14ac:dyDescent="0.35">
      <c r="D110" t="str">
        <f t="shared" si="1"/>
        <v>Aston VillaLiverpool</v>
      </c>
      <c r="E110" t="s">
        <v>52</v>
      </c>
      <c r="F110" t="s">
        <v>41</v>
      </c>
      <c r="G110">
        <v>9.25</v>
      </c>
      <c r="H110">
        <v>5.7</v>
      </c>
      <c r="I110">
        <v>1.39</v>
      </c>
    </row>
    <row r="111" spans="4:9" x14ac:dyDescent="0.35">
      <c r="D111" t="str">
        <f t="shared" si="1"/>
        <v>Brighton and Hove AlbionNorwich City</v>
      </c>
      <c r="E111" t="s">
        <v>45</v>
      </c>
      <c r="F111" t="s">
        <v>50</v>
      </c>
      <c r="G111">
        <v>1.75</v>
      </c>
      <c r="H111">
        <v>4.4000000000000004</v>
      </c>
      <c r="I111">
        <v>5</v>
      </c>
    </row>
    <row r="112" spans="4:9" x14ac:dyDescent="0.35">
      <c r="D112" t="str">
        <f t="shared" si="1"/>
        <v>Manchester CitySouthampton</v>
      </c>
      <c r="E112" t="s">
        <v>36</v>
      </c>
      <c r="F112" t="s">
        <v>34</v>
      </c>
      <c r="G112">
        <v>1.1100000000000001</v>
      </c>
      <c r="H112">
        <v>13.5</v>
      </c>
      <c r="I112">
        <v>41</v>
      </c>
    </row>
    <row r="113" spans="4:9" x14ac:dyDescent="0.35">
      <c r="D113" t="str">
        <f t="shared" si="1"/>
        <v>Sheffield UnitedBurnley</v>
      </c>
      <c r="E113" t="s">
        <v>51</v>
      </c>
      <c r="F113" t="s">
        <v>32</v>
      </c>
      <c r="G113">
        <v>2.34</v>
      </c>
      <c r="H113">
        <v>3.32</v>
      </c>
      <c r="I113">
        <v>3.6</v>
      </c>
    </row>
    <row r="114" spans="4:9" x14ac:dyDescent="0.35">
      <c r="D114" t="str">
        <f t="shared" si="1"/>
        <v>West Ham UnitedNewcastle</v>
      </c>
      <c r="E114" t="s">
        <v>43</v>
      </c>
      <c r="F114" t="s">
        <v>46</v>
      </c>
      <c r="G114">
        <v>1.84</v>
      </c>
      <c r="H114">
        <v>3.95</v>
      </c>
      <c r="I114">
        <v>4.75</v>
      </c>
    </row>
    <row r="115" spans="4:9" x14ac:dyDescent="0.35">
      <c r="D115" t="str">
        <f t="shared" si="1"/>
        <v>WatfordChelsea</v>
      </c>
      <c r="E115" t="s">
        <v>35</v>
      </c>
      <c r="F115" t="s">
        <v>42</v>
      </c>
      <c r="G115">
        <v>5.25</v>
      </c>
      <c r="H115">
        <v>4.5</v>
      </c>
      <c r="I115">
        <v>1.7</v>
      </c>
    </row>
    <row r="116" spans="4:9" x14ac:dyDescent="0.35">
      <c r="D116" t="str">
        <f t="shared" si="1"/>
        <v>Crystal PalaceLeicester City</v>
      </c>
      <c r="E116" t="s">
        <v>30</v>
      </c>
      <c r="F116" t="s">
        <v>25</v>
      </c>
      <c r="G116">
        <v>3.65</v>
      </c>
      <c r="H116">
        <v>3.5</v>
      </c>
      <c r="I116">
        <v>2.25</v>
      </c>
    </row>
    <row r="117" spans="4:9" x14ac:dyDescent="0.35">
      <c r="D117" t="str">
        <f t="shared" si="1"/>
        <v>EvertonTottenham Hotspur</v>
      </c>
      <c r="E117" t="s">
        <v>28</v>
      </c>
      <c r="F117" t="s">
        <v>29</v>
      </c>
      <c r="G117">
        <v>2.82</v>
      </c>
      <c r="H117">
        <v>3.6</v>
      </c>
      <c r="I117">
        <v>2.68</v>
      </c>
    </row>
    <row r="118" spans="4:9" x14ac:dyDescent="0.35">
      <c r="D118" t="str">
        <f t="shared" si="1"/>
        <v>Norwich CityWatford</v>
      </c>
      <c r="E118" t="s">
        <v>50</v>
      </c>
      <c r="F118" t="s">
        <v>35</v>
      </c>
      <c r="G118">
        <v>2.75</v>
      </c>
      <c r="H118">
        <v>3.65</v>
      </c>
      <c r="I118">
        <v>2.72</v>
      </c>
    </row>
    <row r="119" spans="4:9" x14ac:dyDescent="0.35">
      <c r="D119" t="str">
        <f t="shared" si="1"/>
        <v>ChelseaCrystal Palace</v>
      </c>
      <c r="E119" t="s">
        <v>42</v>
      </c>
      <c r="F119" t="s">
        <v>30</v>
      </c>
      <c r="G119">
        <v>1.37</v>
      </c>
      <c r="H119">
        <v>5.6</v>
      </c>
      <c r="I119">
        <v>10.25</v>
      </c>
    </row>
    <row r="120" spans="4:9" x14ac:dyDescent="0.35">
      <c r="D120" t="str">
        <f t="shared" si="1"/>
        <v>BurnleyWest Ham United</v>
      </c>
      <c r="E120" t="s">
        <v>32</v>
      </c>
      <c r="F120" t="s">
        <v>43</v>
      </c>
      <c r="G120">
        <v>2.33</v>
      </c>
      <c r="H120">
        <v>3.73</v>
      </c>
      <c r="I120">
        <v>3.3</v>
      </c>
    </row>
    <row r="121" spans="4:9" x14ac:dyDescent="0.35">
      <c r="D121" t="str">
        <f t="shared" si="1"/>
        <v>NewcastleAFC Bournemouth</v>
      </c>
      <c r="E121" t="s">
        <v>46</v>
      </c>
      <c r="F121" t="s">
        <v>38</v>
      </c>
      <c r="G121">
        <v>2.72</v>
      </c>
      <c r="H121">
        <v>3.5</v>
      </c>
      <c r="I121">
        <v>2.95</v>
      </c>
    </row>
    <row r="122" spans="4:9" x14ac:dyDescent="0.35">
      <c r="D122" t="str">
        <f t="shared" si="1"/>
        <v>SouthamptonEverton</v>
      </c>
      <c r="E122" t="s">
        <v>34</v>
      </c>
      <c r="F122" t="s">
        <v>28</v>
      </c>
      <c r="G122">
        <v>3.11</v>
      </c>
      <c r="H122">
        <v>3.53</v>
      </c>
      <c r="I122">
        <v>2.58</v>
      </c>
    </row>
    <row r="123" spans="4:9" x14ac:dyDescent="0.35">
      <c r="D123" t="str">
        <f t="shared" si="1"/>
        <v>Tottenham HotspurSheffield United</v>
      </c>
      <c r="E123" t="s">
        <v>29</v>
      </c>
      <c r="F123" t="s">
        <v>51</v>
      </c>
      <c r="G123">
        <v>1.63</v>
      </c>
      <c r="H123">
        <v>4.34</v>
      </c>
      <c r="I123">
        <v>6.5</v>
      </c>
    </row>
    <row r="124" spans="4:9" x14ac:dyDescent="0.35">
      <c r="D124" t="str">
        <f t="shared" si="1"/>
        <v>Leicester CityArsenal</v>
      </c>
      <c r="E124" t="s">
        <v>25</v>
      </c>
      <c r="F124" t="s">
        <v>40</v>
      </c>
      <c r="G124">
        <v>2.08</v>
      </c>
      <c r="H124">
        <v>3.98</v>
      </c>
      <c r="I124">
        <v>3.8</v>
      </c>
    </row>
    <row r="125" spans="4:9" x14ac:dyDescent="0.35">
      <c r="D125" t="str">
        <f t="shared" si="1"/>
        <v>Manchester UnitedBrighton and Hove Albion</v>
      </c>
      <c r="E125" t="s">
        <v>39</v>
      </c>
      <c r="F125" t="s">
        <v>45</v>
      </c>
      <c r="G125">
        <v>1.72</v>
      </c>
      <c r="H125">
        <v>3.8</v>
      </c>
      <c r="I125">
        <v>6.5</v>
      </c>
    </row>
    <row r="126" spans="4:9" x14ac:dyDescent="0.35">
      <c r="D126" t="str">
        <f t="shared" si="1"/>
        <v>WolverhamptonAston Villa</v>
      </c>
      <c r="E126" t="s">
        <v>49</v>
      </c>
      <c r="F126" t="s">
        <v>52</v>
      </c>
      <c r="G126">
        <v>1.96</v>
      </c>
      <c r="H126">
        <v>3.8</v>
      </c>
      <c r="I126">
        <v>4.4000000000000004</v>
      </c>
    </row>
    <row r="127" spans="4:9" x14ac:dyDescent="0.35">
      <c r="D127" t="str">
        <f t="shared" si="1"/>
        <v>LiverpoolManchester City</v>
      </c>
      <c r="E127" t="s">
        <v>41</v>
      </c>
      <c r="F127" t="s">
        <v>36</v>
      </c>
      <c r="G127">
        <v>2.7</v>
      </c>
      <c r="H127">
        <v>3.75</v>
      </c>
      <c r="I127">
        <v>2.78</v>
      </c>
    </row>
    <row r="128" spans="4:9" x14ac:dyDescent="0.35">
      <c r="D128" t="str">
        <f t="shared" si="1"/>
        <v>West Ham UnitedTottenham Hotspur</v>
      </c>
      <c r="E128" t="s">
        <v>43</v>
      </c>
      <c r="F128" t="s">
        <v>29</v>
      </c>
      <c r="G128">
        <v>4.45</v>
      </c>
      <c r="H128">
        <v>4.3600000000000003</v>
      </c>
      <c r="I128">
        <v>1.82</v>
      </c>
    </row>
    <row r="129" spans="4:9" x14ac:dyDescent="0.35">
      <c r="D129" t="str">
        <f t="shared" si="1"/>
        <v>ArsenalSouthampton</v>
      </c>
      <c r="E129" t="s">
        <v>40</v>
      </c>
      <c r="F129" t="s">
        <v>34</v>
      </c>
      <c r="G129">
        <v>1.52</v>
      </c>
      <c r="H129">
        <v>5</v>
      </c>
      <c r="I129">
        <v>7</v>
      </c>
    </row>
    <row r="130" spans="4:9" x14ac:dyDescent="0.35">
      <c r="D130" t="str">
        <f t="shared" si="1"/>
        <v>AFC BournemouthWolverhampton</v>
      </c>
      <c r="E130" t="s">
        <v>38</v>
      </c>
      <c r="F130" t="s">
        <v>49</v>
      </c>
      <c r="G130">
        <v>2.9</v>
      </c>
      <c r="H130">
        <v>3.41</v>
      </c>
      <c r="I130">
        <v>2.7</v>
      </c>
    </row>
    <row r="131" spans="4:9" x14ac:dyDescent="0.35">
      <c r="D131" t="str">
        <f t="shared" si="1"/>
        <v>Brighton and Hove AlbionLeicester City</v>
      </c>
      <c r="E131" t="s">
        <v>45</v>
      </c>
      <c r="F131" t="s">
        <v>25</v>
      </c>
      <c r="G131">
        <v>3.85</v>
      </c>
      <c r="H131">
        <v>3.7</v>
      </c>
      <c r="I131">
        <v>2.1</v>
      </c>
    </row>
    <row r="132" spans="4:9" x14ac:dyDescent="0.35">
      <c r="D132" t="str">
        <f t="shared" si="1"/>
        <v>Crystal PalaceLiverpool</v>
      </c>
      <c r="E132" t="s">
        <v>30</v>
      </c>
      <c r="F132" t="s">
        <v>41</v>
      </c>
      <c r="G132">
        <v>8</v>
      </c>
      <c r="H132">
        <v>4.84</v>
      </c>
      <c r="I132">
        <v>1.48</v>
      </c>
    </row>
    <row r="133" spans="4:9" x14ac:dyDescent="0.35">
      <c r="D133" t="str">
        <f t="shared" si="1"/>
        <v>EvertonNorwich City</v>
      </c>
      <c r="E133" t="s">
        <v>28</v>
      </c>
      <c r="F133" t="s">
        <v>50</v>
      </c>
      <c r="G133">
        <v>1.45</v>
      </c>
      <c r="H133">
        <v>5.25</v>
      </c>
      <c r="I133">
        <v>9</v>
      </c>
    </row>
    <row r="134" spans="4:9" x14ac:dyDescent="0.35">
      <c r="D134" t="str">
        <f t="shared" si="1"/>
        <v>WatfordBurnley</v>
      </c>
      <c r="E134" t="s">
        <v>35</v>
      </c>
      <c r="F134" t="s">
        <v>32</v>
      </c>
      <c r="G134">
        <v>2.4</v>
      </c>
      <c r="H134">
        <v>3.51</v>
      </c>
      <c r="I134">
        <v>3.35</v>
      </c>
    </row>
    <row r="135" spans="4:9" x14ac:dyDescent="0.35">
      <c r="D135" t="str">
        <f t="shared" si="1"/>
        <v>Manchester CityChelsea</v>
      </c>
      <c r="E135" t="s">
        <v>36</v>
      </c>
      <c r="F135" t="s">
        <v>42</v>
      </c>
      <c r="G135">
        <v>1.48</v>
      </c>
      <c r="H135">
        <v>5.3</v>
      </c>
      <c r="I135">
        <v>7.1</v>
      </c>
    </row>
    <row r="136" spans="4:9" x14ac:dyDescent="0.35">
      <c r="D136" t="str">
        <f t="shared" si="1"/>
        <v>Sheffield UnitedManchester United</v>
      </c>
      <c r="E136" t="s">
        <v>51</v>
      </c>
      <c r="F136" t="s">
        <v>39</v>
      </c>
      <c r="G136">
        <v>3.68</v>
      </c>
      <c r="H136">
        <v>3.4</v>
      </c>
      <c r="I136">
        <v>2.25</v>
      </c>
    </row>
    <row r="137" spans="4:9" x14ac:dyDescent="0.35">
      <c r="D137" t="str">
        <f t="shared" ref="D137:D200" si="2">E137&amp;F137</f>
        <v>Aston VillaNewcastle</v>
      </c>
      <c r="E137" t="s">
        <v>52</v>
      </c>
      <c r="F137" t="s">
        <v>46</v>
      </c>
      <c r="G137">
        <v>2.2000000000000002</v>
      </c>
      <c r="H137">
        <v>3.6</v>
      </c>
      <c r="I137">
        <v>3.75</v>
      </c>
    </row>
    <row r="138" spans="4:9" x14ac:dyDescent="0.35">
      <c r="D138" t="str">
        <f t="shared" si="2"/>
        <v>NewcastleManchester City</v>
      </c>
      <c r="E138" t="s">
        <v>46</v>
      </c>
      <c r="F138" t="s">
        <v>36</v>
      </c>
      <c r="G138">
        <v>18</v>
      </c>
      <c r="H138">
        <v>8.3000000000000007</v>
      </c>
      <c r="I138">
        <v>1.21</v>
      </c>
    </row>
    <row r="139" spans="4:9" x14ac:dyDescent="0.35">
      <c r="D139" t="str">
        <f t="shared" si="2"/>
        <v>BurnleyCrystal Palace</v>
      </c>
      <c r="E139" t="s">
        <v>32</v>
      </c>
      <c r="F139" t="s">
        <v>30</v>
      </c>
      <c r="G139">
        <v>2.38</v>
      </c>
      <c r="H139">
        <v>3.35</v>
      </c>
      <c r="I139">
        <v>3.5</v>
      </c>
    </row>
    <row r="140" spans="4:9" x14ac:dyDescent="0.35">
      <c r="D140" t="str">
        <f t="shared" si="2"/>
        <v>ChelseaWest Ham United</v>
      </c>
      <c r="E140" t="s">
        <v>42</v>
      </c>
      <c r="F140" t="s">
        <v>43</v>
      </c>
      <c r="G140">
        <v>1.33</v>
      </c>
      <c r="H140">
        <v>6.35</v>
      </c>
      <c r="I140">
        <v>10.53</v>
      </c>
    </row>
    <row r="141" spans="4:9" x14ac:dyDescent="0.35">
      <c r="D141" t="str">
        <f t="shared" si="2"/>
        <v>LiverpoolBrighton and Hove Albion</v>
      </c>
      <c r="E141" t="s">
        <v>41</v>
      </c>
      <c r="F141" t="s">
        <v>45</v>
      </c>
      <c r="G141">
        <v>1.23</v>
      </c>
      <c r="H141">
        <v>7.25</v>
      </c>
      <c r="I141">
        <v>17.25</v>
      </c>
    </row>
    <row r="142" spans="4:9" x14ac:dyDescent="0.35">
      <c r="D142" t="str">
        <f t="shared" si="2"/>
        <v>Tottenham HotspurAFC Bournemouth</v>
      </c>
      <c r="E142" t="s">
        <v>29</v>
      </c>
      <c r="F142" t="s">
        <v>38</v>
      </c>
      <c r="G142">
        <v>1.41</v>
      </c>
      <c r="H142">
        <v>5.5</v>
      </c>
      <c r="I142">
        <v>8.5</v>
      </c>
    </row>
    <row r="143" spans="4:9" x14ac:dyDescent="0.35">
      <c r="D143" t="str">
        <f t="shared" si="2"/>
        <v>SouthamptonWatford</v>
      </c>
      <c r="E143" t="s">
        <v>34</v>
      </c>
      <c r="F143" t="s">
        <v>35</v>
      </c>
      <c r="G143">
        <v>2.2000000000000002</v>
      </c>
      <c r="H143">
        <v>3.62</v>
      </c>
      <c r="I143">
        <v>3.64</v>
      </c>
    </row>
    <row r="144" spans="4:9" x14ac:dyDescent="0.35">
      <c r="D144" t="str">
        <f t="shared" si="2"/>
        <v>Norwich CityArsenal</v>
      </c>
      <c r="E144" t="s">
        <v>50</v>
      </c>
      <c r="F144" t="s">
        <v>40</v>
      </c>
      <c r="G144">
        <v>4.33</v>
      </c>
      <c r="H144">
        <v>4.4000000000000004</v>
      </c>
      <c r="I144">
        <v>1.86</v>
      </c>
    </row>
    <row r="145" spans="4:9" x14ac:dyDescent="0.35">
      <c r="D145" t="str">
        <f t="shared" si="2"/>
        <v>WolverhamptonSheffield United</v>
      </c>
      <c r="E145" t="s">
        <v>49</v>
      </c>
      <c r="F145" t="s">
        <v>51</v>
      </c>
      <c r="G145">
        <v>2</v>
      </c>
      <c r="H145">
        <v>3.55</v>
      </c>
      <c r="I145">
        <v>4.5999999999999996</v>
      </c>
    </row>
    <row r="146" spans="4:9" x14ac:dyDescent="0.35">
      <c r="D146" t="str">
        <f t="shared" si="2"/>
        <v>Leicester CityEverton</v>
      </c>
      <c r="E146" t="s">
        <v>25</v>
      </c>
      <c r="F146" t="s">
        <v>28</v>
      </c>
      <c r="G146">
        <v>1.68</v>
      </c>
      <c r="H146">
        <v>4.25</v>
      </c>
      <c r="I146">
        <v>5.6</v>
      </c>
    </row>
    <row r="147" spans="4:9" x14ac:dyDescent="0.35">
      <c r="D147" t="str">
        <f t="shared" si="2"/>
        <v>Manchester UnitedAston Villa</v>
      </c>
      <c r="E147" t="s">
        <v>39</v>
      </c>
      <c r="F147" t="s">
        <v>52</v>
      </c>
      <c r="G147">
        <v>1.55</v>
      </c>
      <c r="H147">
        <v>4.6900000000000004</v>
      </c>
      <c r="I147">
        <v>8</v>
      </c>
    </row>
    <row r="148" spans="4:9" x14ac:dyDescent="0.35">
      <c r="D148" t="str">
        <f t="shared" si="2"/>
        <v>Crystal PalaceAFC Bournemouth</v>
      </c>
      <c r="E148" t="s">
        <v>30</v>
      </c>
      <c r="F148" t="s">
        <v>38</v>
      </c>
      <c r="G148">
        <v>2.34</v>
      </c>
      <c r="H148">
        <v>3.52</v>
      </c>
      <c r="I148">
        <v>3.45</v>
      </c>
    </row>
    <row r="149" spans="4:9" x14ac:dyDescent="0.35">
      <c r="D149" t="str">
        <f t="shared" si="2"/>
        <v>BurnleyManchester City</v>
      </c>
      <c r="E149" t="s">
        <v>32</v>
      </c>
      <c r="F149" t="s">
        <v>36</v>
      </c>
      <c r="G149">
        <v>13</v>
      </c>
      <c r="H149">
        <v>7</v>
      </c>
      <c r="I149">
        <v>1.28</v>
      </c>
    </row>
    <row r="150" spans="4:9" x14ac:dyDescent="0.35">
      <c r="D150" t="str">
        <f t="shared" si="2"/>
        <v>ChelseaAston Villa</v>
      </c>
      <c r="E150" t="s">
        <v>42</v>
      </c>
      <c r="F150" t="s">
        <v>52</v>
      </c>
      <c r="G150">
        <v>1.33</v>
      </c>
      <c r="H150">
        <v>6.2</v>
      </c>
      <c r="I150">
        <v>11.25</v>
      </c>
    </row>
    <row r="151" spans="4:9" x14ac:dyDescent="0.35">
      <c r="D151" t="str">
        <f t="shared" si="2"/>
        <v>Leicester CityWatford</v>
      </c>
      <c r="E151" t="s">
        <v>25</v>
      </c>
      <c r="F151" t="s">
        <v>35</v>
      </c>
      <c r="G151">
        <v>1.4</v>
      </c>
      <c r="H151">
        <v>5.6</v>
      </c>
      <c r="I151">
        <v>10.5</v>
      </c>
    </row>
    <row r="152" spans="4:9" x14ac:dyDescent="0.35">
      <c r="D152" t="str">
        <f t="shared" si="2"/>
        <v>Manchester UnitedTottenham Hotspur</v>
      </c>
      <c r="E152" t="s">
        <v>39</v>
      </c>
      <c r="F152" t="s">
        <v>29</v>
      </c>
      <c r="G152">
        <v>2.77</v>
      </c>
      <c r="H152">
        <v>3.6</v>
      </c>
      <c r="I152">
        <v>2.7</v>
      </c>
    </row>
    <row r="153" spans="4:9" x14ac:dyDescent="0.35">
      <c r="D153" t="str">
        <f t="shared" si="2"/>
        <v>SouthamptonNorwich City</v>
      </c>
      <c r="E153" t="s">
        <v>34</v>
      </c>
      <c r="F153" t="s">
        <v>50</v>
      </c>
      <c r="G153">
        <v>1.85</v>
      </c>
      <c r="H153">
        <v>4.1500000000000004</v>
      </c>
      <c r="I153">
        <v>4.5999999999999996</v>
      </c>
    </row>
    <row r="154" spans="4:9" x14ac:dyDescent="0.35">
      <c r="D154" t="str">
        <f t="shared" si="2"/>
        <v>WolverhamptonWest Ham United</v>
      </c>
      <c r="E154" t="s">
        <v>49</v>
      </c>
      <c r="F154" t="s">
        <v>43</v>
      </c>
      <c r="G154">
        <v>1.82</v>
      </c>
      <c r="H154">
        <v>3.85</v>
      </c>
      <c r="I154">
        <v>5.05</v>
      </c>
    </row>
    <row r="155" spans="4:9" x14ac:dyDescent="0.35">
      <c r="D155" t="str">
        <f t="shared" si="2"/>
        <v>LiverpoolEverton</v>
      </c>
      <c r="E155" t="s">
        <v>41</v>
      </c>
      <c r="F155" t="s">
        <v>28</v>
      </c>
      <c r="G155">
        <v>1.42</v>
      </c>
      <c r="H155">
        <v>5.25</v>
      </c>
      <c r="I155">
        <v>9.15</v>
      </c>
    </row>
    <row r="156" spans="4:9" x14ac:dyDescent="0.35">
      <c r="D156" t="str">
        <f t="shared" si="2"/>
        <v>Sheffield UnitedNewcastle</v>
      </c>
      <c r="E156" t="s">
        <v>51</v>
      </c>
      <c r="F156" t="s">
        <v>46</v>
      </c>
      <c r="G156">
        <v>1.95</v>
      </c>
      <c r="H156">
        <v>3.56</v>
      </c>
      <c r="I156">
        <v>4.8499999999999996</v>
      </c>
    </row>
    <row r="157" spans="4:9" x14ac:dyDescent="0.35">
      <c r="D157" t="str">
        <f t="shared" si="2"/>
        <v>ArsenalBrighton and Hove Albion</v>
      </c>
      <c r="E157" t="s">
        <v>40</v>
      </c>
      <c r="F157" t="s">
        <v>45</v>
      </c>
      <c r="G157">
        <v>1.63</v>
      </c>
      <c r="H157">
        <v>4.3499999999999996</v>
      </c>
      <c r="I157">
        <v>5.85</v>
      </c>
    </row>
    <row r="158" spans="4:9" x14ac:dyDescent="0.35">
      <c r="D158" t="str">
        <f t="shared" si="2"/>
        <v>EvertonChelsea</v>
      </c>
      <c r="E158" t="s">
        <v>28</v>
      </c>
      <c r="F158" t="s">
        <v>42</v>
      </c>
      <c r="G158">
        <v>3.65</v>
      </c>
      <c r="H158">
        <v>3.95</v>
      </c>
      <c r="I158">
        <v>2.08</v>
      </c>
    </row>
    <row r="159" spans="4:9" x14ac:dyDescent="0.35">
      <c r="D159" t="str">
        <f t="shared" si="2"/>
        <v>AFC BournemouthLiverpool</v>
      </c>
      <c r="E159" t="s">
        <v>38</v>
      </c>
      <c r="F159" t="s">
        <v>41</v>
      </c>
      <c r="G159">
        <v>8</v>
      </c>
      <c r="H159">
        <v>5.3</v>
      </c>
      <c r="I159">
        <v>1.47</v>
      </c>
    </row>
    <row r="160" spans="4:9" x14ac:dyDescent="0.35">
      <c r="D160" t="str">
        <f t="shared" si="2"/>
        <v>Tottenham HotspurBurnley</v>
      </c>
      <c r="E160" t="s">
        <v>29</v>
      </c>
      <c r="F160" t="s">
        <v>32</v>
      </c>
      <c r="G160">
        <v>1.45</v>
      </c>
      <c r="H160">
        <v>5</v>
      </c>
      <c r="I160">
        <v>9.1</v>
      </c>
    </row>
    <row r="161" spans="4:9" x14ac:dyDescent="0.35">
      <c r="D161" t="str">
        <f t="shared" si="2"/>
        <v>WatfordCrystal Palace</v>
      </c>
      <c r="E161" t="s">
        <v>35</v>
      </c>
      <c r="F161" t="s">
        <v>30</v>
      </c>
      <c r="G161">
        <v>2.5</v>
      </c>
      <c r="H161">
        <v>3.45</v>
      </c>
      <c r="I161">
        <v>3.22</v>
      </c>
    </row>
    <row r="162" spans="4:9" x14ac:dyDescent="0.35">
      <c r="D162" t="str">
        <f t="shared" si="2"/>
        <v>Manchester CityManchester United</v>
      </c>
      <c r="E162" t="s">
        <v>36</v>
      </c>
      <c r="F162" t="s">
        <v>39</v>
      </c>
      <c r="G162">
        <v>1.35</v>
      </c>
      <c r="H162">
        <v>6.05</v>
      </c>
      <c r="I162">
        <v>11</v>
      </c>
    </row>
    <row r="163" spans="4:9" x14ac:dyDescent="0.35">
      <c r="D163" t="str">
        <f t="shared" si="2"/>
        <v>Aston VillaLeicester City</v>
      </c>
      <c r="E163" t="s">
        <v>52</v>
      </c>
      <c r="F163" t="s">
        <v>25</v>
      </c>
      <c r="G163">
        <v>4.5</v>
      </c>
      <c r="H163">
        <v>4.07</v>
      </c>
      <c r="I163">
        <v>1.9</v>
      </c>
    </row>
    <row r="164" spans="4:9" x14ac:dyDescent="0.35">
      <c r="D164" t="str">
        <f t="shared" si="2"/>
        <v>NewcastleSouthampton</v>
      </c>
      <c r="E164" t="s">
        <v>46</v>
      </c>
      <c r="F164" t="s">
        <v>34</v>
      </c>
      <c r="G164">
        <v>2.7</v>
      </c>
      <c r="H164">
        <v>3.32</v>
      </c>
      <c r="I164">
        <v>3.1</v>
      </c>
    </row>
    <row r="165" spans="4:9" x14ac:dyDescent="0.35">
      <c r="D165" t="str">
        <f t="shared" si="2"/>
        <v>Norwich CitySheffield United</v>
      </c>
      <c r="E165" t="s">
        <v>50</v>
      </c>
      <c r="F165" t="s">
        <v>51</v>
      </c>
      <c r="G165">
        <v>3.3</v>
      </c>
      <c r="H165">
        <v>3.58</v>
      </c>
      <c r="I165">
        <v>2.6</v>
      </c>
    </row>
    <row r="166" spans="4:9" x14ac:dyDescent="0.35">
      <c r="D166" t="str">
        <f t="shared" si="2"/>
        <v>Brighton and Hove AlbionWolverhampton</v>
      </c>
      <c r="E166" t="s">
        <v>45</v>
      </c>
      <c r="F166" t="s">
        <v>49</v>
      </c>
      <c r="G166">
        <v>2.8</v>
      </c>
      <c r="H166">
        <v>3.25</v>
      </c>
      <c r="I166">
        <v>2.95</v>
      </c>
    </row>
    <row r="167" spans="4:9" x14ac:dyDescent="0.35">
      <c r="D167" t="str">
        <f t="shared" si="2"/>
        <v>West Ham UnitedArsenal</v>
      </c>
      <c r="E167" t="s">
        <v>43</v>
      </c>
      <c r="F167" t="s">
        <v>40</v>
      </c>
      <c r="G167">
        <v>3.6</v>
      </c>
      <c r="H167">
        <v>4.25</v>
      </c>
      <c r="I167">
        <v>2.08</v>
      </c>
    </row>
    <row r="168" spans="4:9" x14ac:dyDescent="0.35">
      <c r="D168" t="str">
        <f t="shared" si="2"/>
        <v>LiverpoolWatford</v>
      </c>
      <c r="E168" t="s">
        <v>41</v>
      </c>
      <c r="F168" t="s">
        <v>35</v>
      </c>
      <c r="G168">
        <v>1.2</v>
      </c>
      <c r="H168">
        <v>8.1999999999999993</v>
      </c>
      <c r="I168">
        <v>21</v>
      </c>
    </row>
    <row r="169" spans="4:9" x14ac:dyDescent="0.35">
      <c r="D169" t="str">
        <f t="shared" si="2"/>
        <v>BurnleyNewcastle</v>
      </c>
      <c r="E169" t="s">
        <v>32</v>
      </c>
      <c r="F169" t="s">
        <v>46</v>
      </c>
      <c r="G169">
        <v>2.02</v>
      </c>
      <c r="H169">
        <v>3.62</v>
      </c>
      <c r="I169">
        <v>4.3</v>
      </c>
    </row>
    <row r="170" spans="4:9" x14ac:dyDescent="0.35">
      <c r="D170" t="str">
        <f t="shared" si="2"/>
        <v>ChelseaAFC Bournemouth</v>
      </c>
      <c r="E170" t="s">
        <v>42</v>
      </c>
      <c r="F170" t="s">
        <v>38</v>
      </c>
      <c r="G170">
        <v>1.28</v>
      </c>
      <c r="H170">
        <v>7</v>
      </c>
      <c r="I170">
        <v>13</v>
      </c>
    </row>
    <row r="171" spans="4:9" x14ac:dyDescent="0.35">
      <c r="D171" t="str">
        <f t="shared" si="2"/>
        <v>Leicester CityNorwich City</v>
      </c>
      <c r="E171" t="s">
        <v>25</v>
      </c>
      <c r="F171" t="s">
        <v>50</v>
      </c>
      <c r="G171">
        <v>1.25</v>
      </c>
      <c r="H171">
        <v>7.35</v>
      </c>
      <c r="I171">
        <v>15</v>
      </c>
    </row>
    <row r="172" spans="4:9" x14ac:dyDescent="0.35">
      <c r="D172" t="str">
        <f t="shared" si="2"/>
        <v>Sheffield UnitedAston Villa</v>
      </c>
      <c r="E172" t="s">
        <v>51</v>
      </c>
      <c r="F172" t="s">
        <v>52</v>
      </c>
      <c r="G172">
        <v>1.93</v>
      </c>
      <c r="H172">
        <v>3.9</v>
      </c>
      <c r="I172">
        <v>4.3499999999999996</v>
      </c>
    </row>
    <row r="173" spans="4:9" x14ac:dyDescent="0.35">
      <c r="D173" t="str">
        <f t="shared" si="2"/>
        <v>SouthamptonWest Ham United</v>
      </c>
      <c r="E173" t="s">
        <v>34</v>
      </c>
      <c r="F173" t="s">
        <v>43</v>
      </c>
      <c r="G173">
        <v>1.98</v>
      </c>
      <c r="H173">
        <v>4</v>
      </c>
      <c r="I173">
        <v>3.95</v>
      </c>
    </row>
    <row r="174" spans="4:9" x14ac:dyDescent="0.35">
      <c r="D174" t="str">
        <f t="shared" si="2"/>
        <v>Manchester UnitedEverton</v>
      </c>
      <c r="E174" t="s">
        <v>39</v>
      </c>
      <c r="F174" t="s">
        <v>28</v>
      </c>
      <c r="G174">
        <v>1.82</v>
      </c>
      <c r="H174">
        <v>3.89</v>
      </c>
      <c r="I174">
        <v>5</v>
      </c>
    </row>
    <row r="175" spans="4:9" x14ac:dyDescent="0.35">
      <c r="D175" t="str">
        <f t="shared" si="2"/>
        <v>WolverhamptonTottenham Hotspur</v>
      </c>
      <c r="E175" t="s">
        <v>49</v>
      </c>
      <c r="F175" t="s">
        <v>29</v>
      </c>
      <c r="G175">
        <v>3.35</v>
      </c>
      <c r="H175">
        <v>3.6</v>
      </c>
      <c r="I175">
        <v>2.35</v>
      </c>
    </row>
    <row r="176" spans="4:9" x14ac:dyDescent="0.35">
      <c r="D176" t="str">
        <f t="shared" si="2"/>
        <v>ArsenalManchester City</v>
      </c>
      <c r="E176" t="s">
        <v>40</v>
      </c>
      <c r="F176" t="s">
        <v>36</v>
      </c>
      <c r="G176">
        <v>6.5</v>
      </c>
      <c r="H176">
        <v>5.7</v>
      </c>
      <c r="I176">
        <v>1.49</v>
      </c>
    </row>
    <row r="177" spans="4:9" x14ac:dyDescent="0.35">
      <c r="D177" t="str">
        <f t="shared" si="2"/>
        <v>Crystal PalaceBrighton and Hove Albion</v>
      </c>
      <c r="E177" t="s">
        <v>30</v>
      </c>
      <c r="F177" t="s">
        <v>45</v>
      </c>
      <c r="G177">
        <v>2.65</v>
      </c>
      <c r="H177">
        <v>3.34</v>
      </c>
      <c r="I177">
        <v>3</v>
      </c>
    </row>
    <row r="178" spans="4:9" x14ac:dyDescent="0.35">
      <c r="D178" t="str">
        <f t="shared" si="2"/>
        <v>EvertonArsenal</v>
      </c>
      <c r="E178" t="s">
        <v>28</v>
      </c>
      <c r="F178" t="s">
        <v>40</v>
      </c>
      <c r="G178">
        <v>2.4</v>
      </c>
      <c r="H178">
        <v>3.88</v>
      </c>
      <c r="I178">
        <v>3</v>
      </c>
    </row>
    <row r="179" spans="4:9" x14ac:dyDescent="0.35">
      <c r="D179" t="str">
        <f t="shared" si="2"/>
        <v>Aston VillaSouthampton</v>
      </c>
      <c r="E179" t="s">
        <v>52</v>
      </c>
      <c r="F179" t="s">
        <v>34</v>
      </c>
      <c r="G179">
        <v>2.5</v>
      </c>
      <c r="H179">
        <v>3.74</v>
      </c>
      <c r="I179">
        <v>3</v>
      </c>
    </row>
    <row r="180" spans="4:9" x14ac:dyDescent="0.35">
      <c r="D180" t="str">
        <f t="shared" si="2"/>
        <v>AFC BournemouthBurnley</v>
      </c>
      <c r="E180" t="s">
        <v>38</v>
      </c>
      <c r="F180" t="s">
        <v>32</v>
      </c>
      <c r="G180">
        <v>2.5499999999999998</v>
      </c>
      <c r="H180">
        <v>3.5</v>
      </c>
      <c r="I180">
        <v>3.05</v>
      </c>
    </row>
    <row r="181" spans="4:9" x14ac:dyDescent="0.35">
      <c r="D181" t="str">
        <f t="shared" si="2"/>
        <v>Brighton and Hove AlbionSheffield United</v>
      </c>
      <c r="E181" t="s">
        <v>45</v>
      </c>
      <c r="F181" t="s">
        <v>51</v>
      </c>
      <c r="G181">
        <v>2.3199999999999998</v>
      </c>
      <c r="H181">
        <v>3.35</v>
      </c>
      <c r="I181">
        <v>3.7</v>
      </c>
    </row>
    <row r="182" spans="4:9" x14ac:dyDescent="0.35">
      <c r="D182" t="str">
        <f t="shared" si="2"/>
        <v>NewcastleCrystal Palace</v>
      </c>
      <c r="E182" t="s">
        <v>46</v>
      </c>
      <c r="F182" t="s">
        <v>30</v>
      </c>
      <c r="G182">
        <v>2.5299999999999998</v>
      </c>
      <c r="H182">
        <v>3.27</v>
      </c>
      <c r="I182">
        <v>3.4</v>
      </c>
    </row>
    <row r="183" spans="4:9" x14ac:dyDescent="0.35">
      <c r="D183" t="str">
        <f t="shared" si="2"/>
        <v>Norwich CityWolverhampton</v>
      </c>
      <c r="E183" t="s">
        <v>50</v>
      </c>
      <c r="F183" t="s">
        <v>49</v>
      </c>
      <c r="G183">
        <v>3.9</v>
      </c>
      <c r="H183">
        <v>3.9</v>
      </c>
      <c r="I183">
        <v>2.0299999999999998</v>
      </c>
    </row>
    <row r="184" spans="4:9" x14ac:dyDescent="0.35">
      <c r="D184" t="str">
        <f t="shared" si="2"/>
        <v>Manchester CityLeicester City</v>
      </c>
      <c r="E184" t="s">
        <v>36</v>
      </c>
      <c r="F184" t="s">
        <v>25</v>
      </c>
      <c r="G184">
        <v>1.4</v>
      </c>
      <c r="H184">
        <v>5.8</v>
      </c>
      <c r="I184">
        <v>8.25</v>
      </c>
    </row>
    <row r="185" spans="4:9" x14ac:dyDescent="0.35">
      <c r="D185" t="str">
        <f t="shared" si="2"/>
        <v>WatfordManchester United</v>
      </c>
      <c r="E185" t="s">
        <v>35</v>
      </c>
      <c r="F185" t="s">
        <v>39</v>
      </c>
      <c r="G185">
        <v>4.55</v>
      </c>
      <c r="H185">
        <v>4.0999999999999996</v>
      </c>
      <c r="I185">
        <v>1.85</v>
      </c>
    </row>
    <row r="186" spans="4:9" x14ac:dyDescent="0.35">
      <c r="D186" t="str">
        <f t="shared" si="2"/>
        <v>Tottenham HotspurChelsea</v>
      </c>
      <c r="E186" t="s">
        <v>29</v>
      </c>
      <c r="F186" t="s">
        <v>42</v>
      </c>
      <c r="G186">
        <v>2.4500000000000002</v>
      </c>
      <c r="H186">
        <v>3.79</v>
      </c>
      <c r="I186">
        <v>3.05</v>
      </c>
    </row>
    <row r="187" spans="4:9" x14ac:dyDescent="0.35">
      <c r="D187" t="str">
        <f t="shared" si="2"/>
        <v>Tottenham HotspurBrighton and Hove Albion</v>
      </c>
      <c r="E187" t="s">
        <v>29</v>
      </c>
      <c r="F187" t="s">
        <v>45</v>
      </c>
      <c r="G187">
        <v>1.59</v>
      </c>
      <c r="H187">
        <v>4.5999999999999996</v>
      </c>
      <c r="I187">
        <v>6.11</v>
      </c>
    </row>
    <row r="188" spans="4:9" x14ac:dyDescent="0.35">
      <c r="D188" t="str">
        <f t="shared" si="2"/>
        <v>Aston VillaNorwich City</v>
      </c>
      <c r="E188" t="s">
        <v>52</v>
      </c>
      <c r="F188" t="s">
        <v>50</v>
      </c>
      <c r="G188">
        <v>2.2000000000000002</v>
      </c>
      <c r="H188">
        <v>3.9</v>
      </c>
      <c r="I188">
        <v>3.45</v>
      </c>
    </row>
    <row r="189" spans="4:9" x14ac:dyDescent="0.35">
      <c r="D189" t="str">
        <f t="shared" si="2"/>
        <v>AFC BournemouthArsenal</v>
      </c>
      <c r="E189" t="s">
        <v>38</v>
      </c>
      <c r="F189" t="s">
        <v>40</v>
      </c>
      <c r="G189">
        <v>3.65</v>
      </c>
      <c r="H189">
        <v>4</v>
      </c>
      <c r="I189">
        <v>2.08</v>
      </c>
    </row>
    <row r="190" spans="4:9" x14ac:dyDescent="0.35">
      <c r="D190" t="str">
        <f t="shared" si="2"/>
        <v>ChelseaSouthampton</v>
      </c>
      <c r="E190" t="s">
        <v>42</v>
      </c>
      <c r="F190" t="s">
        <v>34</v>
      </c>
      <c r="G190">
        <v>1.39</v>
      </c>
      <c r="H190">
        <v>5.75</v>
      </c>
      <c r="I190">
        <v>9.25</v>
      </c>
    </row>
    <row r="191" spans="4:9" x14ac:dyDescent="0.35">
      <c r="D191" t="str">
        <f t="shared" si="2"/>
        <v>Crystal PalaceWest Ham United</v>
      </c>
      <c r="E191" t="s">
        <v>30</v>
      </c>
      <c r="F191" t="s">
        <v>43</v>
      </c>
      <c r="G191">
        <v>2.4500000000000002</v>
      </c>
      <c r="H191">
        <v>3.59</v>
      </c>
      <c r="I191">
        <v>3.21</v>
      </c>
    </row>
    <row r="192" spans="4:9" x14ac:dyDescent="0.35">
      <c r="D192" t="str">
        <f t="shared" si="2"/>
        <v>EvertonBurnley</v>
      </c>
      <c r="E192" t="s">
        <v>28</v>
      </c>
      <c r="F192" t="s">
        <v>32</v>
      </c>
      <c r="G192">
        <v>1.76</v>
      </c>
      <c r="H192">
        <v>3.9</v>
      </c>
      <c r="I192">
        <v>5.65</v>
      </c>
    </row>
    <row r="193" spans="4:9" x14ac:dyDescent="0.35">
      <c r="D193" t="str">
        <f t="shared" si="2"/>
        <v>Sheffield UnitedWatford</v>
      </c>
      <c r="E193" t="s">
        <v>51</v>
      </c>
      <c r="F193" t="s">
        <v>35</v>
      </c>
      <c r="G193">
        <v>1.95</v>
      </c>
      <c r="H193">
        <v>3.7</v>
      </c>
      <c r="I193">
        <v>4.6500000000000004</v>
      </c>
    </row>
    <row r="194" spans="4:9" x14ac:dyDescent="0.35">
      <c r="D194" t="str">
        <f t="shared" si="2"/>
        <v>Manchester UnitedNewcastle</v>
      </c>
      <c r="E194" t="s">
        <v>39</v>
      </c>
      <c r="F194" t="s">
        <v>46</v>
      </c>
      <c r="G194">
        <v>1.39</v>
      </c>
      <c r="H194">
        <v>5.5</v>
      </c>
      <c r="I194">
        <v>10</v>
      </c>
    </row>
    <row r="195" spans="4:9" x14ac:dyDescent="0.35">
      <c r="D195" t="str">
        <f t="shared" si="2"/>
        <v>Leicester CityLiverpool</v>
      </c>
      <c r="E195" t="s">
        <v>25</v>
      </c>
      <c r="F195" t="s">
        <v>41</v>
      </c>
      <c r="G195">
        <v>3.5</v>
      </c>
      <c r="H195">
        <v>3.95</v>
      </c>
      <c r="I195">
        <v>2.16</v>
      </c>
    </row>
    <row r="196" spans="4:9" x14ac:dyDescent="0.35">
      <c r="D196" t="str">
        <f t="shared" si="2"/>
        <v>WolverhamptonManchester City</v>
      </c>
      <c r="E196" t="s">
        <v>49</v>
      </c>
      <c r="F196" t="s">
        <v>36</v>
      </c>
      <c r="G196">
        <v>8.59</v>
      </c>
      <c r="H196">
        <v>5.2</v>
      </c>
      <c r="I196">
        <v>1.44</v>
      </c>
    </row>
    <row r="197" spans="4:9" x14ac:dyDescent="0.35">
      <c r="D197" t="str">
        <f t="shared" si="2"/>
        <v>Brighton and Hove AlbionAFC Bournemouth</v>
      </c>
      <c r="E197" t="s">
        <v>45</v>
      </c>
      <c r="F197" t="s">
        <v>38</v>
      </c>
      <c r="G197">
        <v>1.86</v>
      </c>
      <c r="H197">
        <v>4</v>
      </c>
      <c r="I197">
        <v>4.75</v>
      </c>
    </row>
    <row r="198" spans="4:9" x14ac:dyDescent="0.35">
      <c r="D198" t="str">
        <f t="shared" si="2"/>
        <v>NewcastleEverton</v>
      </c>
      <c r="E198" t="s">
        <v>46</v>
      </c>
      <c r="F198" t="s">
        <v>28</v>
      </c>
      <c r="G198">
        <v>3.7</v>
      </c>
      <c r="H198">
        <v>3.5</v>
      </c>
      <c r="I198">
        <v>2.2000000000000002</v>
      </c>
    </row>
    <row r="199" spans="4:9" x14ac:dyDescent="0.35">
      <c r="D199" t="str">
        <f t="shared" si="2"/>
        <v>SouthamptonCrystal Palace</v>
      </c>
      <c r="E199" t="s">
        <v>34</v>
      </c>
      <c r="F199" t="s">
        <v>30</v>
      </c>
      <c r="G199">
        <v>2.0499999999999998</v>
      </c>
      <c r="H199">
        <v>3.68</v>
      </c>
      <c r="I199">
        <v>4.0999999999999996</v>
      </c>
    </row>
    <row r="200" spans="4:9" x14ac:dyDescent="0.35">
      <c r="D200" t="str">
        <f t="shared" si="2"/>
        <v>WatfordAston Villa</v>
      </c>
      <c r="E200" t="s">
        <v>35</v>
      </c>
      <c r="F200" t="s">
        <v>52</v>
      </c>
      <c r="G200">
        <v>2.04</v>
      </c>
      <c r="H200">
        <v>3.95</v>
      </c>
      <c r="I200">
        <v>3.85</v>
      </c>
    </row>
    <row r="201" spans="4:9" x14ac:dyDescent="0.35">
      <c r="D201" t="str">
        <f t="shared" ref="D201:D264" si="3">E201&amp;F201</f>
        <v>Norwich CityTottenham Hotspur</v>
      </c>
      <c r="E201" t="s">
        <v>50</v>
      </c>
      <c r="F201" t="s">
        <v>29</v>
      </c>
      <c r="G201">
        <v>5.35</v>
      </c>
      <c r="H201">
        <v>4.2</v>
      </c>
      <c r="I201">
        <v>1.74</v>
      </c>
    </row>
    <row r="202" spans="4:9" x14ac:dyDescent="0.35">
      <c r="D202" t="str">
        <f t="shared" si="3"/>
        <v>West Ham UnitedLeicester City</v>
      </c>
      <c r="E202" t="s">
        <v>43</v>
      </c>
      <c r="F202" t="s">
        <v>25</v>
      </c>
      <c r="G202">
        <v>4.25</v>
      </c>
      <c r="H202">
        <v>4</v>
      </c>
      <c r="I202">
        <v>1.93</v>
      </c>
    </row>
    <row r="203" spans="4:9" x14ac:dyDescent="0.35">
      <c r="D203" t="str">
        <f t="shared" si="3"/>
        <v>BurnleyManchester United</v>
      </c>
      <c r="E203" t="s">
        <v>32</v>
      </c>
      <c r="F203" t="s">
        <v>39</v>
      </c>
      <c r="G203">
        <v>4.5999999999999996</v>
      </c>
      <c r="H203">
        <v>3.85</v>
      </c>
      <c r="I203">
        <v>1.91</v>
      </c>
    </row>
    <row r="204" spans="4:9" x14ac:dyDescent="0.35">
      <c r="D204" t="str">
        <f t="shared" si="3"/>
        <v>ArsenalChelsea</v>
      </c>
      <c r="E204" t="s">
        <v>40</v>
      </c>
      <c r="F204" t="s">
        <v>42</v>
      </c>
      <c r="G204">
        <v>3</v>
      </c>
      <c r="H204">
        <v>3.86</v>
      </c>
      <c r="I204">
        <v>2.4500000000000002</v>
      </c>
    </row>
    <row r="205" spans="4:9" x14ac:dyDescent="0.35">
      <c r="D205" t="str">
        <f t="shared" si="3"/>
        <v>LiverpoolWolverhampton</v>
      </c>
      <c r="E205" t="s">
        <v>41</v>
      </c>
      <c r="F205" t="s">
        <v>49</v>
      </c>
      <c r="G205">
        <v>1.32</v>
      </c>
      <c r="H205">
        <v>6.2</v>
      </c>
      <c r="I205">
        <v>12.75</v>
      </c>
    </row>
    <row r="206" spans="4:9" x14ac:dyDescent="0.35">
      <c r="D206" t="str">
        <f t="shared" si="3"/>
        <v>Manchester CitySheffield United</v>
      </c>
      <c r="E206" t="s">
        <v>36</v>
      </c>
      <c r="F206" t="s">
        <v>51</v>
      </c>
      <c r="G206">
        <v>1.21</v>
      </c>
      <c r="H206">
        <v>8.4</v>
      </c>
      <c r="I206">
        <v>17.5</v>
      </c>
    </row>
    <row r="207" spans="4:9" x14ac:dyDescent="0.35">
      <c r="D207" t="str">
        <f t="shared" si="3"/>
        <v>Brighton and Hove AlbionChelsea</v>
      </c>
      <c r="E207" t="s">
        <v>45</v>
      </c>
      <c r="F207" t="s">
        <v>42</v>
      </c>
      <c r="G207">
        <v>3.88</v>
      </c>
      <c r="H207">
        <v>3.75</v>
      </c>
      <c r="I207">
        <v>2.1</v>
      </c>
    </row>
    <row r="208" spans="4:9" x14ac:dyDescent="0.35">
      <c r="D208" t="str">
        <f t="shared" si="3"/>
        <v>BurnleyAston Villa</v>
      </c>
      <c r="E208" t="s">
        <v>32</v>
      </c>
      <c r="F208" t="s">
        <v>52</v>
      </c>
      <c r="G208">
        <v>1.85</v>
      </c>
      <c r="H208">
        <v>4</v>
      </c>
      <c r="I208">
        <v>4.5999999999999996</v>
      </c>
    </row>
    <row r="209" spans="4:9" x14ac:dyDescent="0.35">
      <c r="D209" t="str">
        <f t="shared" si="3"/>
        <v>NewcastleLeicester City</v>
      </c>
      <c r="E209" t="s">
        <v>46</v>
      </c>
      <c r="F209" t="s">
        <v>25</v>
      </c>
      <c r="G209">
        <v>5.85</v>
      </c>
      <c r="H209">
        <v>4.05</v>
      </c>
      <c r="I209">
        <v>1.71</v>
      </c>
    </row>
    <row r="210" spans="4:9" x14ac:dyDescent="0.35">
      <c r="D210" t="str">
        <f t="shared" si="3"/>
        <v>SouthamptonTottenham Hotspur</v>
      </c>
      <c r="E210" t="s">
        <v>34</v>
      </c>
      <c r="F210" t="s">
        <v>29</v>
      </c>
      <c r="G210">
        <v>3.51</v>
      </c>
      <c r="H210">
        <v>3.88</v>
      </c>
      <c r="I210">
        <v>2.25</v>
      </c>
    </row>
    <row r="211" spans="4:9" x14ac:dyDescent="0.35">
      <c r="D211" t="str">
        <f t="shared" si="3"/>
        <v>WatfordWolverhampton</v>
      </c>
      <c r="E211" t="s">
        <v>35</v>
      </c>
      <c r="F211" t="s">
        <v>49</v>
      </c>
      <c r="G211">
        <v>3.3</v>
      </c>
      <c r="H211">
        <v>3.47</v>
      </c>
      <c r="I211">
        <v>2.42</v>
      </c>
    </row>
    <row r="212" spans="4:9" x14ac:dyDescent="0.35">
      <c r="D212" t="str">
        <f t="shared" si="3"/>
        <v>Manchester CityEverton</v>
      </c>
      <c r="E212" t="s">
        <v>36</v>
      </c>
      <c r="F212" t="s">
        <v>28</v>
      </c>
      <c r="G212">
        <v>1.3</v>
      </c>
      <c r="H212">
        <v>6.63</v>
      </c>
      <c r="I212">
        <v>12</v>
      </c>
    </row>
    <row r="213" spans="4:9" x14ac:dyDescent="0.35">
      <c r="D213" t="str">
        <f t="shared" si="3"/>
        <v>Norwich CityCrystal Palace</v>
      </c>
      <c r="E213" t="s">
        <v>50</v>
      </c>
      <c r="F213" t="s">
        <v>30</v>
      </c>
      <c r="G213">
        <v>2.6</v>
      </c>
      <c r="H213">
        <v>3.57</v>
      </c>
      <c r="I213">
        <v>2.88</v>
      </c>
    </row>
    <row r="214" spans="4:9" x14ac:dyDescent="0.35">
      <c r="D214" t="str">
        <f t="shared" si="3"/>
        <v>West Ham UnitedAFC Bournemouth</v>
      </c>
      <c r="E214" t="s">
        <v>43</v>
      </c>
      <c r="F214" t="s">
        <v>38</v>
      </c>
      <c r="G214">
        <v>2.02</v>
      </c>
      <c r="H214">
        <v>4</v>
      </c>
      <c r="I214">
        <v>3.9</v>
      </c>
    </row>
    <row r="215" spans="4:9" x14ac:dyDescent="0.35">
      <c r="D215" t="str">
        <f t="shared" si="3"/>
        <v>ArsenalManchester United</v>
      </c>
      <c r="E215" t="s">
        <v>40</v>
      </c>
      <c r="F215" t="s">
        <v>39</v>
      </c>
      <c r="G215">
        <v>2.65</v>
      </c>
      <c r="H215">
        <v>3.8</v>
      </c>
      <c r="I215">
        <v>2.7</v>
      </c>
    </row>
    <row r="216" spans="4:9" x14ac:dyDescent="0.35">
      <c r="D216" t="str">
        <f t="shared" si="3"/>
        <v>LiverpoolSheffield United</v>
      </c>
      <c r="E216" t="s">
        <v>41</v>
      </c>
      <c r="F216" t="s">
        <v>51</v>
      </c>
      <c r="G216">
        <v>1.25</v>
      </c>
      <c r="H216">
        <v>6.7</v>
      </c>
      <c r="I216">
        <v>15.75</v>
      </c>
    </row>
    <row r="217" spans="4:9" x14ac:dyDescent="0.35">
      <c r="D217" t="str">
        <f t="shared" si="3"/>
        <v>Sheffield UnitedWest Ham United</v>
      </c>
      <c r="E217" t="s">
        <v>51</v>
      </c>
      <c r="F217" t="s">
        <v>43</v>
      </c>
      <c r="G217">
        <v>2.09</v>
      </c>
      <c r="H217">
        <v>3.55</v>
      </c>
      <c r="I217">
        <v>4.2</v>
      </c>
    </row>
    <row r="218" spans="4:9" x14ac:dyDescent="0.35">
      <c r="D218" t="str">
        <f t="shared" si="3"/>
        <v>Crystal PalaceArsenal</v>
      </c>
      <c r="E218" t="s">
        <v>30</v>
      </c>
      <c r="F218" t="s">
        <v>40</v>
      </c>
      <c r="G218">
        <v>4.45</v>
      </c>
      <c r="H218">
        <v>4.0999999999999996</v>
      </c>
      <c r="I218">
        <v>1.9</v>
      </c>
    </row>
    <row r="219" spans="4:9" x14ac:dyDescent="0.35">
      <c r="D219" t="str">
        <f t="shared" si="3"/>
        <v>ChelseaBurnley</v>
      </c>
      <c r="E219" t="s">
        <v>42</v>
      </c>
      <c r="F219" t="s">
        <v>32</v>
      </c>
      <c r="G219">
        <v>1.33</v>
      </c>
      <c r="H219">
        <v>6</v>
      </c>
      <c r="I219">
        <v>13</v>
      </c>
    </row>
    <row r="220" spans="4:9" x14ac:dyDescent="0.35">
      <c r="D220" t="str">
        <f t="shared" si="3"/>
        <v>EvertonBrighton and Hove Albion</v>
      </c>
      <c r="E220" t="s">
        <v>28</v>
      </c>
      <c r="F220" t="s">
        <v>45</v>
      </c>
      <c r="G220">
        <v>1.97</v>
      </c>
      <c r="H220">
        <v>3.83</v>
      </c>
      <c r="I220">
        <v>4.49</v>
      </c>
    </row>
    <row r="221" spans="4:9" x14ac:dyDescent="0.35">
      <c r="D221" t="str">
        <f t="shared" si="3"/>
        <v>Leicester CitySouthampton</v>
      </c>
      <c r="E221" t="s">
        <v>25</v>
      </c>
      <c r="F221" t="s">
        <v>34</v>
      </c>
      <c r="G221">
        <v>1.69</v>
      </c>
      <c r="H221">
        <v>4.17</v>
      </c>
      <c r="I221">
        <v>6</v>
      </c>
    </row>
    <row r="222" spans="4:9" x14ac:dyDescent="0.35">
      <c r="D222" t="str">
        <f t="shared" si="3"/>
        <v>Manchester UnitedNorwich City</v>
      </c>
      <c r="E222" t="s">
        <v>39</v>
      </c>
      <c r="F222" t="s">
        <v>50</v>
      </c>
      <c r="G222">
        <v>1.4</v>
      </c>
      <c r="H222">
        <v>5.5</v>
      </c>
      <c r="I222">
        <v>10</v>
      </c>
    </row>
    <row r="223" spans="4:9" x14ac:dyDescent="0.35">
      <c r="D223" t="str">
        <f t="shared" si="3"/>
        <v>WolverhamptonNewcastle</v>
      </c>
      <c r="E223" t="s">
        <v>49</v>
      </c>
      <c r="F223" t="s">
        <v>46</v>
      </c>
      <c r="G223">
        <v>1.5</v>
      </c>
      <c r="H223">
        <v>4.55</v>
      </c>
      <c r="I223">
        <v>9</v>
      </c>
    </row>
    <row r="224" spans="4:9" x14ac:dyDescent="0.35">
      <c r="D224" t="str">
        <f t="shared" si="3"/>
        <v>Tottenham HotspurLiverpool</v>
      </c>
      <c r="E224" t="s">
        <v>29</v>
      </c>
      <c r="F224" t="s">
        <v>41</v>
      </c>
      <c r="G224">
        <v>5</v>
      </c>
      <c r="H224">
        <v>4.4000000000000004</v>
      </c>
      <c r="I224">
        <v>1.74</v>
      </c>
    </row>
    <row r="225" spans="4:9" x14ac:dyDescent="0.35">
      <c r="D225" t="str">
        <f t="shared" si="3"/>
        <v>AFC BournemouthWatford</v>
      </c>
      <c r="E225" t="s">
        <v>38</v>
      </c>
      <c r="F225" t="s">
        <v>35</v>
      </c>
      <c r="G225">
        <v>2.72</v>
      </c>
      <c r="H225">
        <v>3.46</v>
      </c>
      <c r="I225">
        <v>2.85</v>
      </c>
    </row>
    <row r="226" spans="4:9" x14ac:dyDescent="0.35">
      <c r="D226" t="str">
        <f t="shared" si="3"/>
        <v>Aston VillaManchester City</v>
      </c>
      <c r="E226" t="s">
        <v>52</v>
      </c>
      <c r="F226" t="s">
        <v>36</v>
      </c>
      <c r="G226">
        <v>18</v>
      </c>
      <c r="H226">
        <v>9.15</v>
      </c>
      <c r="I226">
        <v>1.2</v>
      </c>
    </row>
    <row r="227" spans="4:9" x14ac:dyDescent="0.35">
      <c r="D227" t="str">
        <f t="shared" si="3"/>
        <v>WatfordTottenham Hotspur</v>
      </c>
      <c r="E227" t="s">
        <v>35</v>
      </c>
      <c r="F227" t="s">
        <v>29</v>
      </c>
      <c r="G227">
        <v>3.3</v>
      </c>
      <c r="H227">
        <v>3.6</v>
      </c>
      <c r="I227">
        <v>2.35</v>
      </c>
    </row>
    <row r="228" spans="4:9" x14ac:dyDescent="0.35">
      <c r="D228" t="str">
        <f t="shared" si="3"/>
        <v>ArsenalSheffield United</v>
      </c>
      <c r="E228" t="s">
        <v>40</v>
      </c>
      <c r="F228" t="s">
        <v>51</v>
      </c>
      <c r="G228">
        <v>1.9</v>
      </c>
      <c r="H228">
        <v>3.72</v>
      </c>
      <c r="I228">
        <v>4.7</v>
      </c>
    </row>
    <row r="229" spans="4:9" x14ac:dyDescent="0.35">
      <c r="D229" t="str">
        <f t="shared" si="3"/>
        <v>Brighton and Hove AlbionAston Villa</v>
      </c>
      <c r="E229" t="s">
        <v>45</v>
      </c>
      <c r="F229" t="s">
        <v>52</v>
      </c>
      <c r="G229">
        <v>1.72</v>
      </c>
      <c r="H229">
        <v>4.55</v>
      </c>
      <c r="I229">
        <v>5.25</v>
      </c>
    </row>
    <row r="230" spans="4:9" x14ac:dyDescent="0.35">
      <c r="D230" t="str">
        <f t="shared" si="3"/>
        <v>Manchester CityCrystal Palace</v>
      </c>
      <c r="E230" t="s">
        <v>36</v>
      </c>
      <c r="F230" t="s">
        <v>30</v>
      </c>
      <c r="G230">
        <v>1.1299999999999999</v>
      </c>
      <c r="H230">
        <v>12</v>
      </c>
      <c r="I230">
        <v>30</v>
      </c>
    </row>
    <row r="231" spans="4:9" x14ac:dyDescent="0.35">
      <c r="D231" t="str">
        <f t="shared" si="3"/>
        <v>Norwich CityAFC Bournemouth</v>
      </c>
      <c r="E231" t="s">
        <v>50</v>
      </c>
      <c r="F231" t="s">
        <v>38</v>
      </c>
      <c r="G231">
        <v>2.2999999999999998</v>
      </c>
      <c r="H231">
        <v>3.7</v>
      </c>
      <c r="I231">
        <v>3.3</v>
      </c>
    </row>
    <row r="232" spans="4:9" x14ac:dyDescent="0.35">
      <c r="D232" t="str">
        <f t="shared" si="3"/>
        <v>SouthamptonWolverhampton</v>
      </c>
      <c r="E232" t="s">
        <v>34</v>
      </c>
      <c r="F232" t="s">
        <v>49</v>
      </c>
      <c r="G232">
        <v>2.46</v>
      </c>
      <c r="H232">
        <v>3.5</v>
      </c>
      <c r="I232">
        <v>3.2</v>
      </c>
    </row>
    <row r="233" spans="4:9" x14ac:dyDescent="0.35">
      <c r="D233" t="str">
        <f t="shared" si="3"/>
        <v>West Ham UnitedEverton</v>
      </c>
      <c r="E233" t="s">
        <v>43</v>
      </c>
      <c r="F233" t="s">
        <v>28</v>
      </c>
      <c r="G233">
        <v>3.05</v>
      </c>
      <c r="H233">
        <v>3.6</v>
      </c>
      <c r="I233">
        <v>2.5</v>
      </c>
    </row>
    <row r="234" spans="4:9" x14ac:dyDescent="0.35">
      <c r="D234" t="str">
        <f t="shared" si="3"/>
        <v>NewcastleChelsea</v>
      </c>
      <c r="E234" t="s">
        <v>46</v>
      </c>
      <c r="F234" t="s">
        <v>42</v>
      </c>
      <c r="G234">
        <v>6.4</v>
      </c>
      <c r="H234">
        <v>4.72</v>
      </c>
      <c r="I234">
        <v>1.57</v>
      </c>
    </row>
    <row r="235" spans="4:9" x14ac:dyDescent="0.35">
      <c r="D235" t="str">
        <f t="shared" si="3"/>
        <v>BurnleyLeicester City</v>
      </c>
      <c r="E235" t="s">
        <v>32</v>
      </c>
      <c r="F235" t="s">
        <v>25</v>
      </c>
      <c r="G235">
        <v>4.3499999999999996</v>
      </c>
      <c r="H235">
        <v>3.9</v>
      </c>
      <c r="I235">
        <v>1.93</v>
      </c>
    </row>
    <row r="236" spans="4:9" x14ac:dyDescent="0.35">
      <c r="D236" t="str">
        <f t="shared" si="3"/>
        <v>LiverpoolManchester United</v>
      </c>
      <c r="E236" t="s">
        <v>41</v>
      </c>
      <c r="F236" t="s">
        <v>39</v>
      </c>
      <c r="G236">
        <v>1.4</v>
      </c>
      <c r="H236">
        <v>5.4</v>
      </c>
      <c r="I236">
        <v>9.5</v>
      </c>
    </row>
    <row r="237" spans="4:9" x14ac:dyDescent="0.35">
      <c r="D237" t="str">
        <f t="shared" si="3"/>
        <v>Aston VillaWatford</v>
      </c>
      <c r="E237" t="s">
        <v>52</v>
      </c>
      <c r="F237" t="s">
        <v>35</v>
      </c>
      <c r="G237">
        <v>3</v>
      </c>
      <c r="H237">
        <v>3.65</v>
      </c>
      <c r="I237">
        <v>2.58</v>
      </c>
    </row>
    <row r="238" spans="4:9" x14ac:dyDescent="0.35">
      <c r="D238" t="str">
        <f t="shared" si="3"/>
        <v>AFC BournemouthBrighton and Hove Albion</v>
      </c>
      <c r="E238" t="s">
        <v>38</v>
      </c>
      <c r="F238" t="s">
        <v>45</v>
      </c>
      <c r="G238">
        <v>3.1</v>
      </c>
      <c r="H238">
        <v>3.45</v>
      </c>
      <c r="I238">
        <v>2.6</v>
      </c>
    </row>
    <row r="239" spans="4:9" x14ac:dyDescent="0.35">
      <c r="D239" t="str">
        <f t="shared" si="3"/>
        <v>Crystal PalaceSouthampton</v>
      </c>
      <c r="E239" t="s">
        <v>30</v>
      </c>
      <c r="F239" t="s">
        <v>34</v>
      </c>
      <c r="G239">
        <v>2.85</v>
      </c>
      <c r="H239">
        <v>3.35</v>
      </c>
      <c r="I239">
        <v>2.84</v>
      </c>
    </row>
    <row r="240" spans="4:9" x14ac:dyDescent="0.35">
      <c r="D240" t="str">
        <f t="shared" si="3"/>
        <v>EvertonNewcastle</v>
      </c>
      <c r="E240" t="s">
        <v>28</v>
      </c>
      <c r="F240" t="s">
        <v>46</v>
      </c>
      <c r="G240">
        <v>1.64</v>
      </c>
      <c r="H240">
        <v>4.3</v>
      </c>
      <c r="I240">
        <v>6.75</v>
      </c>
    </row>
    <row r="241" spans="4:9" x14ac:dyDescent="0.35">
      <c r="D241" t="str">
        <f t="shared" si="3"/>
        <v>Sheffield UnitedManchester City</v>
      </c>
      <c r="E241" t="s">
        <v>51</v>
      </c>
      <c r="F241" t="s">
        <v>36</v>
      </c>
      <c r="G241">
        <v>8.5</v>
      </c>
      <c r="H241">
        <v>5.13</v>
      </c>
      <c r="I241">
        <v>1.47</v>
      </c>
    </row>
    <row r="242" spans="4:9" x14ac:dyDescent="0.35">
      <c r="D242" t="str">
        <f t="shared" si="3"/>
        <v>ChelseaArsenal</v>
      </c>
      <c r="E242" t="s">
        <v>42</v>
      </c>
      <c r="F242" t="s">
        <v>40</v>
      </c>
      <c r="G242">
        <v>1.79</v>
      </c>
      <c r="H242">
        <v>4.0999999999999996</v>
      </c>
      <c r="I242">
        <v>5.2</v>
      </c>
    </row>
    <row r="243" spans="4:9" x14ac:dyDescent="0.35">
      <c r="D243" t="str">
        <f t="shared" si="3"/>
        <v>Leicester CityWest Ham United</v>
      </c>
      <c r="E243" t="s">
        <v>25</v>
      </c>
      <c r="F243" t="s">
        <v>43</v>
      </c>
      <c r="G243">
        <v>1.62</v>
      </c>
      <c r="H243">
        <v>4.75</v>
      </c>
      <c r="I243">
        <v>6.25</v>
      </c>
    </row>
    <row r="244" spans="4:9" x14ac:dyDescent="0.35">
      <c r="D244" t="str">
        <f t="shared" si="3"/>
        <v>Tottenham HotspurNorwich City</v>
      </c>
      <c r="E244" t="s">
        <v>29</v>
      </c>
      <c r="F244" t="s">
        <v>50</v>
      </c>
      <c r="G244">
        <v>1.45</v>
      </c>
      <c r="H244">
        <v>5.15</v>
      </c>
      <c r="I244">
        <v>8.25</v>
      </c>
    </row>
    <row r="245" spans="4:9" x14ac:dyDescent="0.35">
      <c r="D245" t="str">
        <f t="shared" si="3"/>
        <v>Manchester UnitedBurnley</v>
      </c>
      <c r="E245" t="s">
        <v>39</v>
      </c>
      <c r="F245" t="s">
        <v>32</v>
      </c>
      <c r="G245">
        <v>1.45</v>
      </c>
      <c r="H245">
        <v>4.9000000000000004</v>
      </c>
      <c r="I245">
        <v>9.5</v>
      </c>
    </row>
    <row r="246" spans="4:9" x14ac:dyDescent="0.35">
      <c r="D246" t="str">
        <f t="shared" si="3"/>
        <v>WolverhamptonLiverpool</v>
      </c>
      <c r="E246" t="s">
        <v>49</v>
      </c>
      <c r="F246" t="s">
        <v>41</v>
      </c>
      <c r="G246">
        <v>6</v>
      </c>
      <c r="H246">
        <v>4.05</v>
      </c>
      <c r="I246">
        <v>1.69</v>
      </c>
    </row>
    <row r="247" spans="4:9" x14ac:dyDescent="0.35">
      <c r="D247" t="str">
        <f t="shared" si="3"/>
        <v>West Ham UnitedLiverpool</v>
      </c>
      <c r="E247" t="s">
        <v>43</v>
      </c>
      <c r="F247" t="s">
        <v>41</v>
      </c>
      <c r="G247">
        <v>10</v>
      </c>
      <c r="H247">
        <v>5.9</v>
      </c>
      <c r="I247">
        <v>1.36</v>
      </c>
    </row>
    <row r="248" spans="4:9" x14ac:dyDescent="0.35">
      <c r="D248" t="str">
        <f t="shared" si="3"/>
        <v>Leicester CityChelsea</v>
      </c>
      <c r="E248" t="s">
        <v>25</v>
      </c>
      <c r="F248" t="s">
        <v>42</v>
      </c>
      <c r="G248">
        <v>2.6</v>
      </c>
      <c r="H248">
        <v>3.75</v>
      </c>
      <c r="I248">
        <v>2.82</v>
      </c>
    </row>
    <row r="249" spans="4:9" x14ac:dyDescent="0.35">
      <c r="D249" t="str">
        <f t="shared" si="3"/>
        <v>AFC BournemouthAston Villa</v>
      </c>
      <c r="E249" t="s">
        <v>38</v>
      </c>
      <c r="F249" t="s">
        <v>52</v>
      </c>
      <c r="G249">
        <v>2.2200000000000002</v>
      </c>
      <c r="H249">
        <v>3.7</v>
      </c>
      <c r="I249">
        <v>3.55</v>
      </c>
    </row>
    <row r="250" spans="4:9" x14ac:dyDescent="0.35">
      <c r="D250" t="str">
        <f t="shared" si="3"/>
        <v>Crystal PalaceSheffield United</v>
      </c>
      <c r="E250" t="s">
        <v>30</v>
      </c>
      <c r="F250" t="s">
        <v>51</v>
      </c>
      <c r="G250">
        <v>3.2</v>
      </c>
      <c r="H250">
        <v>3.18</v>
      </c>
      <c r="I250">
        <v>2.65</v>
      </c>
    </row>
    <row r="251" spans="4:9" x14ac:dyDescent="0.35">
      <c r="D251" t="str">
        <f t="shared" si="3"/>
        <v>LiverpoolSouthampton</v>
      </c>
      <c r="E251" t="s">
        <v>41</v>
      </c>
      <c r="F251" t="s">
        <v>34</v>
      </c>
      <c r="G251">
        <v>1.31</v>
      </c>
      <c r="H251">
        <v>6.2</v>
      </c>
      <c r="I251">
        <v>12.37</v>
      </c>
    </row>
    <row r="252" spans="4:9" x14ac:dyDescent="0.35">
      <c r="D252" t="str">
        <f t="shared" si="3"/>
        <v>NewcastleNorwich City</v>
      </c>
      <c r="E252" t="s">
        <v>46</v>
      </c>
      <c r="F252" t="s">
        <v>50</v>
      </c>
      <c r="G252">
        <v>2.3199999999999998</v>
      </c>
      <c r="H252">
        <v>3.5</v>
      </c>
      <c r="I252">
        <v>3.45</v>
      </c>
    </row>
    <row r="253" spans="4:9" x14ac:dyDescent="0.35">
      <c r="D253" t="str">
        <f t="shared" si="3"/>
        <v>WatfordEverton</v>
      </c>
      <c r="E253" t="s">
        <v>35</v>
      </c>
      <c r="F253" t="s">
        <v>28</v>
      </c>
      <c r="G253">
        <v>2.85</v>
      </c>
      <c r="H253">
        <v>3.42</v>
      </c>
      <c r="I253">
        <v>2.75</v>
      </c>
    </row>
    <row r="254" spans="4:9" x14ac:dyDescent="0.35">
      <c r="D254" t="str">
        <f t="shared" si="3"/>
        <v>West Ham UnitedBrighton and Hove Albion</v>
      </c>
      <c r="E254" t="s">
        <v>43</v>
      </c>
      <c r="F254" t="s">
        <v>45</v>
      </c>
      <c r="G254">
        <v>2.68</v>
      </c>
      <c r="H254">
        <v>3.45</v>
      </c>
      <c r="I254">
        <v>2.9</v>
      </c>
    </row>
    <row r="255" spans="4:9" x14ac:dyDescent="0.35">
      <c r="D255" t="str">
        <f t="shared" si="3"/>
        <v>Manchester UnitedWolverhampton</v>
      </c>
      <c r="E255" t="s">
        <v>39</v>
      </c>
      <c r="F255" t="s">
        <v>49</v>
      </c>
      <c r="G255">
        <v>2.33</v>
      </c>
      <c r="H255">
        <v>3.35</v>
      </c>
      <c r="I255">
        <v>3.7</v>
      </c>
    </row>
    <row r="256" spans="4:9" x14ac:dyDescent="0.35">
      <c r="D256" t="str">
        <f t="shared" si="3"/>
        <v>BurnleyArsenal</v>
      </c>
      <c r="E256" t="s">
        <v>32</v>
      </c>
      <c r="F256" t="s">
        <v>40</v>
      </c>
      <c r="G256">
        <v>3.95</v>
      </c>
      <c r="H256">
        <v>3.65</v>
      </c>
      <c r="I256">
        <v>2.1</v>
      </c>
    </row>
    <row r="257" spans="4:9" x14ac:dyDescent="0.35">
      <c r="D257" t="str">
        <f t="shared" si="3"/>
        <v>Tottenham HotspurManchester City</v>
      </c>
      <c r="E257" t="s">
        <v>29</v>
      </c>
      <c r="F257" t="s">
        <v>36</v>
      </c>
      <c r="G257">
        <v>6</v>
      </c>
      <c r="H257">
        <v>4.75</v>
      </c>
      <c r="I257">
        <v>1.62</v>
      </c>
    </row>
    <row r="258" spans="4:9" x14ac:dyDescent="0.35">
      <c r="D258" t="str">
        <f t="shared" si="3"/>
        <v>EvertonCrystal Palace</v>
      </c>
      <c r="E258" t="s">
        <v>28</v>
      </c>
      <c r="F258" t="s">
        <v>30</v>
      </c>
      <c r="G258">
        <v>1.68</v>
      </c>
      <c r="H258">
        <v>3.93</v>
      </c>
      <c r="I258">
        <v>6.75</v>
      </c>
    </row>
    <row r="259" spans="4:9" x14ac:dyDescent="0.35">
      <c r="D259" t="str">
        <f t="shared" si="3"/>
        <v>Brighton and Hove AlbionWatford</v>
      </c>
      <c r="E259" t="s">
        <v>45</v>
      </c>
      <c r="F259" t="s">
        <v>35</v>
      </c>
      <c r="G259">
        <v>2.23</v>
      </c>
      <c r="H259">
        <v>3.5</v>
      </c>
      <c r="I259">
        <v>3.75</v>
      </c>
    </row>
    <row r="260" spans="4:9" x14ac:dyDescent="0.35">
      <c r="D260" t="str">
        <f t="shared" si="3"/>
        <v>Sheffield UnitedAFC Bournemouth</v>
      </c>
      <c r="E260" t="s">
        <v>51</v>
      </c>
      <c r="F260" t="s">
        <v>38</v>
      </c>
      <c r="G260">
        <v>1.79</v>
      </c>
      <c r="H260">
        <v>3.65</v>
      </c>
      <c r="I260">
        <v>5.9</v>
      </c>
    </row>
    <row r="261" spans="4:9" x14ac:dyDescent="0.35">
      <c r="D261" t="str">
        <f t="shared" si="3"/>
        <v>WolverhamptonLeicester City</v>
      </c>
      <c r="E261" t="s">
        <v>49</v>
      </c>
      <c r="F261" t="s">
        <v>25</v>
      </c>
      <c r="G261">
        <v>2.65</v>
      </c>
      <c r="H261">
        <v>3.38</v>
      </c>
      <c r="I261">
        <v>3.05</v>
      </c>
    </row>
    <row r="262" spans="4:9" x14ac:dyDescent="0.35">
      <c r="D262" t="str">
        <f t="shared" si="3"/>
        <v>SouthamptonBurnley</v>
      </c>
      <c r="E262" t="s">
        <v>34</v>
      </c>
      <c r="F262" t="s">
        <v>32</v>
      </c>
      <c r="G262">
        <v>1.85</v>
      </c>
      <c r="H262">
        <v>3.85</v>
      </c>
      <c r="I262">
        <v>5.0999999999999996</v>
      </c>
    </row>
    <row r="263" spans="4:9" x14ac:dyDescent="0.35">
      <c r="D263" t="str">
        <f t="shared" si="3"/>
        <v>Norwich CityLiverpool</v>
      </c>
      <c r="E263" t="s">
        <v>50</v>
      </c>
      <c r="F263" t="s">
        <v>41</v>
      </c>
      <c r="G263">
        <v>12</v>
      </c>
      <c r="H263">
        <v>6.4</v>
      </c>
      <c r="I263">
        <v>1.31</v>
      </c>
    </row>
    <row r="264" spans="4:9" x14ac:dyDescent="0.35">
      <c r="D264" t="str">
        <f t="shared" si="3"/>
        <v>Aston VillaTottenham Hotspur</v>
      </c>
      <c r="E264" t="s">
        <v>52</v>
      </c>
      <c r="F264" t="s">
        <v>29</v>
      </c>
      <c r="G264">
        <v>4.25</v>
      </c>
      <c r="H264">
        <v>3.9</v>
      </c>
      <c r="I264">
        <v>1.95</v>
      </c>
    </row>
    <row r="265" spans="4:9" x14ac:dyDescent="0.35">
      <c r="D265" t="str">
        <f t="shared" ref="D265:D328" si="4">E265&amp;F265</f>
        <v>ArsenalNewcastle</v>
      </c>
      <c r="E265" t="s">
        <v>40</v>
      </c>
      <c r="F265" t="s">
        <v>46</v>
      </c>
      <c r="G265">
        <v>1.47</v>
      </c>
      <c r="H265">
        <v>4.9800000000000004</v>
      </c>
      <c r="I265">
        <v>8.75</v>
      </c>
    </row>
    <row r="266" spans="4:9" x14ac:dyDescent="0.35">
      <c r="D266" t="str">
        <f t="shared" si="4"/>
        <v>ChelseaManchester United</v>
      </c>
      <c r="E266" t="s">
        <v>42</v>
      </c>
      <c r="F266" t="s">
        <v>39</v>
      </c>
      <c r="G266">
        <v>1.93</v>
      </c>
      <c r="H266">
        <v>3.8</v>
      </c>
      <c r="I266">
        <v>4.5999999999999996</v>
      </c>
    </row>
    <row r="267" spans="4:9" x14ac:dyDescent="0.35">
      <c r="D267" t="str">
        <f t="shared" si="4"/>
        <v>Manchester CityWest Ham United</v>
      </c>
      <c r="E267" t="s">
        <v>36</v>
      </c>
      <c r="F267" t="s">
        <v>43</v>
      </c>
      <c r="G267">
        <v>1.1499999999999999</v>
      </c>
      <c r="H267">
        <v>10.5</v>
      </c>
      <c r="I267">
        <v>23</v>
      </c>
    </row>
    <row r="268" spans="4:9" x14ac:dyDescent="0.35">
      <c r="D268" t="str">
        <f t="shared" si="4"/>
        <v>ChelseaTottenham Hotspur</v>
      </c>
      <c r="E268" t="s">
        <v>42</v>
      </c>
      <c r="F268" t="s">
        <v>29</v>
      </c>
      <c r="G268">
        <v>1.78</v>
      </c>
      <c r="H268">
        <v>4.05</v>
      </c>
      <c r="I268">
        <v>5.0999999999999996</v>
      </c>
    </row>
    <row r="269" spans="4:9" x14ac:dyDescent="0.35">
      <c r="D269" t="str">
        <f t="shared" si="4"/>
        <v>BurnleyAFC Bournemouth</v>
      </c>
      <c r="E269" t="s">
        <v>32</v>
      </c>
      <c r="F269" t="s">
        <v>38</v>
      </c>
      <c r="G269">
        <v>2.25</v>
      </c>
      <c r="H269">
        <v>3.4</v>
      </c>
      <c r="I269">
        <v>3.8</v>
      </c>
    </row>
    <row r="270" spans="4:9" x14ac:dyDescent="0.35">
      <c r="D270" t="str">
        <f t="shared" si="4"/>
        <v>Crystal PalaceNewcastle</v>
      </c>
      <c r="E270" t="s">
        <v>30</v>
      </c>
      <c r="F270" t="s">
        <v>46</v>
      </c>
      <c r="G270">
        <v>2.0499999999999998</v>
      </c>
      <c r="H270">
        <v>3.5</v>
      </c>
      <c r="I270">
        <v>4.75</v>
      </c>
    </row>
    <row r="271" spans="4:9" x14ac:dyDescent="0.35">
      <c r="D271" t="str">
        <f t="shared" si="4"/>
        <v>Sheffield UnitedBrighton and Hove Albion</v>
      </c>
      <c r="E271" t="s">
        <v>51</v>
      </c>
      <c r="F271" t="s">
        <v>45</v>
      </c>
      <c r="G271">
        <v>2.02</v>
      </c>
      <c r="H271">
        <v>3.43</v>
      </c>
      <c r="I271">
        <v>4.5</v>
      </c>
    </row>
    <row r="272" spans="4:9" x14ac:dyDescent="0.35">
      <c r="D272" t="str">
        <f t="shared" si="4"/>
        <v>SouthamptonAston Villa</v>
      </c>
      <c r="E272" t="s">
        <v>34</v>
      </c>
      <c r="F272" t="s">
        <v>52</v>
      </c>
      <c r="G272">
        <v>1.7</v>
      </c>
      <c r="H272">
        <v>4.4000000000000004</v>
      </c>
      <c r="I272">
        <v>5.5</v>
      </c>
    </row>
    <row r="273" spans="4:9" x14ac:dyDescent="0.35">
      <c r="D273" t="str">
        <f t="shared" si="4"/>
        <v>Leicester CityManchester City</v>
      </c>
      <c r="E273" t="s">
        <v>25</v>
      </c>
      <c r="F273" t="s">
        <v>36</v>
      </c>
      <c r="G273">
        <v>4.75</v>
      </c>
      <c r="H273">
        <v>4.4000000000000004</v>
      </c>
      <c r="I273">
        <v>1.83</v>
      </c>
    </row>
    <row r="274" spans="4:9" x14ac:dyDescent="0.35">
      <c r="D274" t="str">
        <f t="shared" si="4"/>
        <v>Manchester UnitedWatford</v>
      </c>
      <c r="E274" t="s">
        <v>39</v>
      </c>
      <c r="F274" t="s">
        <v>35</v>
      </c>
      <c r="G274">
        <v>1.65</v>
      </c>
      <c r="H274">
        <v>4.2</v>
      </c>
      <c r="I274">
        <v>6.5</v>
      </c>
    </row>
    <row r="275" spans="4:9" x14ac:dyDescent="0.35">
      <c r="D275" t="str">
        <f t="shared" si="4"/>
        <v>WolverhamptonNorwich City</v>
      </c>
      <c r="E275" t="s">
        <v>49</v>
      </c>
      <c r="F275" t="s">
        <v>50</v>
      </c>
      <c r="G275">
        <v>1.57</v>
      </c>
      <c r="H275">
        <v>4.5</v>
      </c>
      <c r="I275">
        <v>7.05</v>
      </c>
    </row>
    <row r="276" spans="4:9" x14ac:dyDescent="0.35">
      <c r="D276" t="str">
        <f t="shared" si="4"/>
        <v>ArsenalEverton</v>
      </c>
      <c r="E276" t="s">
        <v>40</v>
      </c>
      <c r="F276" t="s">
        <v>28</v>
      </c>
      <c r="G276">
        <v>2.12</v>
      </c>
      <c r="H276">
        <v>3.8</v>
      </c>
      <c r="I276">
        <v>3.88</v>
      </c>
    </row>
    <row r="277" spans="4:9" x14ac:dyDescent="0.35">
      <c r="D277" t="str">
        <f t="shared" si="4"/>
        <v>LiverpoolWest Ham United</v>
      </c>
      <c r="E277" t="s">
        <v>41</v>
      </c>
      <c r="F277" t="s">
        <v>43</v>
      </c>
      <c r="G277">
        <v>1.19</v>
      </c>
      <c r="H277">
        <v>8.8000000000000007</v>
      </c>
      <c r="I277">
        <v>19</v>
      </c>
    </row>
    <row r="278" spans="4:9" x14ac:dyDescent="0.35">
      <c r="D278" t="str">
        <f t="shared" si="4"/>
        <v>Norwich CityLeicester City</v>
      </c>
      <c r="E278" t="s">
        <v>50</v>
      </c>
      <c r="F278" t="s">
        <v>25</v>
      </c>
      <c r="G278">
        <v>5.0999999999999996</v>
      </c>
      <c r="H278">
        <v>4.16</v>
      </c>
      <c r="I278">
        <v>1.78</v>
      </c>
    </row>
    <row r="279" spans="4:9" x14ac:dyDescent="0.35">
      <c r="D279" t="str">
        <f t="shared" si="4"/>
        <v>Brighton and Hove AlbionCrystal Palace</v>
      </c>
      <c r="E279" t="s">
        <v>45</v>
      </c>
      <c r="F279" t="s">
        <v>30</v>
      </c>
      <c r="G279">
        <v>2.15</v>
      </c>
      <c r="H279">
        <v>3.34</v>
      </c>
      <c r="I279">
        <v>4.1500000000000004</v>
      </c>
    </row>
    <row r="280" spans="4:9" x14ac:dyDescent="0.35">
      <c r="D280" t="str">
        <f t="shared" si="4"/>
        <v>AFC BournemouthChelsea</v>
      </c>
      <c r="E280" t="s">
        <v>38</v>
      </c>
      <c r="F280" t="s">
        <v>42</v>
      </c>
      <c r="G280">
        <v>5.0999999999999996</v>
      </c>
      <c r="H280">
        <v>4.05</v>
      </c>
      <c r="I280">
        <v>1.83</v>
      </c>
    </row>
    <row r="281" spans="4:9" x14ac:dyDescent="0.35">
      <c r="D281" t="str">
        <f t="shared" si="4"/>
        <v>NewcastleBurnley</v>
      </c>
      <c r="E281" t="s">
        <v>46</v>
      </c>
      <c r="F281" t="s">
        <v>32</v>
      </c>
      <c r="G281">
        <v>2.8</v>
      </c>
      <c r="H281">
        <v>3.24</v>
      </c>
      <c r="I281">
        <v>3</v>
      </c>
    </row>
    <row r="282" spans="4:9" x14ac:dyDescent="0.35">
      <c r="D282" t="str">
        <f t="shared" si="4"/>
        <v>West Ham UnitedSouthampton</v>
      </c>
      <c r="E282" t="s">
        <v>43</v>
      </c>
      <c r="F282" t="s">
        <v>34</v>
      </c>
      <c r="G282">
        <v>2.8</v>
      </c>
      <c r="H282">
        <v>3.65</v>
      </c>
      <c r="I282">
        <v>2.64</v>
      </c>
    </row>
    <row r="283" spans="4:9" x14ac:dyDescent="0.35">
      <c r="D283" t="str">
        <f t="shared" si="4"/>
        <v>WatfordLiverpool</v>
      </c>
      <c r="E283" t="s">
        <v>35</v>
      </c>
      <c r="F283" t="s">
        <v>41</v>
      </c>
      <c r="G283">
        <v>8.75</v>
      </c>
      <c r="H283">
        <v>5.0999999999999996</v>
      </c>
      <c r="I283">
        <v>1.45</v>
      </c>
    </row>
    <row r="284" spans="4:9" x14ac:dyDescent="0.35">
      <c r="D284" t="str">
        <f t="shared" si="4"/>
        <v>EvertonManchester United</v>
      </c>
      <c r="E284" t="s">
        <v>28</v>
      </c>
      <c r="F284" t="s">
        <v>39</v>
      </c>
      <c r="G284">
        <v>2.72</v>
      </c>
      <c r="H284">
        <v>3.45</v>
      </c>
      <c r="I284">
        <v>2.95</v>
      </c>
    </row>
    <row r="285" spans="4:9" x14ac:dyDescent="0.35">
      <c r="D285" t="str">
        <f t="shared" si="4"/>
        <v>Tottenham HotspurWolverhampton</v>
      </c>
      <c r="E285" t="s">
        <v>29</v>
      </c>
      <c r="F285" t="s">
        <v>49</v>
      </c>
      <c r="G285">
        <v>2.5499999999999998</v>
      </c>
      <c r="H285">
        <v>3.3</v>
      </c>
      <c r="I285">
        <v>3.21</v>
      </c>
    </row>
    <row r="286" spans="4:9" x14ac:dyDescent="0.35">
      <c r="D286" t="str">
        <f t="shared" si="4"/>
        <v>LiverpoolAFC Bournemouth</v>
      </c>
      <c r="E286" t="s">
        <v>41</v>
      </c>
      <c r="F286" t="s">
        <v>38</v>
      </c>
      <c r="G286">
        <v>1.29</v>
      </c>
      <c r="H286">
        <v>6.6</v>
      </c>
      <c r="I286">
        <v>13.45</v>
      </c>
    </row>
    <row r="287" spans="4:9" x14ac:dyDescent="0.35">
      <c r="D287" t="str">
        <f t="shared" si="4"/>
        <v>ArsenalWest Ham United</v>
      </c>
      <c r="E287" t="s">
        <v>40</v>
      </c>
      <c r="F287" t="s">
        <v>43</v>
      </c>
      <c r="G287">
        <v>1.62</v>
      </c>
      <c r="H287">
        <v>4.5</v>
      </c>
      <c r="I287">
        <v>6.21</v>
      </c>
    </row>
    <row r="288" spans="4:9" x14ac:dyDescent="0.35">
      <c r="D288" t="str">
        <f t="shared" si="4"/>
        <v>Crystal PalaceWatford</v>
      </c>
      <c r="E288" t="s">
        <v>30</v>
      </c>
      <c r="F288" t="s">
        <v>35</v>
      </c>
      <c r="G288">
        <v>2.65</v>
      </c>
      <c r="H288">
        <v>3.26</v>
      </c>
      <c r="I288">
        <v>3.1</v>
      </c>
    </row>
    <row r="289" spans="4:9" x14ac:dyDescent="0.35">
      <c r="D289" t="str">
        <f t="shared" si="4"/>
        <v>Sheffield UnitedNorwich City</v>
      </c>
      <c r="E289" t="s">
        <v>51</v>
      </c>
      <c r="F289" t="s">
        <v>50</v>
      </c>
      <c r="G289">
        <v>1.7</v>
      </c>
      <c r="H289">
        <v>3.9</v>
      </c>
      <c r="I289">
        <v>6.05</v>
      </c>
    </row>
    <row r="290" spans="4:9" x14ac:dyDescent="0.35">
      <c r="D290" t="str">
        <f t="shared" si="4"/>
        <v>SouthamptonNewcastle</v>
      </c>
      <c r="E290" t="s">
        <v>34</v>
      </c>
      <c r="F290" t="s">
        <v>46</v>
      </c>
      <c r="G290">
        <v>1.74</v>
      </c>
      <c r="H290">
        <v>4.17</v>
      </c>
      <c r="I290">
        <v>5.6</v>
      </c>
    </row>
    <row r="291" spans="4:9" x14ac:dyDescent="0.35">
      <c r="D291" t="str">
        <f t="shared" si="4"/>
        <v>WolverhamptonBrighton and Hove Albion</v>
      </c>
      <c r="E291" t="s">
        <v>49</v>
      </c>
      <c r="F291" t="s">
        <v>45</v>
      </c>
      <c r="G291">
        <v>1.7</v>
      </c>
      <c r="H291">
        <v>4.1500000000000004</v>
      </c>
      <c r="I291">
        <v>6</v>
      </c>
    </row>
    <row r="292" spans="4:9" x14ac:dyDescent="0.35">
      <c r="D292" t="str">
        <f t="shared" si="4"/>
        <v>BurnleyTottenham Hotspur</v>
      </c>
      <c r="E292" t="s">
        <v>32</v>
      </c>
      <c r="F292" t="s">
        <v>29</v>
      </c>
      <c r="G292">
        <v>2.8</v>
      </c>
      <c r="H292">
        <v>3.4</v>
      </c>
      <c r="I292">
        <v>2.82</v>
      </c>
    </row>
    <row r="293" spans="4:9" x14ac:dyDescent="0.35">
      <c r="D293" t="str">
        <f t="shared" si="4"/>
        <v>ChelseaEverton</v>
      </c>
      <c r="E293" t="s">
        <v>42</v>
      </c>
      <c r="F293" t="s">
        <v>28</v>
      </c>
      <c r="G293">
        <v>1.95</v>
      </c>
      <c r="H293">
        <v>4</v>
      </c>
      <c r="I293">
        <v>4.4000000000000004</v>
      </c>
    </row>
    <row r="294" spans="4:9" x14ac:dyDescent="0.35">
      <c r="D294" t="str">
        <f t="shared" si="4"/>
        <v>Manchester UnitedManchester City</v>
      </c>
      <c r="E294" t="s">
        <v>39</v>
      </c>
      <c r="F294" t="s">
        <v>36</v>
      </c>
      <c r="G294">
        <v>5.5</v>
      </c>
      <c r="H294">
        <v>4.5</v>
      </c>
      <c r="I294">
        <v>1.7</v>
      </c>
    </row>
    <row r="295" spans="4:9" x14ac:dyDescent="0.35">
      <c r="D295" t="str">
        <f t="shared" si="4"/>
        <v>Leicester CityAston Villa</v>
      </c>
      <c r="E295" t="s">
        <v>25</v>
      </c>
      <c r="F295" t="s">
        <v>52</v>
      </c>
      <c r="G295">
        <v>1.42</v>
      </c>
      <c r="H295">
        <v>5.4</v>
      </c>
      <c r="I295">
        <v>9</v>
      </c>
    </row>
    <row r="296" spans="4:9" x14ac:dyDescent="0.35">
      <c r="D296" t="str">
        <f t="shared" si="4"/>
        <v>Aston VillaSheffield United</v>
      </c>
      <c r="E296" t="s">
        <v>52</v>
      </c>
      <c r="F296" t="s">
        <v>51</v>
      </c>
      <c r="G296">
        <v>3.48</v>
      </c>
      <c r="H296">
        <v>3.45</v>
      </c>
      <c r="I296">
        <v>2.39</v>
      </c>
    </row>
    <row r="297" spans="4:9" x14ac:dyDescent="0.35">
      <c r="D297" t="str">
        <f t="shared" si="4"/>
        <v>Manchester CityArsenal</v>
      </c>
      <c r="E297" t="s">
        <v>36</v>
      </c>
      <c r="F297" t="s">
        <v>40</v>
      </c>
      <c r="G297">
        <v>1.4</v>
      </c>
      <c r="H297">
        <v>6.05</v>
      </c>
      <c r="I297">
        <v>9</v>
      </c>
    </row>
    <row r="298" spans="4:9" x14ac:dyDescent="0.35">
      <c r="D298" t="str">
        <f t="shared" si="4"/>
        <v>Norwich CitySouthampton</v>
      </c>
      <c r="E298" t="s">
        <v>50</v>
      </c>
      <c r="F298" t="s">
        <v>34</v>
      </c>
      <c r="G298">
        <v>3.2</v>
      </c>
      <c r="H298">
        <v>3.65</v>
      </c>
      <c r="I298">
        <v>2.64</v>
      </c>
    </row>
    <row r="299" spans="4:9" x14ac:dyDescent="0.35">
      <c r="D299" t="str">
        <f t="shared" si="4"/>
        <v>Tottenham HotspurManchester United</v>
      </c>
      <c r="E299" t="s">
        <v>29</v>
      </c>
      <c r="F299" t="s">
        <v>39</v>
      </c>
      <c r="G299">
        <v>3.2</v>
      </c>
      <c r="H299">
        <v>3.55</v>
      </c>
      <c r="I299">
        <v>2.5</v>
      </c>
    </row>
    <row r="300" spans="4:9" x14ac:dyDescent="0.35">
      <c r="D300" t="str">
        <f t="shared" si="4"/>
        <v>WatfordLeicester City</v>
      </c>
      <c r="E300" t="s">
        <v>35</v>
      </c>
      <c r="F300" t="s">
        <v>25</v>
      </c>
      <c r="G300">
        <v>3.75</v>
      </c>
      <c r="H300">
        <v>3.7</v>
      </c>
      <c r="I300">
        <v>2.17</v>
      </c>
    </row>
    <row r="301" spans="4:9" x14ac:dyDescent="0.35">
      <c r="D301" t="str">
        <f t="shared" si="4"/>
        <v>Brighton and Hove AlbionArsenal</v>
      </c>
      <c r="E301" t="s">
        <v>45</v>
      </c>
      <c r="F301" t="s">
        <v>40</v>
      </c>
      <c r="G301">
        <v>3.4</v>
      </c>
      <c r="H301">
        <v>3.52</v>
      </c>
      <c r="I301">
        <v>2.52</v>
      </c>
    </row>
    <row r="302" spans="4:9" x14ac:dyDescent="0.35">
      <c r="D302" t="str">
        <f t="shared" si="4"/>
        <v>West Ham UnitedWolverhampton</v>
      </c>
      <c r="E302" t="s">
        <v>43</v>
      </c>
      <c r="F302" t="s">
        <v>49</v>
      </c>
      <c r="G302">
        <v>3.75</v>
      </c>
      <c r="H302">
        <v>3.52</v>
      </c>
      <c r="I302">
        <v>2.2200000000000002</v>
      </c>
    </row>
    <row r="303" spans="4:9" x14ac:dyDescent="0.35">
      <c r="D303" t="str">
        <f t="shared" si="4"/>
        <v>AFC BournemouthCrystal Palace</v>
      </c>
      <c r="E303" t="s">
        <v>38</v>
      </c>
      <c r="F303" t="s">
        <v>30</v>
      </c>
      <c r="G303">
        <v>2.6</v>
      </c>
      <c r="H303">
        <v>3.38</v>
      </c>
      <c r="I303">
        <v>3.2</v>
      </c>
    </row>
    <row r="304" spans="4:9" x14ac:dyDescent="0.35">
      <c r="D304" t="str">
        <f t="shared" si="4"/>
        <v>NewcastleSheffield United</v>
      </c>
      <c r="E304" t="s">
        <v>46</v>
      </c>
      <c r="F304" t="s">
        <v>51</v>
      </c>
      <c r="G304">
        <v>3.45</v>
      </c>
      <c r="H304">
        <v>3.25</v>
      </c>
      <c r="I304">
        <v>2.5499999999999998</v>
      </c>
    </row>
    <row r="305" spans="4:9" x14ac:dyDescent="0.35">
      <c r="D305" t="str">
        <f t="shared" si="4"/>
        <v>Aston VillaChelsea</v>
      </c>
      <c r="E305" t="s">
        <v>52</v>
      </c>
      <c r="F305" t="s">
        <v>42</v>
      </c>
      <c r="G305">
        <v>6.5</v>
      </c>
      <c r="H305">
        <v>4.9000000000000004</v>
      </c>
      <c r="I305">
        <v>1.57</v>
      </c>
    </row>
    <row r="306" spans="4:9" x14ac:dyDescent="0.35">
      <c r="D306" t="str">
        <f t="shared" si="4"/>
        <v>EvertonLiverpool</v>
      </c>
      <c r="E306" t="s">
        <v>28</v>
      </c>
      <c r="F306" t="s">
        <v>41</v>
      </c>
      <c r="G306">
        <v>6.05</v>
      </c>
      <c r="H306">
        <v>4.4000000000000004</v>
      </c>
      <c r="I306">
        <v>1.64</v>
      </c>
    </row>
    <row r="307" spans="4:9" x14ac:dyDescent="0.35">
      <c r="D307" t="str">
        <f t="shared" si="4"/>
        <v>Manchester CityBurnley</v>
      </c>
      <c r="E307" t="s">
        <v>36</v>
      </c>
      <c r="F307" t="s">
        <v>32</v>
      </c>
      <c r="G307">
        <v>1.1599999999999999</v>
      </c>
      <c r="H307">
        <v>10</v>
      </c>
      <c r="I307">
        <v>26</v>
      </c>
    </row>
    <row r="308" spans="4:9" x14ac:dyDescent="0.35">
      <c r="D308" t="str">
        <f t="shared" si="4"/>
        <v>Leicester CityBrighton and Hove Albion</v>
      </c>
      <c r="E308" t="s">
        <v>25</v>
      </c>
      <c r="F308" t="s">
        <v>45</v>
      </c>
      <c r="G308">
        <v>1.68</v>
      </c>
      <c r="H308">
        <v>4.1500000000000004</v>
      </c>
      <c r="I308">
        <v>6.15</v>
      </c>
    </row>
    <row r="309" spans="4:9" x14ac:dyDescent="0.35">
      <c r="D309" t="str">
        <f t="shared" si="4"/>
        <v>Tottenham HotspurWest Ham United</v>
      </c>
      <c r="E309" t="s">
        <v>29</v>
      </c>
      <c r="F309" t="s">
        <v>43</v>
      </c>
      <c r="G309">
        <v>1.71</v>
      </c>
      <c r="H309">
        <v>4.1500000000000004</v>
      </c>
      <c r="I309">
        <v>5.65</v>
      </c>
    </row>
    <row r="310" spans="4:9" x14ac:dyDescent="0.35">
      <c r="D310" t="str">
        <f t="shared" si="4"/>
        <v>Manchester UnitedSheffield United</v>
      </c>
      <c r="E310" t="s">
        <v>39</v>
      </c>
      <c r="F310" t="s">
        <v>51</v>
      </c>
      <c r="G310">
        <v>1.5</v>
      </c>
      <c r="H310">
        <v>4.5999999999999996</v>
      </c>
      <c r="I310">
        <v>9.6</v>
      </c>
    </row>
    <row r="311" spans="4:9" x14ac:dyDescent="0.35">
      <c r="D311" t="str">
        <f t="shared" si="4"/>
        <v>NewcastleAston Villa</v>
      </c>
      <c r="E311" t="s">
        <v>46</v>
      </c>
      <c r="F311" t="s">
        <v>52</v>
      </c>
      <c r="G311">
        <v>2.42</v>
      </c>
      <c r="H311">
        <v>3.5</v>
      </c>
      <c r="I311">
        <v>3.32</v>
      </c>
    </row>
    <row r="312" spans="4:9" x14ac:dyDescent="0.35">
      <c r="D312" t="str">
        <f t="shared" si="4"/>
        <v>Norwich CityEverton</v>
      </c>
      <c r="E312" t="s">
        <v>50</v>
      </c>
      <c r="F312" t="s">
        <v>28</v>
      </c>
      <c r="G312">
        <v>4.25</v>
      </c>
      <c r="H312">
        <v>3.8</v>
      </c>
      <c r="I312">
        <v>2</v>
      </c>
    </row>
    <row r="313" spans="4:9" x14ac:dyDescent="0.35">
      <c r="D313" t="str">
        <f t="shared" si="4"/>
        <v>WolverhamptonAFC Bournemouth</v>
      </c>
      <c r="E313" t="s">
        <v>49</v>
      </c>
      <c r="F313" t="s">
        <v>38</v>
      </c>
      <c r="G313">
        <v>1.63</v>
      </c>
      <c r="H313">
        <v>4.25</v>
      </c>
      <c r="I313">
        <v>6.65</v>
      </c>
    </row>
    <row r="314" spans="4:9" x14ac:dyDescent="0.35">
      <c r="D314" t="str">
        <f t="shared" si="4"/>
        <v>LiverpoolCrystal Palace</v>
      </c>
      <c r="E314" t="s">
        <v>41</v>
      </c>
      <c r="F314" t="s">
        <v>30</v>
      </c>
      <c r="G314">
        <v>1.27</v>
      </c>
      <c r="H314">
        <v>6.61</v>
      </c>
      <c r="I314">
        <v>16</v>
      </c>
    </row>
    <row r="315" spans="4:9" x14ac:dyDescent="0.35">
      <c r="D315" t="str">
        <f t="shared" si="4"/>
        <v>BurnleyWatford</v>
      </c>
      <c r="E315" t="s">
        <v>32</v>
      </c>
      <c r="F315" t="s">
        <v>35</v>
      </c>
      <c r="G315">
        <v>3.18</v>
      </c>
      <c r="H315">
        <v>3.3</v>
      </c>
      <c r="I315">
        <v>2.59</v>
      </c>
    </row>
    <row r="316" spans="4:9" x14ac:dyDescent="0.35">
      <c r="D316" t="str">
        <f t="shared" si="4"/>
        <v>SouthamptonArsenal</v>
      </c>
      <c r="E316" t="s">
        <v>34</v>
      </c>
      <c r="F316" t="s">
        <v>40</v>
      </c>
      <c r="G316">
        <v>2.75</v>
      </c>
      <c r="H316">
        <v>3.65</v>
      </c>
      <c r="I316">
        <v>2.8</v>
      </c>
    </row>
    <row r="317" spans="4:9" x14ac:dyDescent="0.35">
      <c r="D317" t="str">
        <f t="shared" si="4"/>
        <v>ChelseaManchester City</v>
      </c>
      <c r="E317" t="s">
        <v>42</v>
      </c>
      <c r="F317" t="s">
        <v>36</v>
      </c>
      <c r="G317">
        <v>4.4000000000000004</v>
      </c>
      <c r="H317">
        <v>4.25</v>
      </c>
      <c r="I317">
        <v>1.87</v>
      </c>
    </row>
    <row r="318" spans="4:9" x14ac:dyDescent="0.35">
      <c r="D318" t="str">
        <f t="shared" si="4"/>
        <v>Aston VillaWolverhampton</v>
      </c>
      <c r="E318" t="s">
        <v>52</v>
      </c>
      <c r="F318" t="s">
        <v>49</v>
      </c>
      <c r="G318">
        <v>5.0999999999999996</v>
      </c>
      <c r="H318">
        <v>3.92</v>
      </c>
      <c r="I318">
        <v>1.82</v>
      </c>
    </row>
    <row r="319" spans="4:9" x14ac:dyDescent="0.35">
      <c r="D319" t="str">
        <f t="shared" si="4"/>
        <v>WatfordSouthampton</v>
      </c>
      <c r="E319" t="s">
        <v>35</v>
      </c>
      <c r="F319" t="s">
        <v>34</v>
      </c>
      <c r="G319">
        <v>2.6</v>
      </c>
      <c r="H319">
        <v>3.42</v>
      </c>
      <c r="I319">
        <v>3.1</v>
      </c>
    </row>
    <row r="320" spans="4:9" x14ac:dyDescent="0.35">
      <c r="D320" t="str">
        <f t="shared" si="4"/>
        <v>Crystal PalaceBurnley</v>
      </c>
      <c r="E320" t="s">
        <v>30</v>
      </c>
      <c r="F320" t="s">
        <v>32</v>
      </c>
      <c r="G320">
        <v>2.42</v>
      </c>
      <c r="H320">
        <v>3.32</v>
      </c>
      <c r="I320">
        <v>3.55</v>
      </c>
    </row>
    <row r="321" spans="4:9" x14ac:dyDescent="0.35">
      <c r="D321" t="str">
        <f t="shared" si="4"/>
        <v>Brighton and Hove AlbionManchester United</v>
      </c>
      <c r="E321" t="s">
        <v>45</v>
      </c>
      <c r="F321" t="s">
        <v>39</v>
      </c>
      <c r="G321">
        <v>7</v>
      </c>
      <c r="H321">
        <v>4.0999999999999996</v>
      </c>
      <c r="I321">
        <v>1.64</v>
      </c>
    </row>
    <row r="322" spans="4:9" x14ac:dyDescent="0.35">
      <c r="D322" t="str">
        <f t="shared" si="4"/>
        <v>ArsenalNorwich City</v>
      </c>
      <c r="E322" t="s">
        <v>40</v>
      </c>
      <c r="F322" t="s">
        <v>50</v>
      </c>
      <c r="G322">
        <v>1.48</v>
      </c>
      <c r="H322">
        <v>4.9000000000000004</v>
      </c>
      <c r="I322">
        <v>8.1999999999999993</v>
      </c>
    </row>
    <row r="323" spans="4:9" x14ac:dyDescent="0.35">
      <c r="D323" t="str">
        <f t="shared" si="4"/>
        <v>AFC BournemouthNewcastle</v>
      </c>
      <c r="E323" t="s">
        <v>38</v>
      </c>
      <c r="F323" t="s">
        <v>46</v>
      </c>
      <c r="G323">
        <v>2.5099999999999998</v>
      </c>
      <c r="H323">
        <v>3.3</v>
      </c>
      <c r="I323">
        <v>3.32</v>
      </c>
    </row>
    <row r="324" spans="4:9" x14ac:dyDescent="0.35">
      <c r="D324" t="str">
        <f t="shared" si="4"/>
        <v>EvertonLeicester City</v>
      </c>
      <c r="E324" t="s">
        <v>28</v>
      </c>
      <c r="F324" t="s">
        <v>25</v>
      </c>
      <c r="G324">
        <v>2.64</v>
      </c>
      <c r="H324">
        <v>3.42</v>
      </c>
      <c r="I324">
        <v>3.05</v>
      </c>
    </row>
    <row r="325" spans="4:9" x14ac:dyDescent="0.35">
      <c r="D325" t="str">
        <f t="shared" si="4"/>
        <v>West Ham UnitedChelsea</v>
      </c>
      <c r="E325" t="s">
        <v>43</v>
      </c>
      <c r="F325" t="s">
        <v>42</v>
      </c>
      <c r="G325">
        <v>6</v>
      </c>
      <c r="H325">
        <v>4.5</v>
      </c>
      <c r="I325">
        <v>1.65</v>
      </c>
    </row>
    <row r="326" spans="4:9" x14ac:dyDescent="0.35">
      <c r="D326" t="str">
        <f t="shared" si="4"/>
        <v>Sheffield UnitedTottenham Hotspur</v>
      </c>
      <c r="E326" t="s">
        <v>51</v>
      </c>
      <c r="F326" t="s">
        <v>29</v>
      </c>
      <c r="G326">
        <v>4.3</v>
      </c>
      <c r="H326">
        <v>3.54</v>
      </c>
      <c r="I326">
        <v>2.08</v>
      </c>
    </row>
    <row r="327" spans="4:9" x14ac:dyDescent="0.35">
      <c r="D327" t="str">
        <f t="shared" si="4"/>
        <v>Manchester CityLiverpool</v>
      </c>
      <c r="E327" t="s">
        <v>36</v>
      </c>
      <c r="F327" t="s">
        <v>41</v>
      </c>
      <c r="G327">
        <v>2.14</v>
      </c>
      <c r="H327">
        <v>4.32</v>
      </c>
      <c r="I327">
        <v>3.52</v>
      </c>
    </row>
    <row r="328" spans="4:9" x14ac:dyDescent="0.35">
      <c r="D328" t="str">
        <f t="shared" si="4"/>
        <v>Norwich CityBrighton and Hove Albion</v>
      </c>
      <c r="E328" t="s">
        <v>50</v>
      </c>
      <c r="F328" t="s">
        <v>45</v>
      </c>
      <c r="G328">
        <v>3.56</v>
      </c>
      <c r="H328">
        <v>3.45</v>
      </c>
      <c r="I328">
        <v>2.33</v>
      </c>
    </row>
    <row r="329" spans="4:9" x14ac:dyDescent="0.35">
      <c r="D329" t="str">
        <f t="shared" ref="D329:D387" si="5">E329&amp;F329</f>
        <v>Leicester CityCrystal Palace</v>
      </c>
      <c r="E329" t="s">
        <v>25</v>
      </c>
      <c r="F329" t="s">
        <v>30</v>
      </c>
      <c r="G329">
        <v>1.72</v>
      </c>
      <c r="H329">
        <v>3.8</v>
      </c>
      <c r="I329">
        <v>6.5</v>
      </c>
    </row>
    <row r="330" spans="4:9" x14ac:dyDescent="0.35">
      <c r="D330" t="str">
        <f t="shared" si="5"/>
        <v>Manchester UnitedAFC Bournemouth</v>
      </c>
      <c r="E330" t="s">
        <v>39</v>
      </c>
      <c r="F330" t="s">
        <v>38</v>
      </c>
      <c r="G330">
        <v>1.19</v>
      </c>
      <c r="H330">
        <v>8.3000000000000007</v>
      </c>
      <c r="I330">
        <v>21</v>
      </c>
    </row>
    <row r="331" spans="4:9" x14ac:dyDescent="0.35">
      <c r="D331" t="str">
        <f t="shared" si="5"/>
        <v>WolverhamptonArsenal</v>
      </c>
      <c r="E331" t="s">
        <v>49</v>
      </c>
      <c r="F331" t="s">
        <v>40</v>
      </c>
      <c r="G331">
        <v>2.36</v>
      </c>
      <c r="H331">
        <v>3.48</v>
      </c>
      <c r="I331">
        <v>3.5</v>
      </c>
    </row>
    <row r="332" spans="4:9" x14ac:dyDescent="0.35">
      <c r="D332" t="str">
        <f t="shared" si="5"/>
        <v>ChelseaWatford</v>
      </c>
      <c r="E332" t="s">
        <v>42</v>
      </c>
      <c r="F332" t="s">
        <v>35</v>
      </c>
      <c r="G332">
        <v>1.46</v>
      </c>
      <c r="H332">
        <v>4.9000000000000004</v>
      </c>
      <c r="I332">
        <v>9.3000000000000007</v>
      </c>
    </row>
    <row r="333" spans="4:9" x14ac:dyDescent="0.35">
      <c r="D333" t="str">
        <f t="shared" si="5"/>
        <v>BurnleySheffield United</v>
      </c>
      <c r="E333" t="s">
        <v>32</v>
      </c>
      <c r="F333" t="s">
        <v>51</v>
      </c>
      <c r="G333">
        <v>3.02</v>
      </c>
      <c r="H333">
        <v>3.1</v>
      </c>
      <c r="I333">
        <v>2.86</v>
      </c>
    </row>
    <row r="334" spans="4:9" x14ac:dyDescent="0.35">
      <c r="D334" t="str">
        <f t="shared" si="5"/>
        <v>NewcastleWest Ham United</v>
      </c>
      <c r="E334" t="s">
        <v>46</v>
      </c>
      <c r="F334" t="s">
        <v>43</v>
      </c>
      <c r="G334">
        <v>2.77</v>
      </c>
      <c r="H334">
        <v>3.48</v>
      </c>
      <c r="I334">
        <v>2.9</v>
      </c>
    </row>
    <row r="335" spans="4:9" x14ac:dyDescent="0.35">
      <c r="D335" t="str">
        <f t="shared" si="5"/>
        <v>LiverpoolAston Villa</v>
      </c>
      <c r="E335" t="s">
        <v>41</v>
      </c>
      <c r="F335" t="s">
        <v>52</v>
      </c>
      <c r="G335">
        <v>1.38</v>
      </c>
      <c r="H335">
        <v>5.9</v>
      </c>
      <c r="I335">
        <v>9.8000000000000007</v>
      </c>
    </row>
    <row r="336" spans="4:9" x14ac:dyDescent="0.35">
      <c r="D336" t="str">
        <f t="shared" si="5"/>
        <v>SouthamptonManchester City</v>
      </c>
      <c r="E336" t="s">
        <v>34</v>
      </c>
      <c r="F336" t="s">
        <v>36</v>
      </c>
      <c r="G336">
        <v>11.31</v>
      </c>
      <c r="H336">
        <v>6.1</v>
      </c>
      <c r="I336">
        <v>1.36</v>
      </c>
    </row>
    <row r="337" spans="4:9" x14ac:dyDescent="0.35">
      <c r="D337" t="str">
        <f t="shared" si="5"/>
        <v>Tottenham HotspurEverton</v>
      </c>
      <c r="E337" t="s">
        <v>29</v>
      </c>
      <c r="F337" t="s">
        <v>28</v>
      </c>
      <c r="G337">
        <v>2.2200000000000002</v>
      </c>
      <c r="H337">
        <v>3.74</v>
      </c>
      <c r="I337">
        <v>3.58</v>
      </c>
    </row>
    <row r="338" spans="4:9" x14ac:dyDescent="0.35">
      <c r="D338" t="str">
        <f t="shared" si="5"/>
        <v>Crystal PalaceChelsea</v>
      </c>
      <c r="E338" t="s">
        <v>30</v>
      </c>
      <c r="F338" t="s">
        <v>42</v>
      </c>
      <c r="G338">
        <v>9.0500000000000007</v>
      </c>
      <c r="H338">
        <v>4.8499999999999996</v>
      </c>
      <c r="I338">
        <v>1.46</v>
      </c>
    </row>
    <row r="339" spans="4:9" x14ac:dyDescent="0.35">
      <c r="D339" t="str">
        <f t="shared" si="5"/>
        <v>WatfordNorwich City</v>
      </c>
      <c r="E339" t="s">
        <v>35</v>
      </c>
      <c r="F339" t="s">
        <v>50</v>
      </c>
      <c r="G339">
        <v>1.8</v>
      </c>
      <c r="H339">
        <v>3.94</v>
      </c>
      <c r="I339">
        <v>5.5</v>
      </c>
    </row>
    <row r="340" spans="4:9" x14ac:dyDescent="0.35">
      <c r="D340" t="str">
        <f t="shared" si="5"/>
        <v>ArsenalLeicester City</v>
      </c>
      <c r="E340" t="s">
        <v>40</v>
      </c>
      <c r="F340" t="s">
        <v>25</v>
      </c>
      <c r="G340">
        <v>2.4900000000000002</v>
      </c>
      <c r="H340">
        <v>3.59</v>
      </c>
      <c r="I340">
        <v>3.15</v>
      </c>
    </row>
    <row r="341" spans="4:9" x14ac:dyDescent="0.35">
      <c r="D341" t="str">
        <f t="shared" si="5"/>
        <v>Manchester CityNewcastle</v>
      </c>
      <c r="E341" t="s">
        <v>36</v>
      </c>
      <c r="F341" t="s">
        <v>46</v>
      </c>
      <c r="G341">
        <v>1.1599999999999999</v>
      </c>
      <c r="H341">
        <v>10.5</v>
      </c>
      <c r="I341">
        <v>29</v>
      </c>
    </row>
    <row r="342" spans="4:9" x14ac:dyDescent="0.35">
      <c r="D342" t="str">
        <f t="shared" si="5"/>
        <v>Sheffield UnitedWolverhampton</v>
      </c>
      <c r="E342" t="s">
        <v>51</v>
      </c>
      <c r="F342" t="s">
        <v>49</v>
      </c>
      <c r="G342">
        <v>4.0999999999999996</v>
      </c>
      <c r="H342">
        <v>3.26</v>
      </c>
      <c r="I342">
        <v>2.25</v>
      </c>
    </row>
    <row r="343" spans="4:9" x14ac:dyDescent="0.35">
      <c r="D343" t="str">
        <f t="shared" si="5"/>
        <v>West Ham UnitedBurnley</v>
      </c>
      <c r="E343" t="s">
        <v>43</v>
      </c>
      <c r="F343" t="s">
        <v>32</v>
      </c>
      <c r="G343">
        <v>2.1</v>
      </c>
      <c r="H343">
        <v>3.6</v>
      </c>
      <c r="I343">
        <v>4.05</v>
      </c>
    </row>
    <row r="344" spans="4:9" x14ac:dyDescent="0.35">
      <c r="D344" t="str">
        <f t="shared" si="5"/>
        <v>Brighton and Hove AlbionLiverpool</v>
      </c>
      <c r="E344" t="s">
        <v>45</v>
      </c>
      <c r="F344" t="s">
        <v>41</v>
      </c>
      <c r="G344">
        <v>6.5</v>
      </c>
      <c r="H344">
        <v>4.45</v>
      </c>
      <c r="I344">
        <v>1.62</v>
      </c>
    </row>
    <row r="345" spans="4:9" x14ac:dyDescent="0.35">
      <c r="D345" t="str">
        <f t="shared" si="5"/>
        <v>AFC BournemouthTottenham Hotspur</v>
      </c>
      <c r="E345" t="s">
        <v>38</v>
      </c>
      <c r="F345" t="s">
        <v>29</v>
      </c>
      <c r="G345">
        <v>5.45</v>
      </c>
      <c r="H345">
        <v>4.2</v>
      </c>
      <c r="I345">
        <v>1.72</v>
      </c>
    </row>
    <row r="346" spans="4:9" x14ac:dyDescent="0.35">
      <c r="D346" t="str">
        <f t="shared" si="5"/>
        <v>EvertonSouthampton</v>
      </c>
      <c r="E346" t="s">
        <v>28</v>
      </c>
      <c r="F346" t="s">
        <v>34</v>
      </c>
      <c r="G346">
        <v>2.15</v>
      </c>
      <c r="H346">
        <v>3.65</v>
      </c>
      <c r="I346">
        <v>3.86</v>
      </c>
    </row>
    <row r="347" spans="4:9" x14ac:dyDescent="0.35">
      <c r="D347" t="str">
        <f t="shared" si="5"/>
        <v>Aston VillaManchester United</v>
      </c>
      <c r="E347" t="s">
        <v>52</v>
      </c>
      <c r="F347" t="s">
        <v>39</v>
      </c>
      <c r="G347">
        <v>10.5</v>
      </c>
      <c r="H347">
        <v>5.45</v>
      </c>
      <c r="I347">
        <v>1.38</v>
      </c>
    </row>
    <row r="348" spans="4:9" x14ac:dyDescent="0.35">
      <c r="D348" t="str">
        <f t="shared" si="5"/>
        <v>Norwich CityWest Ham United</v>
      </c>
      <c r="E348" t="s">
        <v>50</v>
      </c>
      <c r="F348" t="s">
        <v>43</v>
      </c>
      <c r="G348">
        <v>3.9</v>
      </c>
      <c r="H348">
        <v>3.8</v>
      </c>
      <c r="I348">
        <v>2.0699999999999998</v>
      </c>
    </row>
    <row r="349" spans="4:9" x14ac:dyDescent="0.35">
      <c r="D349" t="str">
        <f t="shared" si="5"/>
        <v>WatfordNewcastle</v>
      </c>
      <c r="E349" t="s">
        <v>35</v>
      </c>
      <c r="F349" t="s">
        <v>46</v>
      </c>
      <c r="G349">
        <v>1.88</v>
      </c>
      <c r="H349">
        <v>3.72</v>
      </c>
      <c r="I349">
        <v>5</v>
      </c>
    </row>
    <row r="350" spans="4:9" x14ac:dyDescent="0.35">
      <c r="D350" t="str">
        <f t="shared" si="5"/>
        <v>LiverpoolBurnley</v>
      </c>
      <c r="E350" t="s">
        <v>41</v>
      </c>
      <c r="F350" t="s">
        <v>32</v>
      </c>
      <c r="G350">
        <v>1.28</v>
      </c>
      <c r="H350">
        <v>6.7</v>
      </c>
      <c r="I350">
        <v>13</v>
      </c>
    </row>
    <row r="351" spans="4:9" x14ac:dyDescent="0.35">
      <c r="D351" t="str">
        <f t="shared" si="5"/>
        <v>Sheffield UnitedChelsea</v>
      </c>
      <c r="E351" t="s">
        <v>51</v>
      </c>
      <c r="F351" t="s">
        <v>42</v>
      </c>
      <c r="G351">
        <v>6.8</v>
      </c>
      <c r="H351">
        <v>4.1500000000000004</v>
      </c>
      <c r="I351">
        <v>1.65</v>
      </c>
    </row>
    <row r="352" spans="4:9" x14ac:dyDescent="0.35">
      <c r="D352" t="str">
        <f t="shared" si="5"/>
        <v>Brighton and Hove AlbionManchester City</v>
      </c>
      <c r="E352" t="s">
        <v>45</v>
      </c>
      <c r="F352" t="s">
        <v>36</v>
      </c>
      <c r="G352">
        <v>12</v>
      </c>
      <c r="H352">
        <v>6.05</v>
      </c>
      <c r="I352">
        <v>1.35</v>
      </c>
    </row>
    <row r="353" spans="4:9" x14ac:dyDescent="0.35">
      <c r="D353" t="str">
        <f t="shared" si="5"/>
        <v>WolverhamptonEverton</v>
      </c>
      <c r="E353" t="s">
        <v>49</v>
      </c>
      <c r="F353" t="s">
        <v>28</v>
      </c>
      <c r="G353">
        <v>2.16</v>
      </c>
      <c r="H353">
        <v>3.35</v>
      </c>
      <c r="I353">
        <v>4.2</v>
      </c>
    </row>
    <row r="354" spans="4:9" x14ac:dyDescent="0.35">
      <c r="D354" t="str">
        <f t="shared" si="5"/>
        <v>Aston VillaCrystal Palace</v>
      </c>
      <c r="E354" t="s">
        <v>52</v>
      </c>
      <c r="F354" t="s">
        <v>30</v>
      </c>
      <c r="G354">
        <v>2.35</v>
      </c>
      <c r="H354">
        <v>3.48</v>
      </c>
      <c r="I354">
        <v>3.45</v>
      </c>
    </row>
    <row r="355" spans="4:9" x14ac:dyDescent="0.35">
      <c r="D355" t="str">
        <f t="shared" si="5"/>
        <v>Tottenham HotspurArsenal</v>
      </c>
      <c r="E355" t="s">
        <v>29</v>
      </c>
      <c r="F355" t="s">
        <v>40</v>
      </c>
      <c r="G355">
        <v>2.75</v>
      </c>
      <c r="H355">
        <v>4.4800000000000004</v>
      </c>
      <c r="I355">
        <v>2.83</v>
      </c>
    </row>
    <row r="356" spans="4:9" x14ac:dyDescent="0.35">
      <c r="D356" t="str">
        <f t="shared" si="5"/>
        <v>AFC BournemouthLeicester City</v>
      </c>
      <c r="E356" t="s">
        <v>38</v>
      </c>
      <c r="F356" t="s">
        <v>25</v>
      </c>
      <c r="G356">
        <v>5.6</v>
      </c>
      <c r="H356">
        <v>4</v>
      </c>
      <c r="I356">
        <v>1.75</v>
      </c>
    </row>
    <row r="357" spans="4:9" x14ac:dyDescent="0.35">
      <c r="D357" t="str">
        <f t="shared" si="5"/>
        <v>Manchester UnitedSouthampton</v>
      </c>
      <c r="E357" t="s">
        <v>39</v>
      </c>
      <c r="F357" t="s">
        <v>34</v>
      </c>
      <c r="G357">
        <v>1.33</v>
      </c>
      <c r="H357">
        <v>6.3</v>
      </c>
      <c r="I357">
        <v>12</v>
      </c>
    </row>
    <row r="358" spans="4:9" x14ac:dyDescent="0.35">
      <c r="D358" t="str">
        <f t="shared" si="5"/>
        <v>ChelseaNorwich City</v>
      </c>
      <c r="E358" t="s">
        <v>42</v>
      </c>
      <c r="F358" t="s">
        <v>50</v>
      </c>
      <c r="G358">
        <v>1.1399999999999999</v>
      </c>
      <c r="H358">
        <v>10.8</v>
      </c>
      <c r="I358">
        <v>24.75</v>
      </c>
    </row>
    <row r="359" spans="4:9" x14ac:dyDescent="0.35">
      <c r="D359" t="str">
        <f t="shared" si="5"/>
        <v>BurnleyWolverhampton</v>
      </c>
      <c r="E359" t="s">
        <v>32</v>
      </c>
      <c r="F359" t="s">
        <v>49</v>
      </c>
      <c r="G359">
        <v>5</v>
      </c>
      <c r="H359">
        <v>3.42</v>
      </c>
      <c r="I359">
        <v>1.97</v>
      </c>
    </row>
    <row r="360" spans="4:9" x14ac:dyDescent="0.35">
      <c r="D360" t="str">
        <f t="shared" si="5"/>
        <v>Manchester CityAFC Bournemouth</v>
      </c>
      <c r="E360" t="s">
        <v>36</v>
      </c>
      <c r="F360" t="s">
        <v>38</v>
      </c>
      <c r="G360">
        <v>1.18</v>
      </c>
      <c r="H360">
        <v>9.8000000000000007</v>
      </c>
      <c r="I360">
        <v>20.5</v>
      </c>
    </row>
    <row r="361" spans="4:9" x14ac:dyDescent="0.35">
      <c r="D361" t="str">
        <f t="shared" si="5"/>
        <v>NewcastleTottenham Hotspur</v>
      </c>
      <c r="E361" t="s">
        <v>46</v>
      </c>
      <c r="F361" t="s">
        <v>29</v>
      </c>
      <c r="G361">
        <v>4.8</v>
      </c>
      <c r="H361">
        <v>3.98</v>
      </c>
      <c r="I361">
        <v>1.85</v>
      </c>
    </row>
    <row r="362" spans="4:9" x14ac:dyDescent="0.35">
      <c r="D362" t="str">
        <f t="shared" si="5"/>
        <v>ArsenalLiverpool</v>
      </c>
      <c r="E362" t="s">
        <v>40</v>
      </c>
      <c r="F362" t="s">
        <v>41</v>
      </c>
      <c r="G362">
        <v>4.0999999999999996</v>
      </c>
      <c r="H362">
        <v>4.05</v>
      </c>
      <c r="I362">
        <v>1.95</v>
      </c>
    </row>
    <row r="363" spans="4:9" x14ac:dyDescent="0.35">
      <c r="D363" t="str">
        <f t="shared" si="5"/>
        <v>EvertonAston Villa</v>
      </c>
      <c r="E363" t="s">
        <v>28</v>
      </c>
      <c r="F363" t="s">
        <v>52</v>
      </c>
      <c r="G363">
        <v>2.1</v>
      </c>
      <c r="H363">
        <v>3.74</v>
      </c>
      <c r="I363">
        <v>3.94</v>
      </c>
    </row>
    <row r="364" spans="4:9" x14ac:dyDescent="0.35">
      <c r="D364" t="str">
        <f t="shared" si="5"/>
        <v>Leicester CitySheffield United</v>
      </c>
      <c r="E364" t="s">
        <v>25</v>
      </c>
      <c r="F364" t="s">
        <v>51</v>
      </c>
      <c r="G364">
        <v>2.1</v>
      </c>
      <c r="H364">
        <v>3.58</v>
      </c>
      <c r="I364">
        <v>4.2</v>
      </c>
    </row>
    <row r="365" spans="4:9" x14ac:dyDescent="0.35">
      <c r="D365" t="str">
        <f t="shared" si="5"/>
        <v>Crystal PalaceManchester United</v>
      </c>
      <c r="E365" t="s">
        <v>30</v>
      </c>
      <c r="F365" t="s">
        <v>39</v>
      </c>
      <c r="G365">
        <v>10.9</v>
      </c>
      <c r="H365">
        <v>5.4</v>
      </c>
      <c r="I365">
        <v>1.38</v>
      </c>
    </row>
    <row r="366" spans="4:9" x14ac:dyDescent="0.35">
      <c r="D366" t="str">
        <f t="shared" si="5"/>
        <v>SouthamptonBrighton and Hove Albion</v>
      </c>
      <c r="E366" t="s">
        <v>34</v>
      </c>
      <c r="F366" t="s">
        <v>45</v>
      </c>
      <c r="G366">
        <v>2.2599999999999998</v>
      </c>
      <c r="H366">
        <v>3.48</v>
      </c>
      <c r="I366">
        <v>3.68</v>
      </c>
    </row>
    <row r="367" spans="4:9" x14ac:dyDescent="0.35">
      <c r="D367" t="str">
        <f t="shared" si="5"/>
        <v>West Ham UnitedWatford</v>
      </c>
      <c r="E367" t="s">
        <v>43</v>
      </c>
      <c r="F367" t="s">
        <v>35</v>
      </c>
      <c r="G367">
        <v>2.5</v>
      </c>
      <c r="H367">
        <v>3.18</v>
      </c>
      <c r="I367">
        <v>3.5</v>
      </c>
    </row>
    <row r="368" spans="4:9" x14ac:dyDescent="0.35">
      <c r="D368" t="str">
        <f t="shared" si="5"/>
        <v>Norwich CityBurnley</v>
      </c>
      <c r="E368" t="s">
        <v>50</v>
      </c>
      <c r="F368" t="s">
        <v>32</v>
      </c>
      <c r="G368">
        <v>3.52</v>
      </c>
      <c r="H368">
        <v>3.43</v>
      </c>
      <c r="I368">
        <v>2.36</v>
      </c>
    </row>
    <row r="369" spans="4:12" x14ac:dyDescent="0.35">
      <c r="D369" t="str">
        <f t="shared" si="5"/>
        <v>AFC BournemouthSouthampton</v>
      </c>
      <c r="E369" t="s">
        <v>38</v>
      </c>
      <c r="F369" t="s">
        <v>34</v>
      </c>
      <c r="G369">
        <v>2.5</v>
      </c>
      <c r="H369">
        <v>3.82</v>
      </c>
      <c r="I369">
        <v>3.01</v>
      </c>
    </row>
    <row r="370" spans="4:12" x14ac:dyDescent="0.35">
      <c r="D370" t="str">
        <f t="shared" si="5"/>
        <v>Tottenham HotspurLeicester City</v>
      </c>
      <c r="E370" t="s">
        <v>29</v>
      </c>
      <c r="F370" t="s">
        <v>25</v>
      </c>
      <c r="G370">
        <v>2.41</v>
      </c>
      <c r="H370">
        <v>3.58</v>
      </c>
      <c r="I370">
        <v>3.25</v>
      </c>
    </row>
    <row r="371" spans="4:12" x14ac:dyDescent="0.35">
      <c r="D371" t="str">
        <f t="shared" si="5"/>
        <v>Brighton and Hove AlbionNewcastle</v>
      </c>
      <c r="E371" t="s">
        <v>45</v>
      </c>
      <c r="F371" t="s">
        <v>46</v>
      </c>
      <c r="G371">
        <v>2</v>
      </c>
      <c r="H371">
        <v>3.62</v>
      </c>
      <c r="I371">
        <v>4.5</v>
      </c>
    </row>
    <row r="372" spans="4:12" x14ac:dyDescent="0.35">
      <c r="D372" t="str">
        <f t="shared" si="5"/>
        <v>Sheffield UnitedEverton</v>
      </c>
      <c r="E372" t="s">
        <v>51</v>
      </c>
      <c r="F372" t="s">
        <v>28</v>
      </c>
      <c r="G372">
        <v>2.27</v>
      </c>
      <c r="H372">
        <v>3.45</v>
      </c>
      <c r="I372">
        <v>3.7</v>
      </c>
    </row>
    <row r="373" spans="4:12" x14ac:dyDescent="0.35">
      <c r="D373" t="str">
        <f t="shared" si="5"/>
        <v>WolverhamptonCrystal Palace</v>
      </c>
      <c r="E373" t="s">
        <v>49</v>
      </c>
      <c r="F373" t="s">
        <v>30</v>
      </c>
      <c r="G373">
        <v>1.54</v>
      </c>
      <c r="H373">
        <v>4.3499999999999996</v>
      </c>
      <c r="I373">
        <v>8.3000000000000007</v>
      </c>
    </row>
    <row r="374" spans="4:12" x14ac:dyDescent="0.35">
      <c r="D374" t="str">
        <f t="shared" si="5"/>
        <v>WatfordManchester City</v>
      </c>
      <c r="E374" t="s">
        <v>35</v>
      </c>
      <c r="F374" t="s">
        <v>36</v>
      </c>
      <c r="G374">
        <v>10</v>
      </c>
      <c r="H374">
        <v>6.15</v>
      </c>
      <c r="I374">
        <v>1.37</v>
      </c>
    </row>
    <row r="375" spans="4:12" x14ac:dyDescent="0.35">
      <c r="D375" t="str">
        <f t="shared" si="5"/>
        <v>Aston VillaArsenal</v>
      </c>
      <c r="E375" t="s">
        <v>52</v>
      </c>
      <c r="F375" t="s">
        <v>40</v>
      </c>
      <c r="G375">
        <v>3.4</v>
      </c>
      <c r="H375">
        <v>3.98</v>
      </c>
      <c r="I375">
        <v>2.2000000000000002</v>
      </c>
    </row>
    <row r="376" spans="4:12" x14ac:dyDescent="0.35">
      <c r="D376" t="str">
        <f t="shared" si="5"/>
        <v>Manchester UnitedWest Ham United</v>
      </c>
      <c r="E376" t="s">
        <v>39</v>
      </c>
      <c r="F376" t="s">
        <v>43</v>
      </c>
      <c r="G376">
        <v>1.28</v>
      </c>
      <c r="H376">
        <v>7</v>
      </c>
      <c r="I376">
        <v>13.5</v>
      </c>
    </row>
    <row r="377" spans="4:12" x14ac:dyDescent="0.35">
      <c r="D377" t="str">
        <f t="shared" si="5"/>
        <v>LiverpoolChelsea</v>
      </c>
      <c r="E377" t="s">
        <v>41</v>
      </c>
      <c r="F377" t="s">
        <v>42</v>
      </c>
      <c r="G377">
        <v>2.13</v>
      </c>
      <c r="H377">
        <v>3.95</v>
      </c>
      <c r="I377">
        <v>3.7</v>
      </c>
    </row>
    <row r="378" spans="4:12" x14ac:dyDescent="0.35">
      <c r="D378" t="str">
        <f t="shared" si="5"/>
        <v>ArsenalWatford</v>
      </c>
      <c r="E378" t="s">
        <v>40</v>
      </c>
      <c r="F378" t="s">
        <v>35</v>
      </c>
      <c r="G378">
        <v>2.0499999999999998</v>
      </c>
      <c r="H378">
        <v>4.05</v>
      </c>
      <c r="I378">
        <v>4</v>
      </c>
    </row>
    <row r="379" spans="4:12" x14ac:dyDescent="0.35">
      <c r="D379" t="str">
        <f t="shared" si="5"/>
        <v>BurnleyBrighton and Hove Albion</v>
      </c>
      <c r="E379" t="s">
        <v>32</v>
      </c>
      <c r="F379" t="s">
        <v>45</v>
      </c>
      <c r="G379">
        <v>2.38</v>
      </c>
      <c r="H379">
        <v>3.65</v>
      </c>
      <c r="I379">
        <v>3.26</v>
      </c>
    </row>
    <row r="380" spans="4:12" x14ac:dyDescent="0.35">
      <c r="D380" t="str">
        <f t="shared" si="5"/>
        <v>ChelseaWolverhampton</v>
      </c>
      <c r="E380" t="s">
        <v>42</v>
      </c>
      <c r="F380" t="s">
        <v>49</v>
      </c>
      <c r="G380">
        <v>1.9</v>
      </c>
      <c r="H380">
        <v>3.92</v>
      </c>
      <c r="I380">
        <v>4.55</v>
      </c>
    </row>
    <row r="381" spans="4:12" x14ac:dyDescent="0.35">
      <c r="D381" t="str">
        <f t="shared" si="5"/>
        <v>Crystal PalaceTottenham Hotspur</v>
      </c>
      <c r="E381" t="s">
        <v>30</v>
      </c>
      <c r="F381" t="s">
        <v>29</v>
      </c>
      <c r="G381">
        <v>6.75</v>
      </c>
      <c r="H381">
        <v>4.45</v>
      </c>
      <c r="I381">
        <v>1.6</v>
      </c>
      <c r="L381">
        <f>MIN(H8:H387)</f>
        <v>3.1</v>
      </c>
    </row>
    <row r="382" spans="4:12" x14ac:dyDescent="0.35">
      <c r="D382" t="str">
        <f t="shared" si="5"/>
        <v>EvertonAFC Bournemouth</v>
      </c>
      <c r="E382" t="s">
        <v>28</v>
      </c>
      <c r="F382" t="s">
        <v>38</v>
      </c>
      <c r="G382">
        <v>2.33</v>
      </c>
      <c r="H382">
        <v>4.0999999999999996</v>
      </c>
      <c r="I382">
        <v>3.15</v>
      </c>
    </row>
    <row r="383" spans="4:12" x14ac:dyDescent="0.35">
      <c r="D383" t="str">
        <f t="shared" si="5"/>
        <v>Leicester CityManchester United</v>
      </c>
      <c r="E383" t="s">
        <v>25</v>
      </c>
      <c r="F383" t="s">
        <v>39</v>
      </c>
      <c r="G383">
        <v>3.36</v>
      </c>
      <c r="H383">
        <v>4.54</v>
      </c>
      <c r="I383">
        <v>2.35</v>
      </c>
    </row>
    <row r="384" spans="4:12" x14ac:dyDescent="0.35">
      <c r="D384" t="str">
        <f t="shared" si="5"/>
        <v>Manchester CityNorwich City</v>
      </c>
      <c r="E384" t="s">
        <v>36</v>
      </c>
      <c r="F384" t="s">
        <v>50</v>
      </c>
      <c r="G384">
        <v>1.1000000000000001</v>
      </c>
      <c r="H384">
        <v>15.25</v>
      </c>
      <c r="I384">
        <v>41</v>
      </c>
    </row>
    <row r="385" spans="4:9" x14ac:dyDescent="0.35">
      <c r="D385" t="str">
        <f t="shared" si="5"/>
        <v>NewcastleLiverpool</v>
      </c>
      <c r="E385" t="s">
        <v>46</v>
      </c>
      <c r="F385" t="s">
        <v>41</v>
      </c>
      <c r="G385">
        <v>8.1999999999999993</v>
      </c>
      <c r="H385">
        <v>5.4</v>
      </c>
      <c r="I385">
        <v>1.45</v>
      </c>
    </row>
    <row r="386" spans="4:9" x14ac:dyDescent="0.35">
      <c r="D386" t="str">
        <f t="shared" si="5"/>
        <v>SouthamptonSheffield United</v>
      </c>
      <c r="E386" t="s">
        <v>34</v>
      </c>
      <c r="F386" t="s">
        <v>51</v>
      </c>
      <c r="G386">
        <v>2.25</v>
      </c>
      <c r="H386">
        <v>3.6</v>
      </c>
      <c r="I386">
        <v>3.56</v>
      </c>
    </row>
    <row r="387" spans="4:9" x14ac:dyDescent="0.35">
      <c r="D387" t="str">
        <f t="shared" si="5"/>
        <v>West Ham UnitedAston Villa</v>
      </c>
      <c r="E387" t="s">
        <v>43</v>
      </c>
      <c r="F387" t="s">
        <v>52</v>
      </c>
      <c r="G387">
        <v>3.2</v>
      </c>
      <c r="H387">
        <v>3.82</v>
      </c>
      <c r="I387">
        <v>2.36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F344-2BCC-4DC9-9E0A-68665264E199}">
  <dimension ref="B4:Y94"/>
  <sheetViews>
    <sheetView topLeftCell="A38" zoomScale="46" zoomScaleNormal="100" workbookViewId="0">
      <selection activeCell="I5" sqref="I5"/>
    </sheetView>
    <sheetView topLeftCell="C46" zoomScale="64" zoomScaleNormal="100" workbookViewId="1">
      <selection activeCell="F66" sqref="F66"/>
    </sheetView>
  </sheetViews>
  <sheetFormatPr defaultRowHeight="14.5" x14ac:dyDescent="0.35"/>
  <cols>
    <col min="2" max="2" width="25.6328125" bestFit="1" customWidth="1"/>
    <col min="6" max="6" width="17.36328125" bestFit="1" customWidth="1"/>
    <col min="7" max="7" width="15.81640625" bestFit="1" customWidth="1"/>
    <col min="8" max="8" width="17.26953125" bestFit="1" customWidth="1"/>
    <col min="9" max="9" width="15.36328125" bestFit="1" customWidth="1"/>
    <col min="10" max="10" width="16.7265625" bestFit="1" customWidth="1"/>
    <col min="19" max="22" width="11.81640625" bestFit="1" customWidth="1"/>
  </cols>
  <sheetData>
    <row r="4" spans="2:22" x14ac:dyDescent="0.35">
      <c r="H4" t="s">
        <v>102</v>
      </c>
      <c r="I4" s="24">
        <f>1-I5</f>
        <v>6.925207756233176E-4</v>
      </c>
      <c r="N4" s="4"/>
    </row>
    <row r="5" spans="2:22" x14ac:dyDescent="0.35">
      <c r="H5" t="s">
        <v>101</v>
      </c>
      <c r="I5" s="24">
        <f>1-(1-($Y$63/$Y$94))^2</f>
        <v>0.99930747922437668</v>
      </c>
    </row>
    <row r="8" spans="2:22" x14ac:dyDescent="0.35">
      <c r="G8" t="s">
        <v>124</v>
      </c>
    </row>
    <row r="10" spans="2:22" x14ac:dyDescent="0.35">
      <c r="G10" t="s">
        <v>58</v>
      </c>
      <c r="H10" t="s">
        <v>57</v>
      </c>
      <c r="I10" t="s">
        <v>56</v>
      </c>
      <c r="J10" t="s">
        <v>55</v>
      </c>
      <c r="K10" t="s">
        <v>61</v>
      </c>
      <c r="L10" t="s">
        <v>62</v>
      </c>
      <c r="M10" t="s">
        <v>63</v>
      </c>
      <c r="N10" t="s">
        <v>64</v>
      </c>
      <c r="O10" t="s">
        <v>69</v>
      </c>
      <c r="P10" t="s">
        <v>71</v>
      </c>
      <c r="Q10" t="s">
        <v>70</v>
      </c>
      <c r="R10" t="s">
        <v>72</v>
      </c>
      <c r="S10" s="3" t="s">
        <v>73</v>
      </c>
      <c r="T10" s="3" t="s">
        <v>74</v>
      </c>
      <c r="U10" s="3" t="s">
        <v>75</v>
      </c>
      <c r="V10" s="3" t="s">
        <v>76</v>
      </c>
    </row>
    <row r="11" spans="2:22" x14ac:dyDescent="0.35">
      <c r="F11" t="s">
        <v>38</v>
      </c>
      <c r="G11" s="3">
        <f>VLOOKUP($F11,$F$44:$X$63,2,FALSE) * $I$5 + VLOOKUP($F11,$F$75:$X$94,2,FALSE)*$I$4</f>
        <v>1.1581863245371045</v>
      </c>
      <c r="H11" s="3">
        <f>VLOOKUP($F11,$F$44:$X$63,3,FALSE) * $I$5 + VLOOKUP($F11,$F$75:$X$94,3,FALSE)*$I$4</f>
        <v>1.5787651261116782</v>
      </c>
      <c r="I11" s="3">
        <f>VLOOKUP($F11,$F$44:$X$63,4,FALSE) * $I$5 + VLOOKUP($F11,$F$75:$X$94,4,FALSE)*$I$4</f>
        <v>0.83370389269572831</v>
      </c>
      <c r="J11" s="3">
        <f>VLOOKUP($F11,$F$44:$X$63,5,FALSE) * $I$5 + VLOOKUP($F11,$F$75:$X$94,5,FALSE)*$I$4</f>
        <v>1.8892209748748603</v>
      </c>
      <c r="K11" s="3">
        <f>VLOOKUP($F11,$F$44:$X$63,6,FALSE) * $I$5 + VLOOKUP($F11,$F$75:$X$94,6,FALSE)*$I$4</f>
        <v>1.3097477766438257</v>
      </c>
      <c r="L11" s="3">
        <f>VLOOKUP($F11,$F$44:$X$63,7,FALSE) * $I$5 + VLOOKUP($F11,$F$75:$X$94,7,FALSE)*$I$4</f>
        <v>1.6329621664965737</v>
      </c>
      <c r="M11" s="3">
        <f>VLOOKUP($F11,$F$44:$X$63,8,FALSE) * $I$5 + VLOOKUP($F11,$F$75:$X$94,8,FALSE)*$I$4</f>
        <v>1.1346841133304177</v>
      </c>
      <c r="N11" s="3">
        <f>VLOOKUP($F11,$F$44:$X$63,9,FALSE) * $I$5 + VLOOKUP($F11,$F$75:$X$94,9,FALSE)*$I$4</f>
        <v>1.7755961753414002</v>
      </c>
      <c r="O11" s="3">
        <f>G11/$B$13</f>
        <v>0.76775165978537463</v>
      </c>
      <c r="P11" s="3">
        <f>H11/$B$15</f>
        <v>1.3198214439879541</v>
      </c>
      <c r="Q11" s="3">
        <f>I11/$B$17</f>
        <v>0.69889696895624542</v>
      </c>
      <c r="R11" s="3">
        <f>J11/$B$19</f>
        <v>1.2532553322972688</v>
      </c>
      <c r="S11" s="3">
        <f>K11/$B$23</f>
        <v>0.82108650962263874</v>
      </c>
      <c r="T11" s="3">
        <f>L11/$B$25</f>
        <v>1.1934161325190975</v>
      </c>
      <c r="U11" s="3">
        <f>M11/$B$27</f>
        <v>0.83078231974051286</v>
      </c>
      <c r="V11" s="3">
        <f>N11/$B$29</f>
        <v>1.113537158205018</v>
      </c>
    </row>
    <row r="12" spans="2:22" x14ac:dyDescent="0.35">
      <c r="B12" t="s">
        <v>65</v>
      </c>
      <c r="F12" t="s">
        <v>40</v>
      </c>
      <c r="G12" s="3">
        <f t="shared" ref="G12:G30" si="0">VLOOKUP($F12,$F$44:$X$63,2,FALSE) * $I$5 + VLOOKUP($F12,$F$75:$X$94,2,FALSE)*$I$4</f>
        <v>1.8335945473101034</v>
      </c>
      <c r="H12" s="3">
        <f t="shared" ref="H12:H30" si="1">VLOOKUP($F12,$F$44:$X$63,3,FALSE) * $I$5 + VLOOKUP($F12,$F$75:$X$94,3,FALSE)*$I$4</f>
        <v>1.2219589833309035</v>
      </c>
      <c r="I12" s="3">
        <f t="shared" ref="I12:I30" si="2">VLOOKUP($F12,$F$44:$X$63,4,FALSE) * $I$5 + VLOOKUP($F12,$F$75:$X$94,4,FALSE)*$I$4</f>
        <v>1.0530325120279922</v>
      </c>
      <c r="J12" s="3">
        <f t="shared" ref="J12:J30" si="3">VLOOKUP($F12,$F$44:$X$63,5,FALSE) * $I$5 + VLOOKUP($F12,$F$75:$X$94,5,FALSE)*$I$4</f>
        <v>1.2635588278174661</v>
      </c>
      <c r="K12" s="3">
        <f t="shared" ref="K12:K30" si="4">VLOOKUP($F12,$F$44:$X$63,6,FALSE) * $I$5 + VLOOKUP($F12,$F$75:$X$94,6,FALSE)*$I$4</f>
        <v>1.4825239344899646</v>
      </c>
      <c r="L12" s="3">
        <f t="shared" ref="L12:L30" si="5">VLOOKUP($F12,$F$44:$X$63,7,FALSE) * $I$5 + VLOOKUP($F12,$F$75:$X$94,7,FALSE)*$I$4</f>
        <v>1.582074160470428</v>
      </c>
      <c r="M12" s="3">
        <f t="shared" ref="M12:M30" si="6">VLOOKUP($F12,$F$44:$X$63,8,FALSE) * $I$5 + VLOOKUP($F12,$F$75:$X$94,8,FALSE)*$I$4</f>
        <v>1.257478495407494</v>
      </c>
      <c r="N12" s="3">
        <f t="shared" ref="N12:N30" si="7">VLOOKUP($F12,$F$44:$X$63,9,FALSE) * $I$5 + VLOOKUP($F12,$F$75:$X$94,9,FALSE)*$I$4</f>
        <v>1.4654198862807988</v>
      </c>
      <c r="O12" s="3">
        <f t="shared" ref="O12:O30" si="8">G12/$B$13</f>
        <v>1.2154739071309464</v>
      </c>
      <c r="P12" s="3">
        <f t="shared" ref="P12:P30" si="9">H12/$B$15</f>
        <v>1.0215374302356879</v>
      </c>
      <c r="Q12" s="3">
        <f t="shared" ref="Q12:Q30" si="10">I12/$B$17</f>
        <v>0.88276093864580762</v>
      </c>
      <c r="R12" s="3">
        <f t="shared" ref="R12:R30" si="11">J12/$B$19</f>
        <v>0.83820890181383845</v>
      </c>
      <c r="S12" s="3">
        <f t="shared" ref="S12:S29" si="12">K12/$B$23</f>
        <v>0.92940062545600732</v>
      </c>
      <c r="T12" s="3">
        <f t="shared" ref="T12:T30" si="13">L12/$B$25</f>
        <v>1.1562257011733272</v>
      </c>
      <c r="U12" s="3">
        <f t="shared" ref="U12:U30" si="14">M12/$B$27</f>
        <v>0.92068875307698594</v>
      </c>
      <c r="V12" s="3">
        <f t="shared" ref="V12:V30" si="15">N12/$B$29</f>
        <v>0.91901498685785876</v>
      </c>
    </row>
    <row r="13" spans="2:22" x14ac:dyDescent="0.35">
      <c r="B13" s="2">
        <f>SUM(G11:G30)/20</f>
        <v>1.5085429119891138</v>
      </c>
      <c r="F13" t="s">
        <v>45</v>
      </c>
      <c r="G13" s="3">
        <f t="shared" si="0"/>
        <v>1.0525951304854932</v>
      </c>
      <c r="H13" s="3">
        <f t="shared" si="1"/>
        <v>1.4210890800408222</v>
      </c>
      <c r="I13" s="3">
        <f t="shared" si="2"/>
        <v>0.94437357243524322</v>
      </c>
      <c r="J13" s="3">
        <f t="shared" si="3"/>
        <v>1.4446104874374301</v>
      </c>
      <c r="K13" s="3">
        <f t="shared" si="4"/>
        <v>1.3251148126549057</v>
      </c>
      <c r="L13" s="3">
        <f t="shared" si="5"/>
        <v>1.4736153229333722</v>
      </c>
      <c r="M13" s="3">
        <f t="shared" si="6"/>
        <v>1.2564218544977401</v>
      </c>
      <c r="N13" s="3">
        <f t="shared" si="7"/>
        <v>1.6746709918841423</v>
      </c>
      <c r="O13" s="3">
        <f t="shared" si="8"/>
        <v>0.69775617393447353</v>
      </c>
      <c r="P13" s="3">
        <f t="shared" si="9"/>
        <v>1.1880068862898843</v>
      </c>
      <c r="Q13" s="3">
        <f t="shared" si="10"/>
        <v>0.791671759146093</v>
      </c>
      <c r="R13" s="3">
        <f t="shared" si="11"/>
        <v>0.95831341095153733</v>
      </c>
      <c r="S13" s="3">
        <f t="shared" si="12"/>
        <v>0.83072017053551728</v>
      </c>
      <c r="T13" s="3">
        <f t="shared" si="13"/>
        <v>1.0769608357118763</v>
      </c>
      <c r="U13" s="3">
        <f t="shared" si="14"/>
        <v>0.91991511169448559</v>
      </c>
      <c r="V13" s="3">
        <f t="shared" si="15"/>
        <v>1.0502435199673106</v>
      </c>
    </row>
    <row r="14" spans="2:22" x14ac:dyDescent="0.35">
      <c r="B14" t="s">
        <v>66</v>
      </c>
      <c r="F14" t="s">
        <v>32</v>
      </c>
      <c r="G14" s="3">
        <f t="shared" si="0"/>
        <v>1.2777676532050346</v>
      </c>
      <c r="H14" s="3">
        <f t="shared" si="1"/>
        <v>1.1670250765417702</v>
      </c>
      <c r="I14" s="3">
        <f t="shared" si="2"/>
        <v>1.0000728969237498</v>
      </c>
      <c r="J14" s="3">
        <f t="shared" si="3"/>
        <v>1.4213806677358216</v>
      </c>
      <c r="K14" s="3">
        <f t="shared" si="4"/>
        <v>1.6642496476648685</v>
      </c>
      <c r="L14" s="3">
        <f t="shared" si="5"/>
        <v>1.4067790494241144</v>
      </c>
      <c r="M14" s="3">
        <f t="shared" si="6"/>
        <v>1.0279344656655491</v>
      </c>
      <c r="N14" s="3">
        <f t="shared" si="7"/>
        <v>1.5839324245516841</v>
      </c>
      <c r="O14" s="3">
        <f t="shared" si="8"/>
        <v>0.84702108441861512</v>
      </c>
      <c r="P14" s="3">
        <f t="shared" si="9"/>
        <v>0.97561359585197549</v>
      </c>
      <c r="Q14" s="3">
        <f t="shared" si="10"/>
        <v>0.83836470300659971</v>
      </c>
      <c r="R14" s="3">
        <f t="shared" si="11"/>
        <v>0.94290341085280693</v>
      </c>
      <c r="S14" s="3">
        <f t="shared" si="12"/>
        <v>1.0433252559843504</v>
      </c>
      <c r="T14" s="3">
        <f t="shared" si="13"/>
        <v>1.0281149477422027</v>
      </c>
      <c r="U14" s="3">
        <f t="shared" si="14"/>
        <v>0.75262336882491399</v>
      </c>
      <c r="V14" s="3">
        <f t="shared" si="15"/>
        <v>0.993338257492552</v>
      </c>
    </row>
    <row r="15" spans="2:22" x14ac:dyDescent="0.35">
      <c r="B15" s="2">
        <f>SUM(H11:H30)/20</f>
        <v>1.1961959955289887</v>
      </c>
      <c r="F15" s="25" t="s">
        <v>52</v>
      </c>
      <c r="G15" s="26">
        <f>VLOOKUP($F15,$F$44:$X$63,2,FALSE)</f>
        <v>1.1578947368421053</v>
      </c>
      <c r="H15" s="26">
        <f>VLOOKUP($F15,$F$44:$X$63,3,FALSE)</f>
        <v>1.5789473684210527</v>
      </c>
      <c r="I15" s="26">
        <f>VLOOKUP($F15,$F$44:$X$63,4,FALSE)</f>
        <v>1</v>
      </c>
      <c r="J15" s="26">
        <f>VLOOKUP($F15,$F$44:$X$63,5,FALSE)</f>
        <v>2</v>
      </c>
      <c r="K15" s="26">
        <f>VLOOKUP($F15,$F$44:$X$63,6,FALSE)</f>
        <v>1.3542105263157895</v>
      </c>
      <c r="L15" s="26">
        <f>VLOOKUP($F15,$F$44:$X$63,7,FALSE)</f>
        <v>1.8184210526315787</v>
      </c>
      <c r="M15" s="26">
        <f>VLOOKUP($F15,$F$44:$X$63,8,FALSE)</f>
        <v>1.1483333333333334</v>
      </c>
      <c r="N15" s="26">
        <f>VLOOKUP($F15,$F$44:$X$63,9,FALSE)</f>
        <v>2.1072222222222221</v>
      </c>
      <c r="O15" s="26">
        <f t="shared" si="8"/>
        <v>0.76755836883376716</v>
      </c>
      <c r="P15" s="26">
        <f t="shared" si="9"/>
        <v>1.3199737955340682</v>
      </c>
      <c r="Q15" s="26">
        <f t="shared" si="10"/>
        <v>0.83830359325348314</v>
      </c>
      <c r="R15" s="26">
        <f t="shared" si="11"/>
        <v>1.3267429792116117</v>
      </c>
      <c r="S15" s="26">
        <f t="shared" si="12"/>
        <v>0.84896039846399074</v>
      </c>
      <c r="T15" s="26">
        <f t="shared" si="13"/>
        <v>1.3289548676922383</v>
      </c>
      <c r="U15" s="26">
        <f t="shared" si="14"/>
        <v>0.8407758769988305</v>
      </c>
      <c r="V15" s="26">
        <f t="shared" si="15"/>
        <v>1.3215112071237884</v>
      </c>
    </row>
    <row r="16" spans="2:22" x14ac:dyDescent="0.35">
      <c r="B16" t="s">
        <v>67</v>
      </c>
      <c r="F16" t="s">
        <v>42</v>
      </c>
      <c r="G16" s="3">
        <f t="shared" si="0"/>
        <v>1.5558997910288186</v>
      </c>
      <c r="H16" s="3">
        <f t="shared" si="1"/>
        <v>0.88871069640861156</v>
      </c>
      <c r="I16" s="3">
        <f t="shared" si="2"/>
        <v>2.0520848520192447</v>
      </c>
      <c r="J16" s="3">
        <f t="shared" si="3"/>
        <v>1.9995990669193759</v>
      </c>
      <c r="K16" s="3">
        <f t="shared" si="4"/>
        <v>2.5217887690139471</v>
      </c>
      <c r="L16" s="3">
        <f t="shared" si="5"/>
        <v>0.78279079797832563</v>
      </c>
      <c r="M16" s="3">
        <f t="shared" si="6"/>
        <v>1.7063117801428778</v>
      </c>
      <c r="N16" s="3">
        <f t="shared" si="7"/>
        <v>1.467830223064587</v>
      </c>
      <c r="O16" s="3">
        <f t="shared" si="8"/>
        <v>1.0313924639884864</v>
      </c>
      <c r="P16" s="3">
        <f t="shared" si="9"/>
        <v>0.74294739301112678</v>
      </c>
      <c r="Q16" s="3">
        <f t="shared" si="10"/>
        <v>1.7202701051087752</v>
      </c>
      <c r="R16" s="3">
        <f t="shared" si="11"/>
        <v>1.3264770116366857</v>
      </c>
      <c r="S16" s="3">
        <f t="shared" si="12"/>
        <v>1.5809202163038416</v>
      </c>
      <c r="T16" s="3">
        <f t="shared" si="13"/>
        <v>0.5720862282431769</v>
      </c>
      <c r="U16" s="3">
        <f t="shared" si="14"/>
        <v>1.249311277256659</v>
      </c>
      <c r="V16" s="3">
        <f t="shared" si="15"/>
        <v>0.92052659158522332</v>
      </c>
    </row>
    <row r="17" spans="2:22" x14ac:dyDescent="0.35">
      <c r="B17" s="2">
        <f>SUM(I11:I30)/20</f>
        <v>1.1928852602420179</v>
      </c>
      <c r="F17" t="s">
        <v>30</v>
      </c>
      <c r="G17" s="3">
        <f t="shared" si="0"/>
        <v>0.77793167128347185</v>
      </c>
      <c r="H17" s="3">
        <f t="shared" si="1"/>
        <v>1.0556628760266318</v>
      </c>
      <c r="I17" s="3">
        <f t="shared" si="2"/>
        <v>0.84268843854789321</v>
      </c>
      <c r="J17" s="3">
        <f t="shared" si="3"/>
        <v>1.5789473684210527</v>
      </c>
      <c r="K17" s="3">
        <f t="shared" si="4"/>
        <v>1.0552578728677651</v>
      </c>
      <c r="L17" s="3">
        <f t="shared" si="5"/>
        <v>1.2966871993001896</v>
      </c>
      <c r="M17" s="3">
        <f t="shared" si="6"/>
        <v>0.91121956553433436</v>
      </c>
      <c r="N17" s="3">
        <f t="shared" si="7"/>
        <v>1.9391831899693834</v>
      </c>
      <c r="O17" s="3">
        <f t="shared" si="8"/>
        <v>0.51568415130976775</v>
      </c>
      <c r="P17" s="3">
        <f t="shared" si="9"/>
        <v>0.88251664440641309</v>
      </c>
      <c r="Q17" s="3">
        <f t="shared" si="10"/>
        <v>0.70642874602786587</v>
      </c>
      <c r="R17" s="3">
        <f t="shared" si="11"/>
        <v>1.0474286677986409</v>
      </c>
      <c r="S17" s="3">
        <f t="shared" si="12"/>
        <v>0.66154569531323515</v>
      </c>
      <c r="T17" s="3">
        <f t="shared" si="13"/>
        <v>0.94765662929956163</v>
      </c>
      <c r="U17" s="3">
        <f t="shared" si="14"/>
        <v>0.66716815328065882</v>
      </c>
      <c r="V17" s="3">
        <f t="shared" si="15"/>
        <v>1.216128176319293</v>
      </c>
    </row>
    <row r="18" spans="2:22" x14ac:dyDescent="0.35">
      <c r="B18" t="s">
        <v>68</v>
      </c>
      <c r="F18" t="s">
        <v>28</v>
      </c>
      <c r="G18" s="3">
        <f t="shared" si="0"/>
        <v>1.277986343976284</v>
      </c>
      <c r="H18" s="3">
        <f t="shared" si="1"/>
        <v>1.0000728969237498</v>
      </c>
      <c r="I18" s="3">
        <f t="shared" si="2"/>
        <v>1.0527773727948679</v>
      </c>
      <c r="J18" s="3">
        <f t="shared" si="3"/>
        <v>1.8417407785391455</v>
      </c>
      <c r="K18" s="3">
        <f t="shared" si="4"/>
        <v>1.4345908052680176</v>
      </c>
      <c r="L18" s="3">
        <f t="shared" si="5"/>
        <v>1.2466569470768336</v>
      </c>
      <c r="M18" s="3">
        <f t="shared" si="6"/>
        <v>1.3394109928561015</v>
      </c>
      <c r="N18" s="3">
        <f t="shared" si="7"/>
        <v>1.364226928123633</v>
      </c>
      <c r="O18" s="3">
        <f t="shared" si="8"/>
        <v>0.8471660526323207</v>
      </c>
      <c r="P18" s="3">
        <f t="shared" si="9"/>
        <v>0.83604434445668896</v>
      </c>
      <c r="Q18" s="3">
        <f t="shared" si="10"/>
        <v>0.88254705450989956</v>
      </c>
      <c r="R18" s="3">
        <f t="shared" si="11"/>
        <v>1.2217583237272696</v>
      </c>
      <c r="S18" s="3">
        <f t="shared" si="12"/>
        <v>0.89935114076133527</v>
      </c>
      <c r="T18" s="3">
        <f t="shared" si="13"/>
        <v>0.91109306932104095</v>
      </c>
      <c r="U18" s="3">
        <f t="shared" si="14"/>
        <v>0.9806773168480083</v>
      </c>
      <c r="V18" s="3">
        <f t="shared" si="15"/>
        <v>0.85555341793719808</v>
      </c>
    </row>
    <row r="19" spans="2:22" x14ac:dyDescent="0.35">
      <c r="B19" s="2">
        <f>SUM(J11:J30)/20</f>
        <v>1.5074509768187783</v>
      </c>
      <c r="F19" s="25" t="s">
        <v>50</v>
      </c>
      <c r="G19" s="26">
        <f>VLOOKUP($F19,$F$44:$X$63,2,FALSE)</f>
        <v>1</v>
      </c>
      <c r="H19" s="26">
        <f>VLOOKUP($F19,$F$44:$X$63,3,FALSE)</f>
        <v>1.9473684210526316</v>
      </c>
      <c r="I19" s="26">
        <f>VLOOKUP($F19,$F$44:$X$63,4,FALSE)</f>
        <v>0.3888888888888889</v>
      </c>
      <c r="J19" s="26">
        <f>VLOOKUP($F19,$F$44:$X$63,5,FALSE)</f>
        <v>1.8333333333333333</v>
      </c>
      <c r="K19" s="26">
        <f>VLOOKUP($F19,$F$44:$X$63,6,FALSE)</f>
        <v>0.96473684210526311</v>
      </c>
      <c r="L19" s="26">
        <f>VLOOKUP($F19,$F$44:$X$63,7,FALSE)</f>
        <v>1.9373684210526316</v>
      </c>
      <c r="M19" s="26">
        <f>VLOOKUP($F19,$F$44:$X$63,8,FALSE)</f>
        <v>0.96277777777777751</v>
      </c>
      <c r="N19" s="26">
        <f>VLOOKUP($F19,$F$44:$X$63,9,FALSE)</f>
        <v>1.8144444444444447</v>
      </c>
      <c r="O19" s="26">
        <f>G19/$B$13</f>
        <v>0.66289131853825334</v>
      </c>
      <c r="P19" s="26">
        <f t="shared" si="9"/>
        <v>1.6279676811586843</v>
      </c>
      <c r="Q19" s="26">
        <f t="shared" si="10"/>
        <v>0.32600695293191012</v>
      </c>
      <c r="R19" s="26">
        <f t="shared" si="11"/>
        <v>1.2161810642773105</v>
      </c>
      <c r="S19" s="26">
        <f t="shared" si="12"/>
        <v>0.60479767212766999</v>
      </c>
      <c r="T19" s="26">
        <f t="shared" si="13"/>
        <v>1.4158850558538727</v>
      </c>
      <c r="U19" s="26">
        <f t="shared" si="14"/>
        <v>0.70491755918673082</v>
      </c>
      <c r="V19" s="26">
        <f t="shared" si="15"/>
        <v>1.1379002379294212</v>
      </c>
    </row>
    <row r="20" spans="2:22" x14ac:dyDescent="0.35">
      <c r="F20" s="25" t="s">
        <v>51</v>
      </c>
      <c r="G20" s="26">
        <f>VLOOKUP($F20,$F$44:$X$63,2,FALSE)</f>
        <v>1.263157894736842</v>
      </c>
      <c r="H20" s="26">
        <f>VLOOKUP($F20,$F$44:$X$63,3,FALSE)</f>
        <v>0.78947368421052633</v>
      </c>
      <c r="I20" s="26">
        <f>VLOOKUP($F20,$F$44:$X$63,4,FALSE)</f>
        <v>0.77777777777777779</v>
      </c>
      <c r="J20" s="26">
        <f>VLOOKUP($F20,$F$44:$X$63,5,FALSE)</f>
        <v>1.1666666666666667</v>
      </c>
      <c r="K20" s="26">
        <f>VLOOKUP($F20,$F$44:$X$63,6,FALSE)</f>
        <v>1.5542105263157893</v>
      </c>
      <c r="L20" s="26">
        <f>VLOOKUP($F20,$F$44:$X$63,7,FALSE)</f>
        <v>1.1410526315789473</v>
      </c>
      <c r="M20" s="26">
        <f>VLOOKUP($F20,$F$44:$X$63,8,FALSE)</f>
        <v>0.88055555555555542</v>
      </c>
      <c r="N20" s="26">
        <f>VLOOKUP($F20,$F$44:$X$63,9,FALSE)</f>
        <v>1.802777777777778</v>
      </c>
      <c r="O20" s="26">
        <f t="shared" si="8"/>
        <v>0.83733640236410944</v>
      </c>
      <c r="P20" s="26">
        <f t="shared" si="9"/>
        <v>0.65998689776703412</v>
      </c>
      <c r="Q20" s="26">
        <f t="shared" si="10"/>
        <v>0.65201390586382024</v>
      </c>
      <c r="R20" s="26">
        <f t="shared" si="11"/>
        <v>0.77393340454010684</v>
      </c>
      <c r="S20" s="26">
        <f t="shared" si="12"/>
        <v>0.97434125793399307</v>
      </c>
      <c r="T20" s="26">
        <f t="shared" si="13"/>
        <v>0.83391437139125124</v>
      </c>
      <c r="U20" s="26">
        <f t="shared" si="14"/>
        <v>0.64471686746160906</v>
      </c>
      <c r="V20" s="26">
        <f t="shared" si="15"/>
        <v>1.1305836717945412</v>
      </c>
    </row>
    <row r="21" spans="2:22" x14ac:dyDescent="0.35">
      <c r="F21" t="s">
        <v>25</v>
      </c>
      <c r="G21" s="3">
        <f t="shared" si="0"/>
        <v>1.9439726393546193</v>
      </c>
      <c r="H21" s="3">
        <f t="shared" si="1"/>
        <v>0.83348520192447884</v>
      </c>
      <c r="I21" s="3">
        <f t="shared" si="2"/>
        <v>1.6840282840064147</v>
      </c>
      <c r="J21" s="3">
        <f t="shared" si="3"/>
        <v>1.2633036885843416</v>
      </c>
      <c r="K21" s="3">
        <f t="shared" si="4"/>
        <v>1.5971312023132624</v>
      </c>
      <c r="L21" s="3">
        <f t="shared" si="5"/>
        <v>1.2837742989745831</v>
      </c>
      <c r="M21" s="3">
        <f t="shared" si="6"/>
        <v>1.828121810759586</v>
      </c>
      <c r="N21" s="3">
        <f t="shared" si="7"/>
        <v>1.3694620207027268</v>
      </c>
      <c r="O21" s="3">
        <f t="shared" si="8"/>
        <v>1.288642586104072</v>
      </c>
      <c r="P21" s="3">
        <f t="shared" si="9"/>
        <v>0.69677979615363128</v>
      </c>
      <c r="Q21" s="3">
        <f t="shared" si="10"/>
        <v>1.4117269616230748</v>
      </c>
      <c r="R21" s="3">
        <f t="shared" si="11"/>
        <v>0.83803964972070377</v>
      </c>
      <c r="S21" s="3">
        <f t="shared" si="12"/>
        <v>1.0012484141619766</v>
      </c>
      <c r="T21" s="3">
        <f t="shared" si="13"/>
        <v>0.93821950706711432</v>
      </c>
      <c r="U21" s="3">
        <f t="shared" si="14"/>
        <v>1.3384969974183576</v>
      </c>
      <c r="V21" s="3">
        <f t="shared" si="15"/>
        <v>0.85883652374381181</v>
      </c>
    </row>
    <row r="22" spans="2:22" x14ac:dyDescent="0.35">
      <c r="B22" t="s">
        <v>77</v>
      </c>
      <c r="F22" t="s">
        <v>41</v>
      </c>
      <c r="G22" s="3">
        <f t="shared" si="0"/>
        <v>2.7369514506487826</v>
      </c>
      <c r="H22" s="3">
        <f t="shared" si="1"/>
        <v>0.84188657238664522</v>
      </c>
      <c r="I22" s="3">
        <f t="shared" si="2"/>
        <v>1.6667517130777083</v>
      </c>
      <c r="J22" s="3">
        <f t="shared" si="3"/>
        <v>0.88871069640861156</v>
      </c>
      <c r="K22" s="3">
        <f t="shared" si="4"/>
        <v>2.542609709870244</v>
      </c>
      <c r="L22" s="3">
        <f t="shared" si="5"/>
        <v>0.98249817757690616</v>
      </c>
      <c r="M22" s="3">
        <f t="shared" si="6"/>
        <v>1.9921831413714344</v>
      </c>
      <c r="N22" s="3">
        <f t="shared" si="7"/>
        <v>1.2708675948874959</v>
      </c>
      <c r="O22" s="3">
        <f t="shared" si="8"/>
        <v>1.8143013558957568</v>
      </c>
      <c r="P22" s="3">
        <f>H22/$B$15</f>
        <v>0.70380320242949923</v>
      </c>
      <c r="Q22" s="3">
        <f t="shared" si="10"/>
        <v>1.3972439501344416</v>
      </c>
      <c r="R22" s="3">
        <f t="shared" si="11"/>
        <v>0.58954533850519375</v>
      </c>
      <c r="S22" s="3">
        <f t="shared" si="12"/>
        <v>1.5939729536015246</v>
      </c>
      <c r="T22" s="3">
        <f t="shared" si="13"/>
        <v>0.71803817586691965</v>
      </c>
      <c r="U22" s="3">
        <f t="shared" si="14"/>
        <v>1.4586178761934856</v>
      </c>
      <c r="V22" s="3">
        <f t="shared" si="15"/>
        <v>0.79700458342887037</v>
      </c>
    </row>
    <row r="23" spans="2:22" x14ac:dyDescent="0.35">
      <c r="B23" s="2">
        <f>SUM(K11:K30)/20</f>
        <v>1.5951398071876368</v>
      </c>
      <c r="F23" t="s">
        <v>36</v>
      </c>
      <c r="G23" s="3">
        <f t="shared" si="0"/>
        <v>2.8889658356417356</v>
      </c>
      <c r="H23" s="3">
        <f t="shared" si="1"/>
        <v>0.72215944987121539</v>
      </c>
      <c r="I23" s="3">
        <f t="shared" si="2"/>
        <v>2.3681659133984541</v>
      </c>
      <c r="J23" s="3">
        <f t="shared" si="3"/>
        <v>1.1574938037614813</v>
      </c>
      <c r="K23" s="3">
        <f t="shared" si="4"/>
        <v>2.7584168610584636</v>
      </c>
      <c r="L23" s="3">
        <f t="shared" si="5"/>
        <v>0.8383056932497448</v>
      </c>
      <c r="M23" s="3">
        <f t="shared" si="6"/>
        <v>2.7884545852165035</v>
      </c>
      <c r="N23" s="3">
        <f t="shared" si="7"/>
        <v>1.1948942994605629</v>
      </c>
      <c r="O23" s="3">
        <f t="shared" si="8"/>
        <v>1.9150703720005171</v>
      </c>
      <c r="P23" s="3">
        <f t="shared" si="9"/>
        <v>0.60371331501729186</v>
      </c>
      <c r="Q23" s="3">
        <f t="shared" si="10"/>
        <v>1.9852419946223412</v>
      </c>
      <c r="R23" s="3">
        <f t="shared" si="11"/>
        <v>0.76784838881074413</v>
      </c>
      <c r="S23" s="3">
        <f t="shared" si="12"/>
        <v>1.7292633840802834</v>
      </c>
      <c r="T23" s="3">
        <f t="shared" si="13"/>
        <v>0.61265812450098212</v>
      </c>
      <c r="U23" s="3">
        <f t="shared" si="14"/>
        <v>2.0416243971176913</v>
      </c>
      <c r="V23" s="3">
        <f t="shared" si="15"/>
        <v>0.74935912853093389</v>
      </c>
    </row>
    <row r="24" spans="2:22" x14ac:dyDescent="0.35">
      <c r="B24" t="s">
        <v>78</v>
      </c>
      <c r="F24" t="s">
        <v>39</v>
      </c>
      <c r="G24" s="3">
        <f t="shared" si="0"/>
        <v>2.105008018661612</v>
      </c>
      <c r="H24" s="3">
        <f t="shared" si="1"/>
        <v>0.89502842980026243</v>
      </c>
      <c r="I24" s="3">
        <f t="shared" si="2"/>
        <v>1.3335763230791662</v>
      </c>
      <c r="J24" s="3">
        <f t="shared" si="3"/>
        <v>1.0558815667978811</v>
      </c>
      <c r="K24" s="3">
        <f t="shared" si="4"/>
        <v>1.8290286484910339</v>
      </c>
      <c r="L24" s="3">
        <f t="shared" si="5"/>
        <v>0.9712607522962533</v>
      </c>
      <c r="M24" s="3">
        <f t="shared" si="6"/>
        <v>1.5717143534042866</v>
      </c>
      <c r="N24" s="3">
        <f t="shared" si="7"/>
        <v>1.1841952787092387</v>
      </c>
      <c r="O24" s="3">
        <f t="shared" si="8"/>
        <v>1.3953915410241924</v>
      </c>
      <c r="P24" s="3">
        <f t="shared" si="9"/>
        <v>0.7482289132764216</v>
      </c>
      <c r="Q24" s="3">
        <f t="shared" si="10"/>
        <v>1.1179418235150329</v>
      </c>
      <c r="R24" s="3">
        <f t="shared" si="11"/>
        <v>0.70044172781402259</v>
      </c>
      <c r="S24" s="3">
        <f t="shared" si="12"/>
        <v>1.1466259197153148</v>
      </c>
      <c r="T24" s="3">
        <f t="shared" si="13"/>
        <v>0.70982553941210114</v>
      </c>
      <c r="U24" s="3">
        <f t="shared" si="14"/>
        <v>1.1507630019231976</v>
      </c>
      <c r="V24" s="3">
        <f t="shared" si="15"/>
        <v>0.74264940628188958</v>
      </c>
    </row>
    <row r="25" spans="2:22" x14ac:dyDescent="0.35">
      <c r="B25" s="2">
        <f>SUM(L11:L30)/20</f>
        <v>1.3683091102930456</v>
      </c>
      <c r="F25" t="s">
        <v>46</v>
      </c>
      <c r="G25" s="3">
        <f t="shared" si="0"/>
        <v>1.0556993244885067</v>
      </c>
      <c r="H25" s="3">
        <f t="shared" si="1"/>
        <v>1.0002186907712494</v>
      </c>
      <c r="I25" s="3">
        <f t="shared" si="2"/>
        <v>0.94736842105263153</v>
      </c>
      <c r="J25" s="3">
        <f t="shared" si="3"/>
        <v>1.9468581425863829</v>
      </c>
      <c r="K25" s="3">
        <f t="shared" si="4"/>
        <v>1.0684686178743257</v>
      </c>
      <c r="L25" s="3">
        <f t="shared" si="5"/>
        <v>1.7325557053992324</v>
      </c>
      <c r="M25" s="3">
        <f t="shared" si="6"/>
        <v>0.95156947076833343</v>
      </c>
      <c r="N25" s="3">
        <f t="shared" si="7"/>
        <v>1.9440574427759152</v>
      </c>
      <c r="O25" s="3">
        <f t="shared" si="8"/>
        <v>0.69981391719012964</v>
      </c>
      <c r="P25" s="3">
        <f t="shared" si="9"/>
        <v>0.83616622569358035</v>
      </c>
      <c r="Q25" s="3">
        <f t="shared" si="10"/>
        <v>0.79418235150329985</v>
      </c>
      <c r="R25" s="3">
        <f t="shared" si="11"/>
        <v>1.2914901860987211</v>
      </c>
      <c r="S25" s="3">
        <f t="shared" si="12"/>
        <v>0.6698275681290432</v>
      </c>
      <c r="T25" s="3">
        <f t="shared" si="13"/>
        <v>1.2662019805072975</v>
      </c>
      <c r="U25" s="3">
        <f t="shared" si="14"/>
        <v>0.69671116659845433</v>
      </c>
      <c r="V25" s="3">
        <f t="shared" si="15"/>
        <v>1.2191849871493312</v>
      </c>
    </row>
    <row r="26" spans="2:22" x14ac:dyDescent="0.35">
      <c r="B26" t="s">
        <v>79</v>
      </c>
      <c r="F26" t="s">
        <v>34</v>
      </c>
      <c r="G26" s="3">
        <f t="shared" si="0"/>
        <v>1.0002915876949994</v>
      </c>
      <c r="H26" s="3">
        <f t="shared" si="1"/>
        <v>1.8886742479467364</v>
      </c>
      <c r="I26" s="3">
        <f t="shared" si="2"/>
        <v>1.5785099868785537</v>
      </c>
      <c r="J26" s="3">
        <f t="shared" si="3"/>
        <v>1.3161539583029598</v>
      </c>
      <c r="K26" s="3">
        <f t="shared" si="4"/>
        <v>1.283433080623998</v>
      </c>
      <c r="L26" s="3">
        <f t="shared" si="5"/>
        <v>1.7392450916071343</v>
      </c>
      <c r="M26" s="3">
        <f t="shared" si="6"/>
        <v>1.6034545852165041</v>
      </c>
      <c r="N26" s="3">
        <f t="shared" si="7"/>
        <v>1.4659385478932787</v>
      </c>
      <c r="O26" s="3">
        <f t="shared" si="8"/>
        <v>0.66308460948986103</v>
      </c>
      <c r="P26" s="3">
        <f t="shared" si="9"/>
        <v>1.5789003265401469</v>
      </c>
      <c r="Q26" s="3">
        <f t="shared" si="10"/>
        <v>1.3232705939868001</v>
      </c>
      <c r="R26" s="3">
        <f t="shared" si="11"/>
        <v>0.87309901187001204</v>
      </c>
      <c r="S26" s="3">
        <f t="shared" si="12"/>
        <v>0.8045897136043495</v>
      </c>
      <c r="T26" s="3">
        <f t="shared" si="13"/>
        <v>1.271090778044039</v>
      </c>
      <c r="U26" s="3">
        <f t="shared" si="14"/>
        <v>1.1740022657009017</v>
      </c>
      <c r="V26" s="3">
        <f t="shared" si="15"/>
        <v>0.91934025731408731</v>
      </c>
    </row>
    <row r="27" spans="2:22" x14ac:dyDescent="0.35">
      <c r="B27" s="2">
        <f>SUM(M11:M30)/20</f>
        <v>1.3658019512076591</v>
      </c>
      <c r="F27" t="s">
        <v>29</v>
      </c>
      <c r="G27" s="3">
        <f t="shared" si="0"/>
        <v>1.8946639451815133</v>
      </c>
      <c r="H27" s="3">
        <f t="shared" si="1"/>
        <v>0.89470039364338827</v>
      </c>
      <c r="I27" s="3">
        <f t="shared" si="2"/>
        <v>1.3336127715410411</v>
      </c>
      <c r="J27" s="3">
        <f t="shared" si="3"/>
        <v>1.610833697817952</v>
      </c>
      <c r="K27" s="3">
        <f t="shared" si="4"/>
        <v>1.659103367837877</v>
      </c>
      <c r="L27" s="3">
        <f t="shared" si="5"/>
        <v>1.3016675171307772</v>
      </c>
      <c r="M27" s="3">
        <f t="shared" si="6"/>
        <v>1.3623489818729653</v>
      </c>
      <c r="N27" s="3">
        <f t="shared" si="7"/>
        <v>1.7224314161442389</v>
      </c>
      <c r="O27" s="3">
        <f t="shared" si="8"/>
        <v>1.2559562808082623</v>
      </c>
      <c r="P27" s="3">
        <f t="shared" si="9"/>
        <v>0.74795468049341585</v>
      </c>
      <c r="Q27" s="3">
        <f t="shared" si="10"/>
        <v>1.1179723783915914</v>
      </c>
      <c r="R27" s="3">
        <f t="shared" si="11"/>
        <v>1.0685811496287234</v>
      </c>
      <c r="S27" s="3">
        <f t="shared" si="12"/>
        <v>1.0400990310454437</v>
      </c>
      <c r="T27" s="3">
        <f t="shared" si="13"/>
        <v>0.95129639007665745</v>
      </c>
      <c r="U27" s="3">
        <f t="shared" si="14"/>
        <v>0.99747183745663803</v>
      </c>
      <c r="V27" s="3">
        <f t="shared" si="15"/>
        <v>1.0801957173440753</v>
      </c>
    </row>
    <row r="28" spans="2:22" x14ac:dyDescent="0.35">
      <c r="B28" t="s">
        <v>80</v>
      </c>
      <c r="F28" t="s">
        <v>35</v>
      </c>
      <c r="G28" s="3">
        <f t="shared" si="0"/>
        <v>1.1580405306896049</v>
      </c>
      <c r="H28" s="3">
        <f t="shared" si="1"/>
        <v>1.4210890800408222</v>
      </c>
      <c r="I28" s="3">
        <f t="shared" si="2"/>
        <v>0.66715264615833214</v>
      </c>
      <c r="J28" s="3">
        <f t="shared" si="3"/>
        <v>1.8887106964086113</v>
      </c>
      <c r="K28" s="3">
        <f t="shared" si="4"/>
        <v>1.5814036302668029</v>
      </c>
      <c r="L28" s="3">
        <f t="shared" si="5"/>
        <v>1.5195513194343198</v>
      </c>
      <c r="M28" s="3">
        <f t="shared" si="6"/>
        <v>0.92086607620158423</v>
      </c>
      <c r="N28" s="3">
        <f t="shared" si="7"/>
        <v>1.652339869757496</v>
      </c>
      <c r="O28" s="3">
        <f t="shared" si="8"/>
        <v>0.76765501430957084</v>
      </c>
      <c r="P28" s="3">
        <f t="shared" si="9"/>
        <v>1.1880068862898843</v>
      </c>
      <c r="Q28" s="3">
        <f t="shared" si="10"/>
        <v>0.55927646052309943</v>
      </c>
      <c r="R28" s="3">
        <f t="shared" si="11"/>
        <v>1.2529168281109995</v>
      </c>
      <c r="S28" s="3">
        <f t="shared" si="12"/>
        <v>0.99138873165916908</v>
      </c>
      <c r="T28" s="3">
        <f t="shared" si="13"/>
        <v>1.1105321948115094</v>
      </c>
      <c r="U28" s="3">
        <f t="shared" si="14"/>
        <v>0.67423104454298288</v>
      </c>
      <c r="V28" s="3">
        <f t="shared" si="15"/>
        <v>1.0362389086611088</v>
      </c>
    </row>
    <row r="29" spans="2:22" x14ac:dyDescent="0.35">
      <c r="B29" s="2">
        <f>SUM(N11:N30)/20</f>
        <v>1.5945549389690756</v>
      </c>
      <c r="F29" t="s">
        <v>43</v>
      </c>
      <c r="G29" s="3">
        <f t="shared" si="0"/>
        <v>1.6111617339748263</v>
      </c>
      <c r="H29" s="3">
        <f t="shared" si="1"/>
        <v>1.7775307382028478</v>
      </c>
      <c r="I29" s="3">
        <f t="shared" si="2"/>
        <v>1.0000364484618749</v>
      </c>
      <c r="J29" s="3">
        <f t="shared" si="3"/>
        <v>1.5262793410118094</v>
      </c>
      <c r="K29" s="3">
        <f t="shared" si="4"/>
        <v>1.4360733464547797</v>
      </c>
      <c r="L29" s="3">
        <f t="shared" si="5"/>
        <v>1.7019870486465469</v>
      </c>
      <c r="M29" s="3">
        <f t="shared" si="6"/>
        <v>1.2468231520629829</v>
      </c>
      <c r="N29" s="3">
        <f t="shared" si="7"/>
        <v>2.005362662195656</v>
      </c>
      <c r="O29" s="3">
        <f t="shared" si="8"/>
        <v>1.0680251262129512</v>
      </c>
      <c r="P29" s="3">
        <f t="shared" si="9"/>
        <v>1.485986196949922</v>
      </c>
      <c r="Q29" s="3">
        <f t="shared" si="10"/>
        <v>0.83833414813004148</v>
      </c>
      <c r="R29" s="3">
        <f t="shared" si="11"/>
        <v>1.0124902000015716</v>
      </c>
      <c r="S29" s="3">
        <f t="shared" si="12"/>
        <v>0.90028055220231484</v>
      </c>
      <c r="T29" s="3">
        <f t="shared" si="13"/>
        <v>1.2438615191870197</v>
      </c>
      <c r="U29" s="3">
        <f t="shared" si="14"/>
        <v>0.91288722421323698</v>
      </c>
      <c r="V29" s="3">
        <f t="shared" si="15"/>
        <v>1.2576315893462906</v>
      </c>
    </row>
    <row r="30" spans="2:22" x14ac:dyDescent="0.35">
      <c r="F30" t="s">
        <v>49</v>
      </c>
      <c r="G30" s="3">
        <f t="shared" si="0"/>
        <v>1.4210890800408222</v>
      </c>
      <c r="H30" s="3">
        <f t="shared" si="1"/>
        <v>1.0000728969237498</v>
      </c>
      <c r="I30" s="3">
        <f t="shared" si="2"/>
        <v>1.3331024930747923</v>
      </c>
      <c r="J30" s="3">
        <f t="shared" si="3"/>
        <v>1.0557357729503816</v>
      </c>
      <c r="K30" s="3">
        <f t="shared" si="4"/>
        <v>1.4806961656218109</v>
      </c>
      <c r="L30" s="3">
        <f t="shared" si="5"/>
        <v>0.97692885260242013</v>
      </c>
      <c r="M30" s="3">
        <f t="shared" si="6"/>
        <v>1.4253749331778198</v>
      </c>
      <c r="N30" s="3">
        <f t="shared" si="7"/>
        <v>1.0862453831948291</v>
      </c>
      <c r="O30" s="3">
        <f t="shared" si="8"/>
        <v>0.94202761402857416</v>
      </c>
      <c r="P30" s="3">
        <f t="shared" si="9"/>
        <v>0.83604434445668896</v>
      </c>
      <c r="Q30" s="3">
        <f t="shared" si="10"/>
        <v>1.117544610119775</v>
      </c>
      <c r="R30" s="3">
        <f t="shared" si="11"/>
        <v>0.70034501233223145</v>
      </c>
      <c r="S30" s="3">
        <f>K30/$B$23</f>
        <v>0.92825478929799921</v>
      </c>
      <c r="T30" s="3">
        <f t="shared" si="13"/>
        <v>0.71396795157871529</v>
      </c>
      <c r="U30" s="3">
        <f t="shared" si="14"/>
        <v>1.0436175844656581</v>
      </c>
      <c r="V30" s="3">
        <f t="shared" si="15"/>
        <v>0.68122167298739622</v>
      </c>
    </row>
    <row r="41" spans="2:24" x14ac:dyDescent="0.35">
      <c r="G41" t="s">
        <v>100</v>
      </c>
      <c r="H41" t="s">
        <v>125</v>
      </c>
      <c r="I41">
        <f>SUM(W44:X63)</f>
        <v>740</v>
      </c>
    </row>
    <row r="43" spans="2:24" x14ac:dyDescent="0.35">
      <c r="G43" t="s">
        <v>58</v>
      </c>
      <c r="H43" t="s">
        <v>57</v>
      </c>
      <c r="I43" t="s">
        <v>56</v>
      </c>
      <c r="J43" t="s">
        <v>55</v>
      </c>
      <c r="K43" t="s">
        <v>61</v>
      </c>
      <c r="L43" t="s">
        <v>62</v>
      </c>
      <c r="M43" t="s">
        <v>63</v>
      </c>
      <c r="N43" t="s">
        <v>64</v>
      </c>
      <c r="O43" t="s">
        <v>69</v>
      </c>
      <c r="P43" t="s">
        <v>71</v>
      </c>
      <c r="Q43" t="s">
        <v>70</v>
      </c>
      <c r="R43" t="s">
        <v>72</v>
      </c>
      <c r="S43" s="3" t="s">
        <v>73</v>
      </c>
      <c r="T43" s="3" t="s">
        <v>74</v>
      </c>
      <c r="U43" s="3" t="s">
        <v>75</v>
      </c>
      <c r="V43" s="3" t="s">
        <v>76</v>
      </c>
      <c r="W43" t="s">
        <v>59</v>
      </c>
      <c r="X43" t="s">
        <v>60</v>
      </c>
    </row>
    <row r="44" spans="2:24" x14ac:dyDescent="0.35">
      <c r="F44" t="s">
        <v>38</v>
      </c>
      <c r="G44" s="3">
        <f>SUMIF('EPL DATA'!$F$1143:$F$1512,$F44,'EPL DATA'!$Q$1143:$Q$1512)/$W44</f>
        <v>1.1578947368421053</v>
      </c>
      <c r="H44" s="3">
        <f>SUMIF('EPL DATA'!$F$1143:$F$1512,$F44,'EPL DATA'!$R$1143:$R$1512)/$W44</f>
        <v>1.5789473684210527</v>
      </c>
      <c r="I44" s="3">
        <f>SUMIF('EPL DATA'!$G$1143:$G$1512,$F44,'EPL DATA'!$R$1143:$R$1512)/$X44</f>
        <v>0.83333333333333337</v>
      </c>
      <c r="J44" s="3">
        <f>SUMIF('EPL DATA'!$G$1143:$G$1512,$F44,'EPL DATA'!$Q$1143:$Q$1512)/$X44</f>
        <v>1.8888888888888888</v>
      </c>
      <c r="K44" s="3">
        <f>SUMIF('EPL DATA'!$F$1143:$F$1512,$F44,'EPL DATA'!$S$1143:$S$1512)/$W44</f>
        <v>1.3094736842105263</v>
      </c>
      <c r="L44" s="3">
        <f>SUMIF('EPL DATA'!$F$1143:$F$1512,$F44,'EPL DATA'!$T$1143:$T$1512)/$W44</f>
        <v>1.6331578947368419</v>
      </c>
      <c r="M44" s="3">
        <f>SUMIF('EPL DATA'!$G$1143:$G$1512,$F44,'EPL DATA'!$T$1143:$T$1512)/$X44</f>
        <v>1.1344444444444446</v>
      </c>
      <c r="N44" s="3">
        <f>SUMIF('EPL DATA'!$G$1143:$G$1512,$F44,'EPL DATA'!$S$1143:$S$1512)/$X44</f>
        <v>1.7755555555555551</v>
      </c>
      <c r="O44" s="3">
        <f>G44/$B$46</f>
        <v>0.76759061833688691</v>
      </c>
      <c r="P44" s="3">
        <f>H44/$B$48</f>
        <v>1.3199706673185039</v>
      </c>
      <c r="Q44" s="3">
        <f>I44/$B$50</f>
        <v>0.69861502635126871</v>
      </c>
      <c r="R44" s="3">
        <f>J44/$B$52</f>
        <v>1.2530307438657742</v>
      </c>
      <c r="S44" s="3">
        <f>K44/$B$56</f>
        <v>0.82093020058567179</v>
      </c>
      <c r="T44" s="3">
        <f>L44/$B$58</f>
        <v>1.1935265703579998</v>
      </c>
      <c r="U44" s="3">
        <f>M44/$B$60</f>
        <v>0.83059042395477767</v>
      </c>
      <c r="V44" s="3">
        <f>N44/$B$62</f>
        <v>1.1135122745089048</v>
      </c>
      <c r="W44">
        <f>COUNTIF('EPL DATA'!$F$1143:$F$1512, $F44)</f>
        <v>19</v>
      </c>
      <c r="X44">
        <f>COUNTIF('EPL DATA'!$G$1143:$G$1512, $F44)</f>
        <v>18</v>
      </c>
    </row>
    <row r="45" spans="2:24" x14ac:dyDescent="0.35">
      <c r="B45" t="s">
        <v>65</v>
      </c>
      <c r="F45" t="s">
        <v>40</v>
      </c>
      <c r="G45" s="3">
        <f>SUMIF('EPL DATA'!$F$1143:$F$1512,$F45,'EPL DATA'!$Q$1143:$Q$1512)/$W45</f>
        <v>1.8333333333333333</v>
      </c>
      <c r="H45" s="3">
        <f>SUMIF('EPL DATA'!$F$1143:$F$1512,$F45,'EPL DATA'!$R$1143:$R$1512)/$W45</f>
        <v>1.2222222222222223</v>
      </c>
      <c r="I45" s="3">
        <f>SUMIF('EPL DATA'!$G$1143:$G$1512,$F45,'EPL DATA'!$R$1143:$R$1512)/$X45</f>
        <v>1.0526315789473684</v>
      </c>
      <c r="J45" s="3">
        <f>SUMIF('EPL DATA'!$G$1143:$G$1512,$F45,'EPL DATA'!$Q$1143:$Q$1512)/$X45</f>
        <v>1.263157894736842</v>
      </c>
      <c r="K45" s="3">
        <f>SUMIF('EPL DATA'!$F$1143:$F$1512,$F45,'EPL DATA'!$S$1143:$S$1512)/$W45</f>
        <v>1.4822222222222221</v>
      </c>
      <c r="L45" s="3">
        <f>SUMIF('EPL DATA'!$F$1143:$F$1512,$F45,'EPL DATA'!$T$1143:$T$1512)/$W45</f>
        <v>1.5822222222222222</v>
      </c>
      <c r="M45" s="3">
        <f>SUMIF('EPL DATA'!$G$1143:$G$1512,$F45,'EPL DATA'!$T$1143:$T$1512)/$X45</f>
        <v>1.2573684210526317</v>
      </c>
      <c r="N45" s="3">
        <f>SUMIF('EPL DATA'!$G$1143:$G$1512,$F45,'EPL DATA'!$S$1143:$S$1512)/$X45</f>
        <v>1.4652631578947366</v>
      </c>
      <c r="O45" s="3">
        <f>G45/$B$46</f>
        <v>1.2153518123667375</v>
      </c>
      <c r="P45" s="3">
        <f t="shared" ref="P45:P63" si="16">H45/$B$48</f>
        <v>1.0217550721095086</v>
      </c>
      <c r="Q45" s="3">
        <f t="shared" ref="Q45:Q63" si="17">I45/$B$50</f>
        <v>0.88246108591739192</v>
      </c>
      <c r="R45" s="3">
        <f t="shared" ref="R45:R63" si="18">J45/$B$52</f>
        <v>0.8379400640093102</v>
      </c>
      <c r="S45" s="3">
        <f t="shared" ref="S45:S63" si="19">K45/$B$56</f>
        <v>0.9292290489480366</v>
      </c>
      <c r="T45" s="3">
        <f t="shared" ref="T45:T63" si="20">L45/$B$58</f>
        <v>1.1563023198913613</v>
      </c>
      <c r="U45" s="3">
        <f t="shared" ref="U45:U63" si="21">M45/$B$60</f>
        <v>0.92058996368120383</v>
      </c>
      <c r="V45" s="3">
        <f t="shared" ref="V45:V63" si="22">N45/$B$62</f>
        <v>0.91891718431246694</v>
      </c>
      <c r="W45">
        <f>COUNTIF('EPL DATA'!$F$1143:$F$1512, $F45)</f>
        <v>18</v>
      </c>
      <c r="X45">
        <f>COUNTIF('EPL DATA'!$G$1143:$G$1512, $F45)</f>
        <v>19</v>
      </c>
    </row>
    <row r="46" spans="2:24" x14ac:dyDescent="0.35">
      <c r="B46" s="2">
        <f>SUM(G44:G63)/20</f>
        <v>1.508479532163743</v>
      </c>
      <c r="F46" t="s">
        <v>45</v>
      </c>
      <c r="G46" s="3">
        <f>SUMIF('EPL DATA'!$F$1143:$F$1512,$F46,'EPL DATA'!$Q$1143:$Q$1512)/$W46</f>
        <v>1.0526315789473684</v>
      </c>
      <c r="H46" s="3">
        <f>SUMIF('EPL DATA'!$F$1143:$F$1512,$F46,'EPL DATA'!$R$1143:$R$1512)/$W46</f>
        <v>1.4210526315789473</v>
      </c>
      <c r="I46" s="3">
        <f>SUMIF('EPL DATA'!$G$1143:$G$1512,$F46,'EPL DATA'!$R$1143:$R$1512)/$X46</f>
        <v>0.94444444444444442</v>
      </c>
      <c r="J46" s="3">
        <f>SUMIF('EPL DATA'!$G$1143:$G$1512,$F46,'EPL DATA'!$Q$1143:$Q$1512)/$X46</f>
        <v>1.4444444444444444</v>
      </c>
      <c r="K46" s="3">
        <f>SUMIF('EPL DATA'!$F$1143:$F$1512,$F46,'EPL DATA'!$S$1143:$S$1512)/$W46</f>
        <v>1.3252631578947365</v>
      </c>
      <c r="L46" s="3">
        <f>SUMIF('EPL DATA'!$F$1143:$F$1512,$F46,'EPL DATA'!$T$1143:$T$1512)/$W46</f>
        <v>1.4736842105263157</v>
      </c>
      <c r="M46" s="3">
        <f>SUMIF('EPL DATA'!$G$1143:$G$1512,$F46,'EPL DATA'!$T$1143:$T$1512)/$X46</f>
        <v>1.2566666666666666</v>
      </c>
      <c r="N46" s="3">
        <f>SUMIF('EPL DATA'!$G$1143:$G$1512,$F46,'EPL DATA'!$S$1143:$S$1512)/$X46</f>
        <v>1.6744444444444442</v>
      </c>
      <c r="O46" s="3">
        <f t="shared" ref="O46:O63" si="23">G46/$B$46</f>
        <v>0.69780965303353348</v>
      </c>
      <c r="P46" s="3">
        <f t="shared" si="16"/>
        <v>1.1879736005866535</v>
      </c>
      <c r="Q46" s="3">
        <f t="shared" si="17"/>
        <v>0.79176369653143774</v>
      </c>
      <c r="R46" s="3">
        <f t="shared" si="18"/>
        <v>0.95819998060323908</v>
      </c>
      <c r="S46" s="3">
        <f t="shared" si="19"/>
        <v>0.83082887663774962</v>
      </c>
      <c r="T46" s="3">
        <f t="shared" si="20"/>
        <v>1.0769817586214629</v>
      </c>
      <c r="U46" s="3">
        <f t="shared" si="21"/>
        <v>0.92007616992444008</v>
      </c>
      <c r="V46" s="3">
        <f t="shared" si="22"/>
        <v>1.0501020010543929</v>
      </c>
      <c r="W46">
        <f>COUNTIF('EPL DATA'!$F$1143:$F$1512, $F46)</f>
        <v>19</v>
      </c>
      <c r="X46">
        <f>COUNTIF('EPL DATA'!$G$1143:$G$1512, $F46)</f>
        <v>18</v>
      </c>
    </row>
    <row r="47" spans="2:24" x14ac:dyDescent="0.35">
      <c r="B47" t="s">
        <v>66</v>
      </c>
      <c r="F47" t="s">
        <v>32</v>
      </c>
      <c r="G47" s="3">
        <f>SUMIF('EPL DATA'!$F$1143:$F$1512,$F47,'EPL DATA'!$Q$1143:$Q$1512)/$W47</f>
        <v>1.2777777777777777</v>
      </c>
      <c r="H47" s="3">
        <f>SUMIF('EPL DATA'!$F$1143:$F$1512,$F47,'EPL DATA'!$R$1143:$R$1512)/$W47</f>
        <v>1.1666666666666667</v>
      </c>
      <c r="I47" s="3">
        <f>SUMIF('EPL DATA'!$G$1143:$G$1512,$F47,'EPL DATA'!$R$1143:$R$1512)/$X47</f>
        <v>1</v>
      </c>
      <c r="J47" s="3">
        <f>SUMIF('EPL DATA'!$G$1143:$G$1512,$F47,'EPL DATA'!$Q$1143:$Q$1512)/$X47</f>
        <v>1.4210526315789473</v>
      </c>
      <c r="K47" s="3">
        <f>SUMIF('EPL DATA'!$F$1143:$F$1512,$F47,'EPL DATA'!$S$1143:$S$1512)/$W47</f>
        <v>1.6644444444444444</v>
      </c>
      <c r="L47" s="3">
        <f>SUMIF('EPL DATA'!$F$1143:$F$1512,$F47,'EPL DATA'!$T$1143:$T$1512)/$W47</f>
        <v>1.4066666666666667</v>
      </c>
      <c r="M47" s="3">
        <f>SUMIF('EPL DATA'!$G$1143:$G$1512,$F47,'EPL DATA'!$T$1143:$T$1512)/$X47</f>
        <v>1.0278947368421054</v>
      </c>
      <c r="N47" s="3">
        <f>SUMIF('EPL DATA'!$G$1143:$G$1512,$F47,'EPL DATA'!$S$1143:$S$1512)/$X47</f>
        <v>1.583684210526316</v>
      </c>
      <c r="O47" s="3">
        <f t="shared" si="23"/>
        <v>0.84706338437681694</v>
      </c>
      <c r="P47" s="3">
        <f t="shared" si="16"/>
        <v>0.97531165974089451</v>
      </c>
      <c r="Q47" s="3">
        <f t="shared" si="17"/>
        <v>0.83833803162152232</v>
      </c>
      <c r="R47" s="3">
        <f t="shared" si="18"/>
        <v>0.94268257201047401</v>
      </c>
      <c r="S47" s="3">
        <f t="shared" si="19"/>
        <v>1.0434671029416485</v>
      </c>
      <c r="T47" s="3">
        <f t="shared" si="20"/>
        <v>1.0280047310270108</v>
      </c>
      <c r="U47" s="3">
        <f t="shared" si="21"/>
        <v>0.7525794052195024</v>
      </c>
      <c r="V47" s="3">
        <f t="shared" si="22"/>
        <v>0.9931831205446171</v>
      </c>
      <c r="W47">
        <f>COUNTIF('EPL DATA'!$F$1143:$F$1512, $F47)</f>
        <v>18</v>
      </c>
      <c r="X47">
        <f>COUNTIF('EPL DATA'!$G$1143:$G$1512, $F47)</f>
        <v>19</v>
      </c>
    </row>
    <row r="48" spans="2:24" x14ac:dyDescent="0.35">
      <c r="B48" s="2">
        <f>SUM(H44:H63)/20</f>
        <v>1.1961988304093569</v>
      </c>
      <c r="F48" t="s">
        <v>52</v>
      </c>
      <c r="G48" s="3">
        <f>SUMIF('EPL DATA'!$F$1143:$F$1512,$F48,'EPL DATA'!$Q$1143:$Q$1512)/$W48</f>
        <v>1.1578947368421053</v>
      </c>
      <c r="H48" s="3">
        <f>SUMIF('EPL DATA'!$F$1143:$F$1512,$F48,'EPL DATA'!$R$1143:$R$1512)/$W48</f>
        <v>1.5789473684210527</v>
      </c>
      <c r="I48" s="3">
        <f>SUMIF('EPL DATA'!$G$1143:$G$1512,$F48,'EPL DATA'!$R$1143:$R$1512)/$X48</f>
        <v>1</v>
      </c>
      <c r="J48" s="3">
        <f>SUMIF('EPL DATA'!$G$1143:$G$1512,$F48,'EPL DATA'!$Q$1143:$Q$1512)/$X48</f>
        <v>2</v>
      </c>
      <c r="K48" s="3">
        <f>SUMIF('EPL DATA'!$F$1143:$F$1512,$F48,'EPL DATA'!$S$1143:$S$1512)/$W48</f>
        <v>1.3542105263157895</v>
      </c>
      <c r="L48" s="3">
        <f>SUMIF('EPL DATA'!$F$1143:$F$1512,$F48,'EPL DATA'!$T$1143:$T$1512)/$W48</f>
        <v>1.8184210526315787</v>
      </c>
      <c r="M48" s="3">
        <f>SUMIF('EPL DATA'!$G$1143:$G$1512,$F48,'EPL DATA'!$T$1143:$T$1512)/$X48</f>
        <v>1.1483333333333334</v>
      </c>
      <c r="N48" s="3">
        <f>SUMIF('EPL DATA'!$G$1143:$G$1512,$F48,'EPL DATA'!$S$1143:$S$1512)/$X48</f>
        <v>2.1072222222222221</v>
      </c>
      <c r="O48" s="3">
        <f t="shared" si="23"/>
        <v>0.76759061833688691</v>
      </c>
      <c r="P48" s="3">
        <f t="shared" si="16"/>
        <v>1.3199706673185039</v>
      </c>
      <c r="Q48" s="3">
        <f t="shared" si="17"/>
        <v>0.83833803162152232</v>
      </c>
      <c r="R48" s="3">
        <f t="shared" si="18"/>
        <v>1.326738434681408</v>
      </c>
      <c r="S48" s="3">
        <f t="shared" si="19"/>
        <v>0.84897644939989292</v>
      </c>
      <c r="T48" s="3">
        <f t="shared" si="20"/>
        <v>1.3289185628704123</v>
      </c>
      <c r="U48" s="3">
        <f t="shared" si="21"/>
        <v>0.84075925872405743</v>
      </c>
      <c r="V48" s="3">
        <f t="shared" si="22"/>
        <v>1.3215119077635409</v>
      </c>
      <c r="W48">
        <f>COUNTIF('EPL DATA'!$F$1143:$F$1512, $F48)</f>
        <v>19</v>
      </c>
      <c r="X48">
        <f>COUNTIF('EPL DATA'!$G$1143:$G$1512, $F48)</f>
        <v>18</v>
      </c>
    </row>
    <row r="49" spans="2:25" x14ac:dyDescent="0.35">
      <c r="B49" t="s">
        <v>67</v>
      </c>
      <c r="F49" t="s">
        <v>42</v>
      </c>
      <c r="G49" s="3">
        <f>SUMIF('EPL DATA'!$F$1143:$F$1512,$F49,'EPL DATA'!$Q$1143:$Q$1512)/$W49</f>
        <v>1.5555555555555556</v>
      </c>
      <c r="H49" s="3">
        <f>SUMIF('EPL DATA'!$F$1143:$F$1512,$F49,'EPL DATA'!$R$1143:$R$1512)/$W49</f>
        <v>0.88888888888888884</v>
      </c>
      <c r="I49" s="3">
        <f>SUMIF('EPL DATA'!$G$1143:$G$1512,$F49,'EPL DATA'!$R$1143:$R$1512)/$X49</f>
        <v>2.0526315789473686</v>
      </c>
      <c r="J49" s="3">
        <f>SUMIF('EPL DATA'!$G$1143:$G$1512,$F49,'EPL DATA'!$Q$1143:$Q$1512)/$X49</f>
        <v>2</v>
      </c>
      <c r="K49" s="3">
        <f>SUMIF('EPL DATA'!$F$1143:$F$1512,$F49,'EPL DATA'!$S$1143:$S$1512)/$W49</f>
        <v>2.5222222222222217</v>
      </c>
      <c r="L49" s="3">
        <f>SUMIF('EPL DATA'!$F$1143:$F$1512,$F49,'EPL DATA'!$T$1143:$T$1512)/$W49</f>
        <v>0.78277777777777802</v>
      </c>
      <c r="M49" s="3">
        <f>SUMIF('EPL DATA'!$G$1143:$G$1512,$F49,'EPL DATA'!$T$1143:$T$1512)/$X49</f>
        <v>1.706315789473684</v>
      </c>
      <c r="N49" s="3">
        <f>SUMIF('EPL DATA'!$G$1143:$G$1512,$F49,'EPL DATA'!$S$1143:$S$1512)/$X49</f>
        <v>1.4678947368421056</v>
      </c>
      <c r="O49" s="3">
        <f t="shared" si="23"/>
        <v>1.0312075983717772</v>
      </c>
      <c r="P49" s="3">
        <f t="shared" si="16"/>
        <v>0.74309459789782428</v>
      </c>
      <c r="Q49" s="3">
        <f t="shared" si="17"/>
        <v>1.7207991175389143</v>
      </c>
      <c r="R49" s="3">
        <f t="shared" si="18"/>
        <v>1.326738434681408</v>
      </c>
      <c r="S49" s="3">
        <f t="shared" si="19"/>
        <v>1.5812218449115765</v>
      </c>
      <c r="T49" s="3">
        <f t="shared" si="20"/>
        <v>0.57206108452490467</v>
      </c>
      <c r="U49" s="3">
        <f t="shared" si="21"/>
        <v>1.2492895195707252</v>
      </c>
      <c r="V49" s="3">
        <f t="shared" si="22"/>
        <v>0.92056753845095951</v>
      </c>
      <c r="W49">
        <f>COUNTIF('EPL DATA'!$F$1143:$F$1512, $F49)</f>
        <v>18</v>
      </c>
      <c r="X49">
        <f>COUNTIF('EPL DATA'!$G$1143:$G$1512, $F49)</f>
        <v>19</v>
      </c>
    </row>
    <row r="50" spans="2:25" x14ac:dyDescent="0.35">
      <c r="B50" s="2">
        <f>SUM(I44:I63)/20</f>
        <v>1.1928362573099414</v>
      </c>
      <c r="F50" t="s">
        <v>30</v>
      </c>
      <c r="G50" s="3">
        <f>SUMIF('EPL DATA'!$F$1143:$F$1512,$F50,'EPL DATA'!$Q$1143:$Q$1512)/$W50</f>
        <v>0.77777777777777779</v>
      </c>
      <c r="H50" s="3">
        <f>SUMIF('EPL DATA'!$F$1143:$F$1512,$F50,'EPL DATA'!$R$1143:$R$1512)/$W50</f>
        <v>1.0555555555555556</v>
      </c>
      <c r="I50" s="3">
        <f>SUMIF('EPL DATA'!$G$1143:$G$1512,$F50,'EPL DATA'!$R$1143:$R$1512)/$X50</f>
        <v>0.84210526315789469</v>
      </c>
      <c r="J50" s="3">
        <f>SUMIF('EPL DATA'!$G$1143:$G$1512,$F50,'EPL DATA'!$Q$1143:$Q$1512)/$X50</f>
        <v>1.5789473684210527</v>
      </c>
      <c r="K50" s="3">
        <f>SUMIF('EPL DATA'!$F$1143:$F$1512,$F50,'EPL DATA'!$S$1143:$S$1512)/$W50</f>
        <v>1.0550000000000002</v>
      </c>
      <c r="L50" s="3">
        <f>SUMIF('EPL DATA'!$F$1143:$F$1512,$F50,'EPL DATA'!$T$1143:$T$1512)/$W50</f>
        <v>1.2966666666666666</v>
      </c>
      <c r="M50" s="3">
        <f>SUMIF('EPL DATA'!$G$1143:$G$1512,$F50,'EPL DATA'!$T$1143:$T$1512)/$X50</f>
        <v>0.91105263157894734</v>
      </c>
      <c r="N50" s="3">
        <f>SUMIF('EPL DATA'!$G$1143:$G$1512,$F50,'EPL DATA'!$S$1143:$S$1512)/$X50</f>
        <v>1.9394736842105265</v>
      </c>
      <c r="O50" s="3">
        <f t="shared" si="23"/>
        <v>0.51560379918588861</v>
      </c>
      <c r="P50" s="3">
        <f t="shared" si="16"/>
        <v>0.88242483500366642</v>
      </c>
      <c r="Q50" s="3">
        <f t="shared" si="17"/>
        <v>0.70596886873391351</v>
      </c>
      <c r="R50" s="3">
        <f t="shared" si="18"/>
        <v>1.0474250800116378</v>
      </c>
      <c r="S50" s="3">
        <f t="shared" si="19"/>
        <v>0.66139653821301425</v>
      </c>
      <c r="T50" s="3">
        <f t="shared" si="20"/>
        <v>0.9476157354727659</v>
      </c>
      <c r="U50" s="3">
        <f t="shared" si="21"/>
        <v>0.66703274471836072</v>
      </c>
      <c r="V50" s="3">
        <f t="shared" si="22"/>
        <v>1.2163110000687649</v>
      </c>
      <c r="W50">
        <f>COUNTIF('EPL DATA'!$F$1143:$F$1512, $F50)</f>
        <v>18</v>
      </c>
      <c r="X50">
        <f>COUNTIF('EPL DATA'!$G$1143:$G$1512, $F50)</f>
        <v>19</v>
      </c>
    </row>
    <row r="51" spans="2:25" x14ac:dyDescent="0.35">
      <c r="B51" t="s">
        <v>68</v>
      </c>
      <c r="F51" t="s">
        <v>28</v>
      </c>
      <c r="G51" s="3">
        <f>SUMIF('EPL DATA'!$F$1143:$F$1512,$F51,'EPL DATA'!$Q$1143:$Q$1512)/$W51</f>
        <v>1.2777777777777777</v>
      </c>
      <c r="H51" s="3">
        <f>SUMIF('EPL DATA'!$F$1143:$F$1512,$F51,'EPL DATA'!$R$1143:$R$1512)/$W51</f>
        <v>1</v>
      </c>
      <c r="I51" s="3">
        <f>SUMIF('EPL DATA'!$G$1143:$G$1512,$F51,'EPL DATA'!$R$1143:$R$1512)/$X51</f>
        <v>1.0526315789473684</v>
      </c>
      <c r="J51" s="3">
        <f>SUMIF('EPL DATA'!$G$1143:$G$1512,$F51,'EPL DATA'!$Q$1143:$Q$1512)/$X51</f>
        <v>1.8421052631578947</v>
      </c>
      <c r="K51" s="3">
        <f>SUMIF('EPL DATA'!$F$1143:$F$1512,$F51,'EPL DATA'!$S$1143:$S$1512)/$W51</f>
        <v>1.4344444444444444</v>
      </c>
      <c r="L51" s="3">
        <f>SUMIF('EPL DATA'!$F$1143:$F$1512,$F51,'EPL DATA'!$T$1143:$T$1512)/$W51</f>
        <v>1.246666666666667</v>
      </c>
      <c r="M51" s="3">
        <f>SUMIF('EPL DATA'!$G$1143:$G$1512,$F51,'EPL DATA'!$T$1143:$T$1512)/$X51</f>
        <v>1.3394736842105264</v>
      </c>
      <c r="N51" s="3">
        <f>SUMIF('EPL DATA'!$G$1143:$G$1512,$F51,'EPL DATA'!$S$1143:$S$1512)/$X51</f>
        <v>1.3642105263157893</v>
      </c>
      <c r="O51" s="3">
        <f t="shared" si="23"/>
        <v>0.84706338437681694</v>
      </c>
      <c r="P51" s="3">
        <f t="shared" si="16"/>
        <v>0.83598142263505237</v>
      </c>
      <c r="Q51" s="3">
        <f t="shared" si="17"/>
        <v>0.88246108591739192</v>
      </c>
      <c r="R51" s="3">
        <f t="shared" si="18"/>
        <v>1.221995926680244</v>
      </c>
      <c r="S51" s="3">
        <f t="shared" si="19"/>
        <v>0.89927638844971169</v>
      </c>
      <c r="T51" s="3">
        <f t="shared" si="20"/>
        <v>0.91107528294810936</v>
      </c>
      <c r="U51" s="3">
        <f t="shared" si="21"/>
        <v>0.98070383322254662</v>
      </c>
      <c r="V51" s="3">
        <f t="shared" si="22"/>
        <v>0.85554358539436581</v>
      </c>
      <c r="W51">
        <f>COUNTIF('EPL DATA'!$F$1143:$F$1512, $F51)</f>
        <v>18</v>
      </c>
      <c r="X51">
        <f>COUNTIF('EPL DATA'!$G$1143:$G$1512, $F51)</f>
        <v>19</v>
      </c>
    </row>
    <row r="52" spans="2:25" x14ac:dyDescent="0.35">
      <c r="B52" s="2">
        <f>SUM(J44:J63)/20</f>
        <v>1.5074561403508775</v>
      </c>
      <c r="F52" t="s">
        <v>50</v>
      </c>
      <c r="G52" s="3">
        <f>SUMIF('EPL DATA'!$F$1143:$F$1512,$F52,'EPL DATA'!$Q$1143:$Q$1512)/$W52</f>
        <v>1</v>
      </c>
      <c r="H52" s="3">
        <f>SUMIF('EPL DATA'!$F$1143:$F$1512,$F52,'EPL DATA'!$R$1143:$R$1512)/$W52</f>
        <v>1.9473684210526316</v>
      </c>
      <c r="I52" s="3">
        <f>SUMIF('EPL DATA'!$G$1143:$G$1512,$F52,'EPL DATA'!$R$1143:$R$1512)/$X52</f>
        <v>0.3888888888888889</v>
      </c>
      <c r="J52" s="3">
        <f>SUMIF('EPL DATA'!$G$1143:$G$1512,$F52,'EPL DATA'!$Q$1143:$Q$1512)/$X52</f>
        <v>1.8333333333333333</v>
      </c>
      <c r="K52" s="3">
        <f>SUMIF('EPL DATA'!$F$1143:$F$1512,$F52,'EPL DATA'!$S$1143:$S$1512)/$W52</f>
        <v>0.96473684210526311</v>
      </c>
      <c r="L52" s="3">
        <f>SUMIF('EPL DATA'!$F$1143:$F$1512,$F52,'EPL DATA'!$T$1143:$T$1512)/$W52</f>
        <v>1.9373684210526316</v>
      </c>
      <c r="M52" s="3">
        <f>SUMIF('EPL DATA'!$G$1143:$G$1512,$F52,'EPL DATA'!$T$1143:$T$1512)/$X52</f>
        <v>0.96277777777777751</v>
      </c>
      <c r="N52" s="3">
        <f>SUMIF('EPL DATA'!$G$1143:$G$1512,$F52,'EPL DATA'!$S$1143:$S$1512)/$X52</f>
        <v>1.8144444444444447</v>
      </c>
      <c r="O52" s="3">
        <f t="shared" si="23"/>
        <v>0.66291917038185677</v>
      </c>
      <c r="P52" s="3">
        <f t="shared" si="16"/>
        <v>1.6279638230261548</v>
      </c>
      <c r="Q52" s="3">
        <f t="shared" si="17"/>
        <v>0.32602034563059201</v>
      </c>
      <c r="R52" s="3">
        <f t="shared" si="18"/>
        <v>1.2161768984579573</v>
      </c>
      <c r="S52" s="3">
        <f t="shared" si="19"/>
        <v>0.60480910678196798</v>
      </c>
      <c r="T52" s="3">
        <f t="shared" si="20"/>
        <v>1.4158463762448592</v>
      </c>
      <c r="U52" s="3">
        <f t="shared" si="21"/>
        <v>0.70490362620647851</v>
      </c>
      <c r="V52" s="3">
        <f t="shared" si="22"/>
        <v>1.1379008412221792</v>
      </c>
      <c r="W52">
        <f>COUNTIF('EPL DATA'!$F$1143:$F$1512, $F52)</f>
        <v>19</v>
      </c>
      <c r="X52">
        <f>COUNTIF('EPL DATA'!$G$1143:$G$1512, $F52)</f>
        <v>18</v>
      </c>
    </row>
    <row r="53" spans="2:25" x14ac:dyDescent="0.35">
      <c r="F53" t="s">
        <v>51</v>
      </c>
      <c r="G53" s="3">
        <f>SUMIF('EPL DATA'!$F$1143:$F$1512,$F53,'EPL DATA'!$Q$1143:$Q$1512)/$W53</f>
        <v>1.263157894736842</v>
      </c>
      <c r="H53" s="3">
        <f>SUMIF('EPL DATA'!$F$1143:$F$1512,$F53,'EPL DATA'!$R$1143:$R$1512)/$W53</f>
        <v>0.78947368421052633</v>
      </c>
      <c r="I53" s="3">
        <f>SUMIF('EPL DATA'!$G$1143:$G$1512,$F53,'EPL DATA'!$R$1143:$R$1512)/$X53</f>
        <v>0.77777777777777779</v>
      </c>
      <c r="J53" s="3">
        <f>SUMIF('EPL DATA'!$G$1143:$G$1512,$F53,'EPL DATA'!$Q$1143:$Q$1512)/$X53</f>
        <v>1.1666666666666667</v>
      </c>
      <c r="K53" s="3">
        <f>SUMIF('EPL DATA'!$F$1143:$F$1512,$F53,'EPL DATA'!$S$1143:$S$1512)/$W53</f>
        <v>1.5542105263157893</v>
      </c>
      <c r="L53" s="3">
        <f>SUMIF('EPL DATA'!$F$1143:$F$1512,$F53,'EPL DATA'!$T$1143:$T$1512)/$W53</f>
        <v>1.1410526315789473</v>
      </c>
      <c r="M53" s="3">
        <f>SUMIF('EPL DATA'!$G$1143:$G$1512,$F53,'EPL DATA'!$T$1143:$T$1512)/$X53</f>
        <v>0.88055555555555542</v>
      </c>
      <c r="N53" s="3">
        <f>SUMIF('EPL DATA'!$G$1143:$G$1512,$F53,'EPL DATA'!$S$1143:$S$1512)/$X53</f>
        <v>1.802777777777778</v>
      </c>
      <c r="O53" s="3">
        <f t="shared" si="23"/>
        <v>0.83737158364024011</v>
      </c>
      <c r="P53" s="3">
        <f t="shared" si="16"/>
        <v>0.65998533365925194</v>
      </c>
      <c r="Q53" s="3">
        <f t="shared" si="17"/>
        <v>0.65204069126118402</v>
      </c>
      <c r="R53" s="3">
        <f t="shared" si="18"/>
        <v>0.77393075356415464</v>
      </c>
      <c r="S53" s="3">
        <f t="shared" si="19"/>
        <v>0.97435967939288126</v>
      </c>
      <c r="T53" s="3">
        <f t="shared" si="20"/>
        <v>0.83389159024690429</v>
      </c>
      <c r="U53" s="3">
        <f t="shared" si="21"/>
        <v>0.64470412437234192</v>
      </c>
      <c r="V53" s="3">
        <f t="shared" si="22"/>
        <v>1.130584271208197</v>
      </c>
      <c r="W53">
        <f>COUNTIF('EPL DATA'!$F$1143:$F$1512, $F53)</f>
        <v>19</v>
      </c>
      <c r="X53">
        <f>COUNTIF('EPL DATA'!$G$1143:$G$1512, $F53)</f>
        <v>18</v>
      </c>
    </row>
    <row r="54" spans="2:25" x14ac:dyDescent="0.35">
      <c r="F54" t="s">
        <v>25</v>
      </c>
      <c r="G54" s="3">
        <f>SUMIF('EPL DATA'!$F$1143:$F$1512,$F54,'EPL DATA'!$Q$1143:$Q$1512)/$W54</f>
        <v>1.9444444444444444</v>
      </c>
      <c r="H54" s="3">
        <f>SUMIF('EPL DATA'!$F$1143:$F$1512,$F54,'EPL DATA'!$R$1143:$R$1512)/$W54</f>
        <v>0.83333333333333337</v>
      </c>
      <c r="I54" s="3">
        <f>SUMIF('EPL DATA'!$G$1143:$G$1512,$F54,'EPL DATA'!$R$1143:$R$1512)/$X54</f>
        <v>1.6842105263157894</v>
      </c>
      <c r="J54" s="3">
        <f>SUMIF('EPL DATA'!$G$1143:$G$1512,$F54,'EPL DATA'!$Q$1143:$Q$1512)/$X54</f>
        <v>1.263157894736842</v>
      </c>
      <c r="K54" s="3">
        <f>SUMIF('EPL DATA'!$F$1143:$F$1512,$F54,'EPL DATA'!$S$1143:$S$1512)/$W54</f>
        <v>1.5972222222222223</v>
      </c>
      <c r="L54" s="3">
        <f>SUMIF('EPL DATA'!$F$1143:$F$1512,$F54,'EPL DATA'!$T$1143:$T$1512)/$W54</f>
        <v>1.2838888888888886</v>
      </c>
      <c r="M54" s="3">
        <f>SUMIF('EPL DATA'!$G$1143:$G$1512,$F54,'EPL DATA'!$T$1143:$T$1512)/$X54</f>
        <v>1.8284210526315789</v>
      </c>
      <c r="N54" s="3">
        <f>SUMIF('EPL DATA'!$G$1143:$G$1512,$F54,'EPL DATA'!$S$1143:$S$1512)/$X54</f>
        <v>1.3694736842105266</v>
      </c>
      <c r="O54" s="3">
        <f t="shared" si="23"/>
        <v>1.2890094979647215</v>
      </c>
      <c r="P54" s="3">
        <f t="shared" si="16"/>
        <v>0.69665118552921035</v>
      </c>
      <c r="Q54" s="3">
        <f t="shared" si="17"/>
        <v>1.411937737467827</v>
      </c>
      <c r="R54" s="3">
        <f t="shared" si="18"/>
        <v>0.8379400640093102</v>
      </c>
      <c r="S54" s="3">
        <f t="shared" si="19"/>
        <v>1.0013244061940052</v>
      </c>
      <c r="T54" s="3">
        <f t="shared" si="20"/>
        <v>0.93827761982757563</v>
      </c>
      <c r="U54" s="3">
        <f t="shared" si="21"/>
        <v>1.3386896332475939</v>
      </c>
      <c r="V54" s="3">
        <f t="shared" si="22"/>
        <v>0.85884429367135062</v>
      </c>
      <c r="W54">
        <f>COUNTIF('EPL DATA'!$F$1143:$F$1512, $F54)</f>
        <v>18</v>
      </c>
      <c r="X54">
        <f>COUNTIF('EPL DATA'!$G$1143:$G$1512, $F54)</f>
        <v>19</v>
      </c>
    </row>
    <row r="55" spans="2:25" x14ac:dyDescent="0.35">
      <c r="B55" t="s">
        <v>77</v>
      </c>
      <c r="F55" t="s">
        <v>41</v>
      </c>
      <c r="G55" s="3">
        <f>SUMIF('EPL DATA'!$F$1143:$F$1512,$F55,'EPL DATA'!$Q$1143:$Q$1512)/$W55</f>
        <v>2.736842105263158</v>
      </c>
      <c r="H55" s="3">
        <f>SUMIF('EPL DATA'!$F$1143:$F$1512,$F55,'EPL DATA'!$R$1143:$R$1512)/$W55</f>
        <v>0.84210526315789469</v>
      </c>
      <c r="I55" s="3">
        <f>SUMIF('EPL DATA'!$G$1143:$G$1512,$F55,'EPL DATA'!$R$1143:$R$1512)/$X55</f>
        <v>1.6666666666666667</v>
      </c>
      <c r="J55" s="3">
        <f>SUMIF('EPL DATA'!$G$1143:$G$1512,$F55,'EPL DATA'!$Q$1143:$Q$1512)/$X55</f>
        <v>0.88888888888888884</v>
      </c>
      <c r="K55" s="3">
        <f>SUMIF('EPL DATA'!$F$1143:$F$1512,$F55,'EPL DATA'!$S$1143:$S$1512)/$W55</f>
        <v>2.5426315789473688</v>
      </c>
      <c r="L55" s="3">
        <f>SUMIF('EPL DATA'!$F$1143:$F$1512,$F55,'EPL DATA'!$T$1143:$T$1512)/$W55</f>
        <v>0.9826315789473683</v>
      </c>
      <c r="M55" s="3">
        <f>SUMIF('EPL DATA'!$G$1143:$G$1512,$F55,'EPL DATA'!$T$1143:$T$1512)/$X55</f>
        <v>1.9922222222222226</v>
      </c>
      <c r="N55" s="3">
        <f>SUMIF('EPL DATA'!$G$1143:$G$1512,$F55,'EPL DATA'!$S$1143:$S$1512)/$X55</f>
        <v>1.2711111111111113</v>
      </c>
      <c r="O55" s="3">
        <f t="shared" si="23"/>
        <v>1.8143050978871871</v>
      </c>
      <c r="P55" s="3">
        <f t="shared" si="16"/>
        <v>0.70398435590320196</v>
      </c>
      <c r="Q55" s="3">
        <f t="shared" si="17"/>
        <v>1.3972300527025374</v>
      </c>
      <c r="R55" s="3">
        <f t="shared" si="18"/>
        <v>0.5896615265250702</v>
      </c>
      <c r="S55" s="3">
        <f t="shared" si="19"/>
        <v>1.5940168002529667</v>
      </c>
      <c r="T55" s="3">
        <f t="shared" si="20"/>
        <v>0.71811605119509692</v>
      </c>
      <c r="U55" s="3">
        <f t="shared" si="21"/>
        <v>1.4586176593055009</v>
      </c>
      <c r="V55" s="3">
        <f t="shared" si="22"/>
        <v>0.7971577234281525</v>
      </c>
      <c r="W55">
        <f>COUNTIF('EPL DATA'!$F$1143:$F$1512, $F55)</f>
        <v>19</v>
      </c>
      <c r="X55">
        <f>COUNTIF('EPL DATA'!$G$1143:$G$1512, $F55)</f>
        <v>18</v>
      </c>
    </row>
    <row r="56" spans="2:25" x14ac:dyDescent="0.35">
      <c r="B56" s="2">
        <f>SUM(K44:K63)/20</f>
        <v>1.5951096491228067</v>
      </c>
      <c r="F56" t="s">
        <v>36</v>
      </c>
      <c r="G56" s="3">
        <f>SUMIF('EPL DATA'!$F$1143:$F$1512,$F56,'EPL DATA'!$Q$1143:$Q$1512)/$W56</f>
        <v>2.8888888888888888</v>
      </c>
      <c r="H56" s="3">
        <f>SUMIF('EPL DATA'!$F$1143:$F$1512,$F56,'EPL DATA'!$R$1143:$R$1512)/$W56</f>
        <v>0.72222222222222221</v>
      </c>
      <c r="I56" s="3">
        <f>SUMIF('EPL DATA'!$G$1143:$G$1512,$F56,'EPL DATA'!$R$1143:$R$1512)/$X56</f>
        <v>2.3684210526315788</v>
      </c>
      <c r="J56" s="3">
        <f>SUMIF('EPL DATA'!$G$1143:$G$1512,$F56,'EPL DATA'!$Q$1143:$Q$1512)/$X56</f>
        <v>1.1578947368421053</v>
      </c>
      <c r="K56" s="3">
        <f>SUMIF('EPL DATA'!$F$1143:$F$1512,$F56,'EPL DATA'!$S$1143:$S$1512)/$W56</f>
        <v>2.7583333333333337</v>
      </c>
      <c r="L56" s="3">
        <f>SUMIF('EPL DATA'!$F$1143:$F$1512,$F56,'EPL DATA'!$T$1143:$T$1512)/$W56</f>
        <v>0.83833333333333326</v>
      </c>
      <c r="M56" s="3">
        <f>SUMIF('EPL DATA'!$G$1143:$G$1512,$F56,'EPL DATA'!$T$1143:$T$1512)/$X56</f>
        <v>2.7889473684210526</v>
      </c>
      <c r="N56" s="3">
        <f>SUMIF('EPL DATA'!$G$1143:$G$1512,$F56,'EPL DATA'!$S$1143:$S$1512)/$X56</f>
        <v>1.195263157894737</v>
      </c>
      <c r="O56" s="3">
        <f t="shared" si="23"/>
        <v>1.9150998255475864</v>
      </c>
      <c r="P56" s="3">
        <f t="shared" si="16"/>
        <v>0.60376436079198226</v>
      </c>
      <c r="Q56" s="3">
        <f t="shared" si="17"/>
        <v>1.9855374433141317</v>
      </c>
      <c r="R56" s="3">
        <f t="shared" si="18"/>
        <v>0.76811172534186778</v>
      </c>
      <c r="S56" s="3">
        <f t="shared" si="19"/>
        <v>1.7292437136532994</v>
      </c>
      <c r="T56" s="3">
        <f t="shared" si="20"/>
        <v>0.61266158733007869</v>
      </c>
      <c r="U56" s="3">
        <f t="shared" si="21"/>
        <v>2.0419448378177893</v>
      </c>
      <c r="V56" s="3">
        <f t="shared" si="22"/>
        <v>0.7495908497031657</v>
      </c>
      <c r="W56">
        <f>COUNTIF('EPL DATA'!$F$1143:$F$1512, $F56)</f>
        <v>18</v>
      </c>
      <c r="X56">
        <f>COUNTIF('EPL DATA'!$G$1143:$G$1512, $F56)</f>
        <v>19</v>
      </c>
    </row>
    <row r="57" spans="2:25" x14ac:dyDescent="0.35">
      <c r="B57" t="s">
        <v>78</v>
      </c>
      <c r="F57" t="s">
        <v>39</v>
      </c>
      <c r="G57" s="3">
        <f>SUMIF('EPL DATA'!$F$1143:$F$1512,$F57,'EPL DATA'!$Q$1143:$Q$1512)/$W57</f>
        <v>2.1052631578947367</v>
      </c>
      <c r="H57" s="3">
        <f>SUMIF('EPL DATA'!$F$1143:$F$1512,$F57,'EPL DATA'!$R$1143:$R$1512)/$W57</f>
        <v>0.89473684210526316</v>
      </c>
      <c r="I57" s="3">
        <f>SUMIF('EPL DATA'!$G$1143:$G$1512,$F57,'EPL DATA'!$R$1143:$R$1512)/$X57</f>
        <v>1.3333333333333333</v>
      </c>
      <c r="J57" s="3">
        <f>SUMIF('EPL DATA'!$G$1143:$G$1512,$F57,'EPL DATA'!$Q$1143:$Q$1512)/$X57</f>
        <v>1.0555555555555556</v>
      </c>
      <c r="K57" s="3">
        <f>SUMIF('EPL DATA'!$F$1143:$F$1512,$F57,'EPL DATA'!$S$1143:$S$1512)/$W57</f>
        <v>1.8289473684210527</v>
      </c>
      <c r="L57" s="3">
        <f>SUMIF('EPL DATA'!$F$1143:$F$1512,$F57,'EPL DATA'!$T$1143:$T$1512)/$W57</f>
        <v>0.9710526315789475</v>
      </c>
      <c r="M57" s="3">
        <f>SUMIF('EPL DATA'!$G$1143:$G$1512,$F57,'EPL DATA'!$T$1143:$T$1512)/$X57</f>
        <v>1.5716666666666668</v>
      </c>
      <c r="N57" s="3">
        <f>SUMIF('EPL DATA'!$G$1143:$G$1512,$F57,'EPL DATA'!$S$1143:$S$1512)/$X57</f>
        <v>1.183888888888889</v>
      </c>
      <c r="O57" s="3">
        <f t="shared" si="23"/>
        <v>1.395619306067067</v>
      </c>
      <c r="P57" s="3">
        <f t="shared" si="16"/>
        <v>0.74798337814715221</v>
      </c>
      <c r="Q57" s="3">
        <f t="shared" si="17"/>
        <v>1.1177840421620298</v>
      </c>
      <c r="R57" s="3">
        <f t="shared" si="18"/>
        <v>0.70022306274852086</v>
      </c>
      <c r="S57" s="3">
        <f t="shared" si="19"/>
        <v>1.1465966426990393</v>
      </c>
      <c r="T57" s="3">
        <f t="shared" si="20"/>
        <v>0.70965405166307127</v>
      </c>
      <c r="U57" s="3">
        <f t="shared" si="21"/>
        <v>1.1507053424917071</v>
      </c>
      <c r="V57" s="3">
        <f t="shared" si="22"/>
        <v>0.74245765237123817</v>
      </c>
      <c r="W57">
        <f>COUNTIF('EPL DATA'!$F$1143:$F$1512, $F57)</f>
        <v>19</v>
      </c>
      <c r="X57">
        <f>COUNTIF('EPL DATA'!$G$1143:$G$1512, $F57)</f>
        <v>18</v>
      </c>
    </row>
    <row r="58" spans="2:25" x14ac:dyDescent="0.35">
      <c r="B58" s="2">
        <f>SUM(L44:L63)/20</f>
        <v>1.3683464912280705</v>
      </c>
      <c r="F58" t="s">
        <v>46</v>
      </c>
      <c r="G58" s="3">
        <f>SUMIF('EPL DATA'!$F$1143:$F$1512,$F58,'EPL DATA'!$Q$1143:$Q$1512)/$W58</f>
        <v>1.0555555555555556</v>
      </c>
      <c r="H58" s="3">
        <f>SUMIF('EPL DATA'!$F$1143:$F$1512,$F58,'EPL DATA'!$R$1143:$R$1512)/$W58</f>
        <v>1</v>
      </c>
      <c r="I58" s="3">
        <f>SUMIF('EPL DATA'!$G$1143:$G$1512,$F58,'EPL DATA'!$R$1143:$R$1512)/$X58</f>
        <v>0.94736842105263153</v>
      </c>
      <c r="J58" s="3">
        <f>SUMIF('EPL DATA'!$G$1143:$G$1512,$F58,'EPL DATA'!$Q$1143:$Q$1512)/$X58</f>
        <v>1.9473684210526316</v>
      </c>
      <c r="K58" s="3">
        <f>SUMIF('EPL DATA'!$F$1143:$F$1512,$F58,'EPL DATA'!$S$1143:$S$1512)/$W58</f>
        <v>1.0683333333333334</v>
      </c>
      <c r="L58" s="3">
        <f>SUMIF('EPL DATA'!$F$1143:$F$1512,$F58,'EPL DATA'!$T$1143:$T$1512)/$W58</f>
        <v>1.732777777777778</v>
      </c>
      <c r="M58" s="3">
        <f>SUMIF('EPL DATA'!$G$1143:$G$1512,$F58,'EPL DATA'!$T$1143:$T$1512)/$X58</f>
        <v>0.95157894736842097</v>
      </c>
      <c r="N58" s="3">
        <f>SUMIF('EPL DATA'!$G$1143:$G$1512,$F58,'EPL DATA'!$S$1143:$S$1512)/$X58</f>
        <v>1.9442105263157898</v>
      </c>
      <c r="O58" s="3">
        <f t="shared" si="23"/>
        <v>0.69974801318084889</v>
      </c>
      <c r="P58" s="3">
        <f t="shared" si="16"/>
        <v>0.83598142263505237</v>
      </c>
      <c r="Q58" s="3">
        <f t="shared" si="17"/>
        <v>0.79421497732565272</v>
      </c>
      <c r="R58" s="3">
        <f t="shared" si="18"/>
        <v>1.2918242653476868</v>
      </c>
      <c r="S58" s="3">
        <f t="shared" si="19"/>
        <v>0.66975542021254675</v>
      </c>
      <c r="T58" s="3">
        <f t="shared" si="20"/>
        <v>1.2663296824933836</v>
      </c>
      <c r="U58" s="3">
        <f t="shared" si="21"/>
        <v>0.69670433417145927</v>
      </c>
      <c r="V58" s="3">
        <f t="shared" si="22"/>
        <v>1.2192816375180511</v>
      </c>
      <c r="W58">
        <f>COUNTIF('EPL DATA'!$F$1143:$F$1512, $F58)</f>
        <v>18</v>
      </c>
      <c r="X58">
        <f>COUNTIF('EPL DATA'!$G$1143:$G$1512, $F58)</f>
        <v>19</v>
      </c>
    </row>
    <row r="59" spans="2:25" x14ac:dyDescent="0.35">
      <c r="B59" t="s">
        <v>79</v>
      </c>
      <c r="F59" t="s">
        <v>34</v>
      </c>
      <c r="G59" s="3">
        <f>SUMIF('EPL DATA'!$F$1143:$F$1512,$F59,'EPL DATA'!$Q$1143:$Q$1512)/$W59</f>
        <v>1</v>
      </c>
      <c r="H59" s="3">
        <f>SUMIF('EPL DATA'!$F$1143:$F$1512,$F59,'EPL DATA'!$R$1143:$R$1512)/$W59</f>
        <v>1.8888888888888888</v>
      </c>
      <c r="I59" s="3">
        <f>SUMIF('EPL DATA'!$G$1143:$G$1512,$F59,'EPL DATA'!$R$1143:$R$1512)/$X59</f>
        <v>1.5789473684210527</v>
      </c>
      <c r="J59" s="3">
        <f>SUMIF('EPL DATA'!$G$1143:$G$1512,$F59,'EPL DATA'!$Q$1143:$Q$1512)/$X59</f>
        <v>1.3157894736842106</v>
      </c>
      <c r="K59" s="3">
        <f>SUMIF('EPL DATA'!$F$1143:$F$1512,$F59,'EPL DATA'!$S$1143:$S$1512)/$W59</f>
        <v>1.2833333333333337</v>
      </c>
      <c r="L59" s="3">
        <f>SUMIF('EPL DATA'!$F$1143:$F$1512,$F59,'EPL DATA'!$T$1143:$T$1512)/$W59</f>
        <v>1.7394444444444443</v>
      </c>
      <c r="M59" s="3">
        <f>SUMIF('EPL DATA'!$G$1143:$G$1512,$F59,'EPL DATA'!$T$1143:$T$1512)/$X59</f>
        <v>1.603684210526316</v>
      </c>
      <c r="N59" s="3">
        <f>SUMIF('EPL DATA'!$G$1143:$G$1512,$F59,'EPL DATA'!$S$1143:$S$1512)/$X59</f>
        <v>1.4657894736842103</v>
      </c>
      <c r="O59" s="3">
        <f t="shared" si="23"/>
        <v>0.66291917038185677</v>
      </c>
      <c r="P59" s="3">
        <f t="shared" si="16"/>
        <v>1.5790760205328767</v>
      </c>
      <c r="Q59" s="3">
        <f t="shared" si="17"/>
        <v>1.323691628876088</v>
      </c>
      <c r="R59" s="3">
        <f t="shared" si="18"/>
        <v>0.87285423334303158</v>
      </c>
      <c r="S59" s="3">
        <f t="shared" si="19"/>
        <v>0.80454239245500947</v>
      </c>
      <c r="T59" s="3">
        <f t="shared" si="20"/>
        <v>1.2712017428300042</v>
      </c>
      <c r="U59" s="3">
        <f t="shared" si="21"/>
        <v>1.174147182644047</v>
      </c>
      <c r="V59" s="3">
        <f t="shared" si="22"/>
        <v>0.91924725514016548</v>
      </c>
      <c r="W59">
        <f>COUNTIF('EPL DATA'!$F$1143:$F$1512, $F59)</f>
        <v>18</v>
      </c>
      <c r="X59">
        <f>COUNTIF('EPL DATA'!$G$1143:$G$1512, $F59)</f>
        <v>19</v>
      </c>
    </row>
    <row r="60" spans="2:25" x14ac:dyDescent="0.35">
      <c r="B60" s="2">
        <f>SUM(M44:M63)/20</f>
        <v>1.3658289473684211</v>
      </c>
      <c r="F60" t="s">
        <v>29</v>
      </c>
      <c r="G60" s="3">
        <f>SUMIF('EPL DATA'!$F$1143:$F$1512,$F60,'EPL DATA'!$Q$1143:$Q$1512)/$W60</f>
        <v>1.8947368421052631</v>
      </c>
      <c r="H60" s="3">
        <f>SUMIF('EPL DATA'!$F$1143:$F$1512,$F60,'EPL DATA'!$R$1143:$R$1512)/$W60</f>
        <v>0.89473684210526316</v>
      </c>
      <c r="I60" s="3">
        <f>SUMIF('EPL DATA'!$G$1143:$G$1512,$F60,'EPL DATA'!$R$1143:$R$1512)/$X60</f>
        <v>1.3333333333333333</v>
      </c>
      <c r="J60" s="3">
        <f>SUMIF('EPL DATA'!$G$1143:$G$1512,$F60,'EPL DATA'!$Q$1143:$Q$1512)/$X60</f>
        <v>1.6111111111111112</v>
      </c>
      <c r="K60" s="3">
        <f>SUMIF('EPL DATA'!$F$1143:$F$1512,$F60,'EPL DATA'!$S$1143:$S$1512)/$W60</f>
        <v>1.6589473684210525</v>
      </c>
      <c r="L60" s="3">
        <f>SUMIF('EPL DATA'!$F$1143:$F$1512,$F60,'EPL DATA'!$T$1143:$T$1512)/$W60</f>
        <v>1.3015789473684212</v>
      </c>
      <c r="M60" s="3">
        <f>SUMIF('EPL DATA'!$G$1143:$G$1512,$F60,'EPL DATA'!$T$1143:$T$1512)/$X60</f>
        <v>1.3622222222222224</v>
      </c>
      <c r="N60" s="3">
        <f>SUMIF('EPL DATA'!$G$1143:$G$1512,$F60,'EPL DATA'!$S$1143:$S$1512)/$X60</f>
        <v>1.722777777777778</v>
      </c>
      <c r="O60" s="3">
        <f t="shared" si="23"/>
        <v>1.2560573754603603</v>
      </c>
      <c r="P60" s="3">
        <f t="shared" si="16"/>
        <v>0.74798337814715221</v>
      </c>
      <c r="Q60" s="3">
        <f t="shared" si="17"/>
        <v>1.1177840421620298</v>
      </c>
      <c r="R60" s="3">
        <f t="shared" si="18"/>
        <v>1.0687615168266897</v>
      </c>
      <c r="S60" s="3">
        <f t="shared" si="19"/>
        <v>1.0400208972049989</v>
      </c>
      <c r="T60" s="3">
        <f t="shared" si="20"/>
        <v>0.95120567466817085</v>
      </c>
      <c r="U60" s="3">
        <f t="shared" si="21"/>
        <v>0.99735931417096713</v>
      </c>
      <c r="V60" s="3">
        <f t="shared" si="22"/>
        <v>1.0804135053980335</v>
      </c>
      <c r="W60">
        <f>COUNTIF('EPL DATA'!$F$1143:$F$1512, $F60)</f>
        <v>19</v>
      </c>
      <c r="X60">
        <f>COUNTIF('EPL DATA'!$G$1143:$G$1512, $F60)</f>
        <v>18</v>
      </c>
    </row>
    <row r="61" spans="2:25" x14ac:dyDescent="0.35">
      <c r="B61" t="s">
        <v>80</v>
      </c>
      <c r="F61" t="s">
        <v>35</v>
      </c>
      <c r="G61" s="3">
        <f>SUMIF('EPL DATA'!$F$1143:$F$1512,$F61,'EPL DATA'!$Q$1143:$Q$1512)/$W61</f>
        <v>1.1578947368421053</v>
      </c>
      <c r="H61" s="3">
        <f>SUMIF('EPL DATA'!$F$1143:$F$1512,$F61,'EPL DATA'!$R$1143:$R$1512)/$W61</f>
        <v>1.4210526315789473</v>
      </c>
      <c r="I61" s="3">
        <f>SUMIF('EPL DATA'!$G$1143:$G$1512,$F61,'EPL DATA'!$R$1143:$R$1512)/$X61</f>
        <v>0.66666666666666663</v>
      </c>
      <c r="J61" s="3">
        <f>SUMIF('EPL DATA'!$G$1143:$G$1512,$F61,'EPL DATA'!$Q$1143:$Q$1512)/$X61</f>
        <v>1.8888888888888888</v>
      </c>
      <c r="K61" s="3">
        <f>SUMIF('EPL DATA'!$F$1143:$F$1512,$F61,'EPL DATA'!$S$1143:$S$1512)/$W61</f>
        <v>1.5815789473684212</v>
      </c>
      <c r="L61" s="3">
        <f>SUMIF('EPL DATA'!$F$1143:$F$1512,$F61,'EPL DATA'!$T$1143:$T$1512)/$W61</f>
        <v>1.5194736842105263</v>
      </c>
      <c r="M61" s="3">
        <f>SUMIF('EPL DATA'!$G$1143:$G$1512,$F61,'EPL DATA'!$T$1143:$T$1512)/$X61</f>
        <v>0.92055555555555557</v>
      </c>
      <c r="N61" s="3">
        <f>SUMIF('EPL DATA'!$G$1143:$G$1512,$F61,'EPL DATA'!$S$1143:$S$1512)/$X61</f>
        <v>1.652222222222222</v>
      </c>
      <c r="O61" s="3">
        <f t="shared" si="23"/>
        <v>0.76759061833688691</v>
      </c>
      <c r="P61" s="3">
        <f t="shared" si="16"/>
        <v>1.1879736005866535</v>
      </c>
      <c r="Q61" s="3">
        <f t="shared" si="17"/>
        <v>0.55889202108101488</v>
      </c>
      <c r="R61" s="3">
        <f t="shared" si="18"/>
        <v>1.2530307438657742</v>
      </c>
      <c r="S61" s="3">
        <f t="shared" si="19"/>
        <v>0.99151738454981675</v>
      </c>
      <c r="T61" s="3">
        <f t="shared" si="20"/>
        <v>1.1104451204072014</v>
      </c>
      <c r="U61" s="3">
        <f t="shared" si="21"/>
        <v>0.67399036850786798</v>
      </c>
      <c r="V61" s="3">
        <f t="shared" si="22"/>
        <v>1.0361656772182364</v>
      </c>
      <c r="W61">
        <f>COUNTIF('EPL DATA'!$F$1143:$F$1512, $F61)</f>
        <v>19</v>
      </c>
      <c r="X61">
        <f>COUNTIF('EPL DATA'!$G$1143:$G$1512, $F61)</f>
        <v>18</v>
      </c>
    </row>
    <row r="62" spans="2:25" x14ac:dyDescent="0.35">
      <c r="B62" s="2">
        <f>SUM(N44:N63)/20</f>
        <v>1.5945540935672513</v>
      </c>
      <c r="F62" t="s">
        <v>43</v>
      </c>
      <c r="G62" s="3">
        <f>SUMIF('EPL DATA'!$F$1143:$F$1512,$F62,'EPL DATA'!$Q$1143:$Q$1512)/$W62</f>
        <v>1.6111111111111112</v>
      </c>
      <c r="H62" s="3">
        <f>SUMIF('EPL DATA'!$F$1143:$F$1512,$F62,'EPL DATA'!$R$1143:$R$1512)/$W62</f>
        <v>1.7777777777777777</v>
      </c>
      <c r="I62" s="3">
        <f>SUMIF('EPL DATA'!$G$1143:$G$1512,$F62,'EPL DATA'!$R$1143:$R$1512)/$X62</f>
        <v>1</v>
      </c>
      <c r="J62" s="3">
        <f>SUMIF('EPL DATA'!$G$1143:$G$1512,$F62,'EPL DATA'!$Q$1143:$Q$1512)/$X62</f>
        <v>1.5263157894736843</v>
      </c>
      <c r="K62" s="3">
        <f>SUMIF('EPL DATA'!$F$1143:$F$1512,$F62,'EPL DATA'!$S$1143:$S$1512)/$W62</f>
        <v>1.4361111111111111</v>
      </c>
      <c r="L62" s="3">
        <f>SUMIF('EPL DATA'!$F$1143:$F$1512,$F62,'EPL DATA'!$T$1143:$T$1512)/$W62</f>
        <v>1.7022222222222221</v>
      </c>
      <c r="M62" s="3">
        <f>SUMIF('EPL DATA'!$G$1143:$G$1512,$F62,'EPL DATA'!$T$1143:$T$1512)/$X62</f>
        <v>1.2468421052631578</v>
      </c>
      <c r="N62" s="3">
        <f>SUMIF('EPL DATA'!$G$1143:$G$1512,$F62,'EPL DATA'!$S$1143:$S$1512)/$X62</f>
        <v>2.0052631578947371</v>
      </c>
      <c r="O62" s="3">
        <f t="shared" si="23"/>
        <v>1.0680364411707695</v>
      </c>
      <c r="P62" s="3">
        <f t="shared" si="16"/>
        <v>1.4861891957956486</v>
      </c>
      <c r="Q62" s="3">
        <f t="shared" si="17"/>
        <v>0.83833803162152232</v>
      </c>
      <c r="R62" s="3">
        <f t="shared" si="18"/>
        <v>1.0125109106779167</v>
      </c>
      <c r="S62" s="3">
        <f t="shared" si="19"/>
        <v>0.90032124869965324</v>
      </c>
      <c r="T62" s="3">
        <f t="shared" si="20"/>
        <v>1.2439994059505375</v>
      </c>
      <c r="U62" s="3">
        <f t="shared" si="21"/>
        <v>0.9128830573297495</v>
      </c>
      <c r="V62" s="3">
        <f t="shared" si="22"/>
        <v>1.2575698535310704</v>
      </c>
      <c r="W62">
        <f>COUNTIF('EPL DATA'!$F$1143:$F$1512, $F62)</f>
        <v>18</v>
      </c>
      <c r="X62">
        <f>COUNTIF('EPL DATA'!$G$1143:$G$1512, $F62)</f>
        <v>19</v>
      </c>
    </row>
    <row r="63" spans="2:25" x14ac:dyDescent="0.35">
      <c r="F63" t="s">
        <v>49</v>
      </c>
      <c r="G63" s="3">
        <f>SUMIF('EPL DATA'!$F$1143:$F$1512,$F63,'EPL DATA'!$Q$1143:$Q$1512)/$W63</f>
        <v>1.4210526315789473</v>
      </c>
      <c r="H63" s="3">
        <f>SUMIF('EPL DATA'!$F$1143:$F$1512,$F63,'EPL DATA'!$R$1143:$R$1512)/$W63</f>
        <v>1</v>
      </c>
      <c r="I63" s="3">
        <f>SUMIF('EPL DATA'!$G$1143:$G$1512,$F63,'EPL DATA'!$R$1143:$R$1512)/$X63</f>
        <v>1.3333333333333333</v>
      </c>
      <c r="J63" s="3">
        <f>SUMIF('EPL DATA'!$G$1143:$G$1512,$F63,'EPL DATA'!$Q$1143:$Q$1512)/$X63</f>
        <v>1.0555555555555556</v>
      </c>
      <c r="K63" s="3">
        <f>SUMIF('EPL DATA'!$F$1143:$F$1512,$F63,'EPL DATA'!$S$1143:$S$1512)/$W63</f>
        <v>1.4805263157894739</v>
      </c>
      <c r="L63" s="3">
        <f>SUMIF('EPL DATA'!$F$1143:$F$1512,$F63,'EPL DATA'!$T$1143:$T$1512)/$W63</f>
        <v>0.97684210526315784</v>
      </c>
      <c r="M63" s="3">
        <f>SUMIF('EPL DATA'!$G$1143:$G$1512,$F63,'EPL DATA'!$T$1143:$T$1512)/$X63</f>
        <v>1.4255555555555555</v>
      </c>
      <c r="N63" s="3">
        <f>SUMIF('EPL DATA'!$G$1143:$G$1512,$F63,'EPL DATA'!$S$1143:$S$1512)/$X63</f>
        <v>1.086111111111111</v>
      </c>
      <c r="O63" s="3">
        <f t="shared" si="23"/>
        <v>0.94204303159527025</v>
      </c>
      <c r="P63" s="3">
        <f t="shared" si="16"/>
        <v>0.83598142263505237</v>
      </c>
      <c r="Q63" s="3">
        <f t="shared" si="17"/>
        <v>1.1177840421620298</v>
      </c>
      <c r="R63" s="3">
        <f t="shared" si="18"/>
        <v>0.70022306274852086</v>
      </c>
      <c r="S63" s="3">
        <f t="shared" si="19"/>
        <v>0.92816585781651739</v>
      </c>
      <c r="T63" s="3">
        <f t="shared" si="20"/>
        <v>0.71388505142908409</v>
      </c>
      <c r="U63" s="3">
        <f t="shared" si="21"/>
        <v>1.043729200718883</v>
      </c>
      <c r="V63" s="3">
        <f t="shared" si="22"/>
        <v>0.68113782749214935</v>
      </c>
      <c r="W63">
        <f>COUNTIF('EPL DATA'!$F$1143:$F$1512, $F63)</f>
        <v>19</v>
      </c>
      <c r="X63">
        <f>COUNTIF('EPL DATA'!$G$1143:$G$1512, $F63)</f>
        <v>18</v>
      </c>
      <c r="Y63" s="27">
        <f>SUM(W44:X63)</f>
        <v>740</v>
      </c>
    </row>
    <row r="72" spans="2:24" x14ac:dyDescent="0.35">
      <c r="G72" t="s">
        <v>54</v>
      </c>
    </row>
    <row r="74" spans="2:24" x14ac:dyDescent="0.35">
      <c r="G74" t="s">
        <v>58</v>
      </c>
      <c r="H74" t="s">
        <v>57</v>
      </c>
      <c r="I74" t="s">
        <v>56</v>
      </c>
      <c r="J74" t="s">
        <v>55</v>
      </c>
      <c r="K74" t="s">
        <v>61</v>
      </c>
      <c r="L74" t="s">
        <v>62</v>
      </c>
      <c r="M74" t="s">
        <v>63</v>
      </c>
      <c r="N74" t="s">
        <v>64</v>
      </c>
      <c r="O74" t="s">
        <v>69</v>
      </c>
      <c r="P74" t="s">
        <v>71</v>
      </c>
      <c r="Q74" t="s">
        <v>70</v>
      </c>
      <c r="R74" t="s">
        <v>72</v>
      </c>
      <c r="S74" s="3" t="s">
        <v>73</v>
      </c>
      <c r="T74" s="3" t="s">
        <v>74</v>
      </c>
      <c r="U74" s="3" t="s">
        <v>75</v>
      </c>
      <c r="V74" s="3" t="s">
        <v>76</v>
      </c>
      <c r="W74" t="s">
        <v>59</v>
      </c>
      <c r="X74" t="s">
        <v>60</v>
      </c>
    </row>
    <row r="75" spans="2:24" x14ac:dyDescent="0.35">
      <c r="F75" t="s">
        <v>38</v>
      </c>
      <c r="G75" s="3">
        <f>SUMIF('EPL DATA'!$F$763:$F$1142,$F75,'EPL DATA'!$Q$763:$Q$1142)/$W75</f>
        <v>1.5789473684210527</v>
      </c>
      <c r="H75" s="3">
        <f>SUMIF('EPL DATA'!$F$763:$F$1142,$F75,'EPL DATA'!$R$763:$R$1142)/$W75</f>
        <v>1.3157894736842106</v>
      </c>
      <c r="I75" s="3">
        <f>SUMIF('EPL DATA'!$G$763:$G$1142,$F75,'EPL DATA'!$R$763:$R$1142)/$X75</f>
        <v>1.368421052631579</v>
      </c>
      <c r="J75" s="3">
        <f>SUMIF('EPL DATA'!$G$763:$G$1142,$F75,'EPL DATA'!$Q$763:$Q$1142)/$X75</f>
        <v>2.3684210526315788</v>
      </c>
      <c r="K75" s="3">
        <f>SUMIF('EPL DATA'!$F$763:$F$1142,$F75,'EPL DATA'!$S$763:$S$1142)/$W75</f>
        <v>1.7052631578947368</v>
      </c>
      <c r="L75" s="3">
        <f>SUMIF('EPL DATA'!$F$763:$F$1142,$F75,'EPL DATA'!$T$763:$T$1142)/$W75</f>
        <v>1.3505263157894736</v>
      </c>
      <c r="M75" s="3">
        <f>SUMIF('EPL DATA'!$G$763:$G$1142,$F75,'EPL DATA'!$T$763:$T$1142)/$X75</f>
        <v>1.4805263157894735</v>
      </c>
      <c r="N75" s="3">
        <f>SUMIF('EPL DATA'!$G$763:$G$1142,$F75,'EPL DATA'!$S$763:$S$1142)/$X75</f>
        <v>1.8342105263157891</v>
      </c>
      <c r="O75" s="3">
        <f>G75/$B$13</f>
        <v>1.0466705029551369</v>
      </c>
      <c r="P75" s="3">
        <f>H75/$B$15</f>
        <v>1.0999781629450569</v>
      </c>
      <c r="Q75" s="3">
        <f>I75/$B$17</f>
        <v>1.1471522855047664</v>
      </c>
      <c r="R75" s="3">
        <f>J75/$B$19</f>
        <v>1.5711430016979611</v>
      </c>
      <c r="S75" s="3">
        <f>K75/$B$23</f>
        <v>1.0690368017968634</v>
      </c>
      <c r="T75" s="3">
        <f>L75/$B$25</f>
        <v>0.98700381779979263</v>
      </c>
      <c r="U75" s="3">
        <f>M75/$B$27</f>
        <v>1.0839978039864224</v>
      </c>
      <c r="V75" s="3">
        <f>N75/$B$29</f>
        <v>1.1502962246642048</v>
      </c>
      <c r="W75">
        <f>COUNTIF('EPL DATA'!$F$763:$F$1142, $F75)</f>
        <v>19</v>
      </c>
      <c r="X75">
        <f>COUNTIF('EPL DATA'!$G$763:$G$1142, $F75)</f>
        <v>19</v>
      </c>
    </row>
    <row r="76" spans="2:24" x14ac:dyDescent="0.35">
      <c r="B76" t="s">
        <v>65</v>
      </c>
      <c r="F76" t="s">
        <v>40</v>
      </c>
      <c r="G76" s="3">
        <f>SUMIF('EPL DATA'!$F$763:$F$1142,$F76,'EPL DATA'!$Q$763:$Q$1142)/$W76</f>
        <v>2.2105263157894739</v>
      </c>
      <c r="H76" s="3">
        <f>SUMIF('EPL DATA'!$F$763:$F$1142,$F76,'EPL DATA'!$R$763:$R$1142)/$W76</f>
        <v>0.84210526315789469</v>
      </c>
      <c r="I76" s="3">
        <f>SUMIF('EPL DATA'!$G$763:$G$1142,$F76,'EPL DATA'!$R$763:$R$1142)/$X76</f>
        <v>1.631578947368421</v>
      </c>
      <c r="J76" s="3">
        <f>SUMIF('EPL DATA'!$G$763:$G$1142,$F76,'EPL DATA'!$Q$763:$Q$1142)/$X76</f>
        <v>1.8421052631578947</v>
      </c>
      <c r="K76" s="3">
        <f>SUMIF('EPL DATA'!$F$763:$F$1142,$F76,'EPL DATA'!$S$763:$S$1142)/$W76</f>
        <v>1.9178947368421055</v>
      </c>
      <c r="L76" s="3">
        <f>SUMIF('EPL DATA'!$F$763:$F$1142,$F76,'EPL DATA'!$T$763:$T$1142)/$W76</f>
        <v>1.3684210526315788</v>
      </c>
      <c r="M76" s="3">
        <f>SUMIF('EPL DATA'!$G$763:$G$1142,$F76,'EPL DATA'!$T$763:$T$1142)/$X76</f>
        <v>1.4163157894736842</v>
      </c>
      <c r="N76" s="3">
        <f>SUMIF('EPL DATA'!$G$763:$G$1142,$F76,'EPL DATA'!$S$763:$S$1142)/$X76</f>
        <v>1.6915789473684211</v>
      </c>
      <c r="O76" s="3">
        <f t="shared" ref="O76:O82" si="24">G76/$B$13</f>
        <v>1.4653387041371919</v>
      </c>
      <c r="P76" s="3">
        <f t="shared" ref="P76:P85" si="25">H76/$B$15</f>
        <v>0.70398602428483636</v>
      </c>
      <c r="Q76" s="3">
        <f t="shared" ref="Q76:Q94" si="26">I76/$B$17</f>
        <v>1.3677584942556831</v>
      </c>
      <c r="R76" s="3">
        <f t="shared" ref="R76:R94" si="27">J76/$B$19</f>
        <v>1.2220001124317474</v>
      </c>
      <c r="S76" s="3">
        <f t="shared" ref="S76:S93" si="28">K76/$B$23</f>
        <v>1.2023364523912874</v>
      </c>
      <c r="T76" s="3">
        <f t="shared" ref="T76:T94" si="29">L76/$B$25</f>
        <v>1.000081810709065</v>
      </c>
      <c r="U76" s="3">
        <f t="shared" ref="U76:U94" si="30">M76/$B$27</f>
        <v>1.036984746010474</v>
      </c>
      <c r="V76" s="3">
        <f t="shared" ref="V76:V94" si="31">N76/$B$29</f>
        <v>1.060847077782139</v>
      </c>
      <c r="W76">
        <f>COUNTIF('EPL DATA'!$F$763:$F$1142, $F76)</f>
        <v>19</v>
      </c>
      <c r="X76">
        <f>COUNTIF('EPL DATA'!$G$763:$G$1142, $F76)</f>
        <v>19</v>
      </c>
    </row>
    <row r="77" spans="2:24" x14ac:dyDescent="0.35">
      <c r="B77" s="2">
        <f>SUM(G75:G94)/20</f>
        <v>1.5684210526315792</v>
      </c>
      <c r="F77" t="s">
        <v>45</v>
      </c>
      <c r="G77" s="3">
        <f>SUMIF('EPL DATA'!$F$763:$F$1142,$F77,'EPL DATA'!$Q$763:$Q$1142)/$W77</f>
        <v>1</v>
      </c>
      <c r="H77" s="3">
        <f>SUMIF('EPL DATA'!$F$763:$F$1142,$F77,'EPL DATA'!$R$763:$R$1142)/$W77</f>
        <v>1.4736842105263157</v>
      </c>
      <c r="I77" s="3">
        <f>SUMIF('EPL DATA'!$G$763:$G$1142,$F77,'EPL DATA'!$R$763:$R$1142)/$X77</f>
        <v>0.84210526315789469</v>
      </c>
      <c r="J77" s="3">
        <f>SUMIF('EPL DATA'!$G$763:$G$1142,$F77,'EPL DATA'!$Q$763:$Q$1142)/$X77</f>
        <v>1.6842105263157894</v>
      </c>
      <c r="K77" s="3">
        <f>SUMIF('EPL DATA'!$F$763:$F$1142,$F77,'EPL DATA'!$S$763:$S$1142)/$W77</f>
        <v>1.1110526315789473</v>
      </c>
      <c r="L77" s="3">
        <f>SUMIF('EPL DATA'!$F$763:$F$1142,$F77,'EPL DATA'!$T$763:$T$1142)/$W77</f>
        <v>1.3742105263157893</v>
      </c>
      <c r="M77" s="3">
        <f>SUMIF('EPL DATA'!$G$763:$G$1142,$F77,'EPL DATA'!$T$763:$T$1142)/$X77</f>
        <v>0.90315789473684194</v>
      </c>
      <c r="N77" s="3">
        <f>SUMIF('EPL DATA'!$G$763:$G$1142,$F77,'EPL DATA'!$S$763:$S$1142)/$X77</f>
        <v>2.0015789473684209</v>
      </c>
      <c r="O77" s="3">
        <f t="shared" si="24"/>
        <v>0.66289131853825334</v>
      </c>
      <c r="P77" s="3">
        <f t="shared" si="25"/>
        <v>1.2319755424984637</v>
      </c>
      <c r="Q77" s="3">
        <f t="shared" si="26"/>
        <v>0.70593986800293318</v>
      </c>
      <c r="R77" s="3">
        <f t="shared" si="27"/>
        <v>1.1172572456518834</v>
      </c>
      <c r="S77" s="3">
        <f t="shared" si="28"/>
        <v>0.69652366931888232</v>
      </c>
      <c r="T77" s="3">
        <f t="shared" si="29"/>
        <v>1.0043129260620649</v>
      </c>
      <c r="U77" s="3">
        <f t="shared" si="30"/>
        <v>0.66126563513711378</v>
      </c>
      <c r="V77" s="3">
        <f t="shared" si="31"/>
        <v>1.2552586922232343</v>
      </c>
      <c r="W77">
        <f>COUNTIF('EPL DATA'!$F$763:$F$1142, $F77)</f>
        <v>19</v>
      </c>
      <c r="X77">
        <f>COUNTIF('EPL DATA'!$G$763:$G$1142, $F77)</f>
        <v>19</v>
      </c>
    </row>
    <row r="78" spans="2:24" x14ac:dyDescent="0.35">
      <c r="B78" t="s">
        <v>66</v>
      </c>
      <c r="F78" t="s">
        <v>32</v>
      </c>
      <c r="G78" s="3">
        <f>SUMIF('EPL DATA'!$F$763:$F$1142,$F78,'EPL DATA'!$Q$763:$Q$1142)/$W78</f>
        <v>1.263157894736842</v>
      </c>
      <c r="H78" s="3">
        <f>SUMIF('EPL DATA'!$F$763:$F$1142,$F78,'EPL DATA'!$R$763:$R$1142)/$W78</f>
        <v>1.6842105263157894</v>
      </c>
      <c r="I78" s="3">
        <f>SUMIF('EPL DATA'!$G$763:$G$1142,$F78,'EPL DATA'!$R$763:$R$1142)/$X78</f>
        <v>1.1052631578947369</v>
      </c>
      <c r="J78" s="3">
        <f>SUMIF('EPL DATA'!$G$763:$G$1142,$F78,'EPL DATA'!$Q$763:$Q$1142)/$X78</f>
        <v>1.8947368421052631</v>
      </c>
      <c r="K78" s="3">
        <f>SUMIF('EPL DATA'!$F$763:$F$1142,$F78,'EPL DATA'!$S$763:$S$1142)/$W78</f>
        <v>1.3831578947368419</v>
      </c>
      <c r="L78" s="3">
        <f>SUMIF('EPL DATA'!$F$763:$F$1142,$F78,'EPL DATA'!$T$763:$T$1142)/$W78</f>
        <v>1.5689473684210529</v>
      </c>
      <c r="M78" s="3">
        <f>SUMIF('EPL DATA'!$G$763:$G$1142,$F78,'EPL DATA'!$T$763:$T$1142)/$X78</f>
        <v>1.0852631578947369</v>
      </c>
      <c r="N78" s="3">
        <f>SUMIF('EPL DATA'!$G$763:$G$1142,$F78,'EPL DATA'!$S$763:$S$1142)/$X78</f>
        <v>1.9421052631578946</v>
      </c>
      <c r="O78" s="3">
        <f t="shared" si="24"/>
        <v>0.83733640236410944</v>
      </c>
      <c r="P78" s="3">
        <f t="shared" si="25"/>
        <v>1.4079720485696727</v>
      </c>
      <c r="Q78" s="3">
        <f t="shared" si="26"/>
        <v>0.92654607675384992</v>
      </c>
      <c r="R78" s="3">
        <f t="shared" si="27"/>
        <v>1.2569144013583688</v>
      </c>
      <c r="S78" s="3">
        <f t="shared" si="28"/>
        <v>0.86710762812412256</v>
      </c>
      <c r="T78" s="3">
        <f t="shared" si="29"/>
        <v>1.1466322606629706</v>
      </c>
      <c r="U78" s="3">
        <f t="shared" si="30"/>
        <v>0.79459775038037816</v>
      </c>
      <c r="V78" s="3">
        <f t="shared" si="31"/>
        <v>1.2179607084679815</v>
      </c>
      <c r="W78">
        <f>COUNTIF('EPL DATA'!$F$763:$F$1142, $F78)</f>
        <v>19</v>
      </c>
      <c r="X78">
        <f>COUNTIF('EPL DATA'!$G$763:$G$1142, $F78)</f>
        <v>19</v>
      </c>
    </row>
    <row r="79" spans="2:24" x14ac:dyDescent="0.35">
      <c r="B79" s="2">
        <f>SUM(H75:H94)/20</f>
        <v>1.2526315789473685</v>
      </c>
      <c r="F79" t="s">
        <v>47</v>
      </c>
      <c r="G79" s="3">
        <f>SUMIF('EPL DATA'!$F$763:$F$1142,$F79,'EPL DATA'!$Q$763:$Q$1142)/$W79</f>
        <v>1.1052631578947369</v>
      </c>
      <c r="H79" s="3">
        <f>SUMIF('EPL DATA'!$F$763:$F$1142,$F79,'EPL DATA'!$R$763:$R$1142)/$W79</f>
        <v>2</v>
      </c>
      <c r="I79" s="3">
        <f>SUMIF('EPL DATA'!$G$763:$G$1142,$F79,'EPL DATA'!$R$763:$R$1142)/$X79</f>
        <v>0.68421052631578949</v>
      </c>
      <c r="J79" s="3">
        <f>SUMIF('EPL DATA'!$G$763:$G$1142,$F79,'EPL DATA'!$Q$763:$Q$1142)/$X79</f>
        <v>1.631578947368421</v>
      </c>
      <c r="K79" s="3">
        <f>SUMIF('EPL DATA'!$F$763:$F$1142,$F79,'EPL DATA'!$S$763:$S$1142)/$W79</f>
        <v>1.2973684210526313</v>
      </c>
      <c r="L79" s="3">
        <f>SUMIF('EPL DATA'!$F$763:$F$1142,$F79,'EPL DATA'!$T$763:$T$1142)/$W79</f>
        <v>1.481052631578947</v>
      </c>
      <c r="M79" s="3">
        <f>SUMIF('EPL DATA'!$G$763:$G$1142,$F79,'EPL DATA'!$T$763:$T$1142)/$X79</f>
        <v>0.87526315789473663</v>
      </c>
      <c r="N79" s="3">
        <f>SUMIF('EPL DATA'!$G$763:$G$1142,$F79,'EPL DATA'!$S$763:$S$1142)/$X79</f>
        <v>1.9810526315789474</v>
      </c>
      <c r="O79" s="3">
        <f t="shared" si="24"/>
        <v>0.73266935206859596</v>
      </c>
      <c r="P79" s="3">
        <f t="shared" si="25"/>
        <v>1.6719668076764866</v>
      </c>
      <c r="Q79" s="3">
        <f t="shared" si="26"/>
        <v>0.57357614275238322</v>
      </c>
      <c r="R79" s="3">
        <f t="shared" si="27"/>
        <v>1.082342956725262</v>
      </c>
      <c r="S79" s="3">
        <f t="shared" si="28"/>
        <v>0.81332583840409511</v>
      </c>
      <c r="T79" s="3">
        <f t="shared" si="29"/>
        <v>1.0823962366674265</v>
      </c>
      <c r="U79" s="3">
        <f t="shared" si="30"/>
        <v>0.64084192962297204</v>
      </c>
      <c r="V79" s="3">
        <f t="shared" si="31"/>
        <v>1.2423859367678816</v>
      </c>
      <c r="W79">
        <f>COUNTIF('EPL DATA'!$F$763:$F$1142, $F79)</f>
        <v>19</v>
      </c>
      <c r="X79">
        <f>COUNTIF('EPL DATA'!$G$763:$G$1142, $F79)</f>
        <v>19</v>
      </c>
    </row>
    <row r="80" spans="2:24" x14ac:dyDescent="0.35">
      <c r="B80" t="s">
        <v>67</v>
      </c>
      <c r="F80" t="s">
        <v>42</v>
      </c>
      <c r="G80" s="3">
        <f>SUMIF('EPL DATA'!$F$763:$F$1142,$F80,'EPL DATA'!$Q$763:$Q$1142)/$W80</f>
        <v>2.0526315789473686</v>
      </c>
      <c r="H80" s="3">
        <f>SUMIF('EPL DATA'!$F$763:$F$1142,$F80,'EPL DATA'!$R$763:$R$1142)/$W80</f>
        <v>0.63157894736842102</v>
      </c>
      <c r="I80" s="3">
        <f>SUMIF('EPL DATA'!$G$763:$G$1142,$F80,'EPL DATA'!$R$763:$R$1142)/$X80</f>
        <v>1.263157894736842</v>
      </c>
      <c r="J80" s="3">
        <f>SUMIF('EPL DATA'!$G$763:$G$1142,$F80,'EPL DATA'!$Q$763:$Q$1142)/$X80</f>
        <v>1.4210526315789473</v>
      </c>
      <c r="K80" s="3">
        <f>SUMIF('EPL DATA'!$F$763:$F$1142,$F80,'EPL DATA'!$S$763:$S$1142)/$W80</f>
        <v>1.896315789473684</v>
      </c>
      <c r="L80" s="3">
        <f>SUMIF('EPL DATA'!$F$763:$F$1142,$F80,'EPL DATA'!$T$763:$T$1142)/$W80</f>
        <v>0.80157894736842095</v>
      </c>
      <c r="M80" s="3">
        <f>SUMIF('EPL DATA'!$G$763:$G$1142,$F80,'EPL DATA'!$T$763:$T$1142)/$X80</f>
        <v>1.7005263157894734</v>
      </c>
      <c r="N80" s="3">
        <f>SUMIF('EPL DATA'!$G$763:$G$1142,$F80,'EPL DATA'!$S$763:$S$1142)/$X80</f>
        <v>1.3747368421052633</v>
      </c>
      <c r="O80" s="3">
        <f t="shared" si="24"/>
        <v>1.3606716538416781</v>
      </c>
      <c r="P80" s="3">
        <f t="shared" si="25"/>
        <v>0.52798951821362727</v>
      </c>
      <c r="Q80" s="3">
        <f t="shared" si="26"/>
        <v>1.0589098020043997</v>
      </c>
      <c r="R80" s="3">
        <f t="shared" si="27"/>
        <v>0.94268580101877664</v>
      </c>
      <c r="S80" s="3">
        <f t="shared" si="28"/>
        <v>1.1888085175537342</v>
      </c>
      <c r="T80" s="3">
        <f t="shared" si="29"/>
        <v>0.58581715296534842</v>
      </c>
      <c r="U80" s="3">
        <f t="shared" si="30"/>
        <v>1.2450753304941811</v>
      </c>
      <c r="V80" s="3">
        <f t="shared" si="31"/>
        <v>0.8621445448559264</v>
      </c>
      <c r="W80">
        <f>COUNTIF('EPL DATA'!$F$763:$F$1142, $F80)</f>
        <v>19</v>
      </c>
      <c r="X80">
        <f>COUNTIF('EPL DATA'!$G$763:$G$1142, $F80)</f>
        <v>19</v>
      </c>
    </row>
    <row r="81" spans="2:25" x14ac:dyDescent="0.35">
      <c r="B81" s="2">
        <f>SUM(I75:I94)/20</f>
        <v>1.2526315789473683</v>
      </c>
      <c r="F81" t="s">
        <v>30</v>
      </c>
      <c r="G81" s="3">
        <f>SUMIF('EPL DATA'!$F$763:$F$1142,$F81,'EPL DATA'!$Q$763:$Q$1142)/$W81</f>
        <v>1</v>
      </c>
      <c r="H81" s="3">
        <f>SUMIF('EPL DATA'!$F$763:$F$1142,$F81,'EPL DATA'!$R$763:$R$1142)/$W81</f>
        <v>1.2105263157894737</v>
      </c>
      <c r="I81" s="3">
        <f>SUMIF('EPL DATA'!$G$763:$G$1142,$F81,'EPL DATA'!$R$763:$R$1142)/$X81</f>
        <v>1.6842105263157894</v>
      </c>
      <c r="J81" s="3">
        <f>SUMIF('EPL DATA'!$G$763:$G$1142,$F81,'EPL DATA'!$Q$763:$Q$1142)/$X81</f>
        <v>1.5789473684210527</v>
      </c>
      <c r="K81" s="3">
        <f>SUMIF('EPL DATA'!$F$763:$F$1142,$F81,'EPL DATA'!$S$763:$S$1142)/$W81</f>
        <v>1.4273684210526314</v>
      </c>
      <c r="L81" s="3">
        <f>SUMIF('EPL DATA'!$F$763:$F$1142,$F81,'EPL DATA'!$T$763:$T$1142)/$W81</f>
        <v>1.3263157894736839</v>
      </c>
      <c r="M81" s="3">
        <f>SUMIF('EPL DATA'!$G$763:$G$1142,$F81,'EPL DATA'!$T$763:$T$1142)/$X81</f>
        <v>1.1521052631578947</v>
      </c>
      <c r="N81" s="3">
        <f>SUMIF('EPL DATA'!$G$763:$G$1142,$F81,'EPL DATA'!$S$763:$S$1142)/$X81</f>
        <v>1.5199999999999998</v>
      </c>
      <c r="O81" s="3">
        <f t="shared" si="24"/>
        <v>0.66289131853825334</v>
      </c>
      <c r="P81" s="3">
        <f t="shared" si="25"/>
        <v>1.0119799099094524</v>
      </c>
      <c r="Q81" s="3">
        <f t="shared" si="26"/>
        <v>1.4118797360058664</v>
      </c>
      <c r="R81" s="3">
        <f t="shared" si="27"/>
        <v>1.0474286677986409</v>
      </c>
      <c r="S81" s="3">
        <f t="shared" si="28"/>
        <v>0.89482339705959679</v>
      </c>
      <c r="T81" s="3">
        <f t="shared" si="29"/>
        <v>0.96931006268724751</v>
      </c>
      <c r="U81" s="3">
        <f t="shared" si="30"/>
        <v>0.84353757302747212</v>
      </c>
      <c r="V81" s="3">
        <f t="shared" si="31"/>
        <v>0.95324404500149884</v>
      </c>
      <c r="W81">
        <f>COUNTIF('EPL DATA'!$F$763:$F$1142, $F81)</f>
        <v>19</v>
      </c>
      <c r="X81">
        <f>COUNTIF('EPL DATA'!$G$763:$G$1142, $F81)</f>
        <v>19</v>
      </c>
    </row>
    <row r="82" spans="2:25" x14ac:dyDescent="0.35">
      <c r="B82" t="s">
        <v>68</v>
      </c>
      <c r="F82" t="s">
        <v>28</v>
      </c>
      <c r="G82" s="3">
        <f>SUMIF('EPL DATA'!$F$763:$F$1142,$F82,'EPL DATA'!$Q$763:$Q$1142)/$W82</f>
        <v>1.5789473684210527</v>
      </c>
      <c r="H82" s="3">
        <f>SUMIF('EPL DATA'!$F$763:$F$1142,$F82,'EPL DATA'!$R$763:$R$1142)/$W82</f>
        <v>1.1052631578947369</v>
      </c>
      <c r="I82" s="3">
        <f>SUMIF('EPL DATA'!$G$763:$G$1142,$F82,'EPL DATA'!$R$763:$R$1142)/$X82</f>
        <v>1.263157894736842</v>
      </c>
      <c r="J82" s="3">
        <f>SUMIF('EPL DATA'!$G$763:$G$1142,$F82,'EPL DATA'!$Q$763:$Q$1142)/$X82</f>
        <v>1.3157894736842106</v>
      </c>
      <c r="K82" s="3">
        <f>SUMIF('EPL DATA'!$F$763:$F$1142,$F82,'EPL DATA'!$S$763:$S$1142)/$W82</f>
        <v>1.6457894736842105</v>
      </c>
      <c r="L82" s="3">
        <f>SUMIF('EPL DATA'!$F$763:$F$1142,$F82,'EPL DATA'!$T$763:$T$1142)/$W82</f>
        <v>1.2326315789473687</v>
      </c>
      <c r="M82" s="3">
        <f>SUMIF('EPL DATA'!$G$763:$G$1142,$F82,'EPL DATA'!$T$763:$T$1142)/$X82</f>
        <v>1.2489473684210526</v>
      </c>
      <c r="N82" s="3">
        <f>SUMIF('EPL DATA'!$G$763:$G$1142,$F82,'EPL DATA'!$S$763:$S$1142)/$X82</f>
        <v>1.3878947368421055</v>
      </c>
      <c r="O82" s="3">
        <f t="shared" si="24"/>
        <v>1.0466705029551369</v>
      </c>
      <c r="P82" s="3">
        <f t="shared" si="25"/>
        <v>0.92398165687384792</v>
      </c>
      <c r="Q82" s="3">
        <f t="shared" si="26"/>
        <v>1.0589098020043997</v>
      </c>
      <c r="R82" s="3">
        <f t="shared" si="27"/>
        <v>0.87285722316553405</v>
      </c>
      <c r="S82" s="3">
        <f t="shared" si="28"/>
        <v>1.0317524935860469</v>
      </c>
      <c r="T82" s="3">
        <f t="shared" si="29"/>
        <v>0.9008429233387043</v>
      </c>
      <c r="U82" s="3">
        <f t="shared" si="30"/>
        <v>0.91444251292562417</v>
      </c>
      <c r="V82" s="3">
        <f t="shared" si="31"/>
        <v>0.87039631117346028</v>
      </c>
      <c r="W82">
        <f>COUNTIF('EPL DATA'!$F$763:$F$1142, $F82)</f>
        <v>19</v>
      </c>
      <c r="X82">
        <f>COUNTIF('EPL DATA'!$G$763:$G$1142, $F82)</f>
        <v>19</v>
      </c>
    </row>
    <row r="83" spans="2:25" x14ac:dyDescent="0.35">
      <c r="B83" s="2">
        <f>SUM(J75:J94)/20</f>
        <v>1.5684210526315787</v>
      </c>
      <c r="F83" t="s">
        <v>48</v>
      </c>
      <c r="G83" s="3">
        <f>SUMIF('EPL DATA'!$F$763:$F$1142,$F83,'EPL DATA'!$Q$763:$Q$1142)/$W83</f>
        <v>1.1578947368421053</v>
      </c>
      <c r="H83" s="3">
        <f>SUMIF('EPL DATA'!$F$763:$F$1142,$F83,'EPL DATA'!$R$763:$R$1142)/$W83</f>
        <v>1.8947368421052631</v>
      </c>
      <c r="I83" s="3">
        <f>SUMIF('EPL DATA'!$G$763:$G$1142,$F83,'EPL DATA'!$R$763:$R$1142)/$X83</f>
        <v>0.63157894736842102</v>
      </c>
      <c r="J83" s="3">
        <f>SUMIF('EPL DATA'!$G$763:$G$1142,$F83,'EPL DATA'!$Q$763:$Q$1142)/$X83</f>
        <v>2.3684210526315788</v>
      </c>
      <c r="K83" s="3">
        <f>SUMIF('EPL DATA'!$F$763:$F$1142,$F83,'EPL DATA'!$S$763:$S$1142)/$W83</f>
        <v>1.2842105263157895</v>
      </c>
      <c r="L83" s="3">
        <f>SUMIF('EPL DATA'!$F$763:$F$1142,$F83,'EPL DATA'!$T$763:$T$1142)/$W83</f>
        <v>1.5926315789473686</v>
      </c>
      <c r="M83" s="3">
        <f>SUMIF('EPL DATA'!$G$763:$G$1142,$F83,'EPL DATA'!$T$763:$T$1142)/$X83</f>
        <v>0.91999999999999982</v>
      </c>
      <c r="N83" s="3">
        <f>SUMIF('EPL DATA'!$G$763:$G$1142,$F83,'EPL DATA'!$S$763:$S$1142)/$X83</f>
        <v>2.2931578947368423</v>
      </c>
      <c r="O83" s="3">
        <f>G83/$B$13</f>
        <v>0.76755836883376716</v>
      </c>
      <c r="P83" s="3">
        <f t="shared" si="25"/>
        <v>1.5839685546408819</v>
      </c>
      <c r="Q83" s="3">
        <f t="shared" si="26"/>
        <v>0.52945490100219983</v>
      </c>
      <c r="R83" s="3">
        <f t="shared" si="27"/>
        <v>1.5711430016979611</v>
      </c>
      <c r="S83" s="3">
        <f t="shared" si="28"/>
        <v>0.80507709764948987</v>
      </c>
      <c r="T83" s="3">
        <f t="shared" si="29"/>
        <v>1.1639413689252429</v>
      </c>
      <c r="U83" s="3">
        <f t="shared" si="30"/>
        <v>0.6735969290324445</v>
      </c>
      <c r="V83" s="3">
        <f t="shared" si="31"/>
        <v>1.4381178338197824</v>
      </c>
      <c r="W83">
        <f>COUNTIF('EPL DATA'!$F$763:$F$1142, $F83)</f>
        <v>19</v>
      </c>
      <c r="X83">
        <f>COUNTIF('EPL DATA'!$G$763:$G$1142, $F83)</f>
        <v>19</v>
      </c>
    </row>
    <row r="84" spans="2:25" x14ac:dyDescent="0.35">
      <c r="F84" t="s">
        <v>44</v>
      </c>
      <c r="G84" s="3">
        <f>SUMIF('EPL DATA'!$F$763:$F$1142,$F84,'EPL DATA'!$Q$763:$Q$1142)/$W84</f>
        <v>0.52631578947368418</v>
      </c>
      <c r="H84" s="3">
        <f>SUMIF('EPL DATA'!$F$763:$F$1142,$F84,'EPL DATA'!$R$763:$R$1142)/$W84</f>
        <v>1.631578947368421</v>
      </c>
      <c r="I84" s="3">
        <f>SUMIF('EPL DATA'!$G$763:$G$1142,$F84,'EPL DATA'!$R$763:$R$1142)/$X84</f>
        <v>0.63157894736842102</v>
      </c>
      <c r="J84" s="3">
        <f>SUMIF('EPL DATA'!$G$763:$G$1142,$F84,'EPL DATA'!$Q$763:$Q$1142)/$X84</f>
        <v>2.3684210526315788</v>
      </c>
      <c r="K84" s="3">
        <f>SUMIF('EPL DATA'!$F$763:$F$1142,$F84,'EPL DATA'!$S$763:$S$1142)/$W84</f>
        <v>0.85315789473684212</v>
      </c>
      <c r="L84" s="3">
        <f>SUMIF('EPL DATA'!$F$763:$F$1142,$F84,'EPL DATA'!$T$763:$T$1142)/$W84</f>
        <v>1.6163157894736842</v>
      </c>
      <c r="M84" s="3">
        <f>SUMIF('EPL DATA'!$G$763:$G$1142,$F84,'EPL DATA'!$T$763:$T$1142)/$X84</f>
        <v>0.73999999999999988</v>
      </c>
      <c r="N84" s="3">
        <f>SUMIF('EPL DATA'!$G$763:$G$1142,$F84,'EPL DATA'!$S$763:$S$1142)/$X84</f>
        <v>1.8694736842105262</v>
      </c>
      <c r="O84" s="3">
        <f t="shared" ref="O84:O94" si="32">G84/$B$13</f>
        <v>0.34889016765171227</v>
      </c>
      <c r="P84" s="3">
        <f t="shared" si="25"/>
        <v>1.3639729220518706</v>
      </c>
      <c r="Q84" s="3">
        <f t="shared" si="26"/>
        <v>0.52945490100219983</v>
      </c>
      <c r="R84" s="3">
        <f t="shared" si="27"/>
        <v>1.5711430016979611</v>
      </c>
      <c r="S84" s="3">
        <f t="shared" si="28"/>
        <v>0.53484835052861601</v>
      </c>
      <c r="T84" s="3">
        <f t="shared" si="29"/>
        <v>1.181250477187515</v>
      </c>
      <c r="U84" s="3">
        <f t="shared" si="30"/>
        <v>0.5418062255260967</v>
      </c>
      <c r="V84" s="3">
        <f t="shared" si="31"/>
        <v>1.1724109583951954</v>
      </c>
      <c r="W84">
        <f>COUNTIF('EPL DATA'!$F$763:$F$1142, $F84)</f>
        <v>19</v>
      </c>
      <c r="X84">
        <f>COUNTIF('EPL DATA'!$G$763:$G$1142, $F84)</f>
        <v>19</v>
      </c>
    </row>
    <row r="85" spans="2:25" x14ac:dyDescent="0.35">
      <c r="F85" t="s">
        <v>25</v>
      </c>
      <c r="G85" s="3">
        <f>SUMIF('EPL DATA'!$F$763:$F$1142,$F85,'EPL DATA'!$Q$763:$Q$1142)/$W85</f>
        <v>1.263157894736842</v>
      </c>
      <c r="H85" s="3">
        <f>SUMIF('EPL DATA'!$F$763:$F$1142,$F85,'EPL DATA'!$R$763:$R$1142)/$W85</f>
        <v>1.0526315789473684</v>
      </c>
      <c r="I85" s="3">
        <f>SUMIF('EPL DATA'!$G$763:$G$1142,$F85,'EPL DATA'!$R$763:$R$1142)/$X85</f>
        <v>1.4210526315789473</v>
      </c>
      <c r="J85" s="3">
        <f>SUMIF('EPL DATA'!$G$763:$G$1142,$F85,'EPL DATA'!$Q$763:$Q$1142)/$X85</f>
        <v>1.4736842105263157</v>
      </c>
      <c r="K85" s="3">
        <f>SUMIF('EPL DATA'!$F$763:$F$1142,$F85,'EPL DATA'!$S$763:$S$1142)/$W85</f>
        <v>1.4657894736842108</v>
      </c>
      <c r="L85" s="3">
        <f>SUMIF('EPL DATA'!$F$763:$F$1142,$F85,'EPL DATA'!$T$763:$T$1142)/$W85</f>
        <v>1.1184210526315792</v>
      </c>
      <c r="M85" s="3">
        <f>SUMIF('EPL DATA'!$G$763:$G$1142,$F85,'EPL DATA'!$T$763:$T$1142)/$X85</f>
        <v>1.3963157894736842</v>
      </c>
      <c r="N85" s="3">
        <f>SUMIF('EPL DATA'!$G$763:$G$1142,$F85,'EPL DATA'!$S$763:$S$1142)/$X85</f>
        <v>1.3526315789473686</v>
      </c>
      <c r="O85" s="3">
        <f t="shared" si="32"/>
        <v>0.83733640236410944</v>
      </c>
      <c r="P85" s="3">
        <f t="shared" si="25"/>
        <v>0.87998253035604546</v>
      </c>
      <c r="Q85" s="3">
        <f t="shared" si="26"/>
        <v>1.1912735272549497</v>
      </c>
      <c r="R85" s="3">
        <f t="shared" si="27"/>
        <v>0.97760008994539804</v>
      </c>
      <c r="S85" s="3">
        <f t="shared" si="28"/>
        <v>0.91890972006304494</v>
      </c>
      <c r="T85" s="3">
        <f t="shared" si="29"/>
        <v>0.81737455682952453</v>
      </c>
      <c r="U85" s="3">
        <f t="shared" si="30"/>
        <v>1.0223413345097687</v>
      </c>
      <c r="V85" s="3">
        <f t="shared" si="31"/>
        <v>0.84828157744246979</v>
      </c>
      <c r="W85">
        <f>COUNTIF('EPL DATA'!$F$763:$F$1142, $F85)</f>
        <v>19</v>
      </c>
      <c r="X85">
        <f>COUNTIF('EPL DATA'!$G$763:$G$1142, $F85)</f>
        <v>19</v>
      </c>
    </row>
    <row r="86" spans="2:25" x14ac:dyDescent="0.35">
      <c r="B86" t="s">
        <v>77</v>
      </c>
      <c r="F86" t="s">
        <v>41</v>
      </c>
      <c r="G86" s="3">
        <f>SUMIF('EPL DATA'!$F$763:$F$1142,$F86,'EPL DATA'!$Q$763:$Q$1142)/$W86</f>
        <v>2.8947368421052633</v>
      </c>
      <c r="H86" s="3">
        <f>SUMIF('EPL DATA'!$F$763:$F$1142,$F86,'EPL DATA'!$R$763:$R$1142)/$W86</f>
        <v>0.52631578947368418</v>
      </c>
      <c r="I86" s="3">
        <f>SUMIF('EPL DATA'!$G$763:$G$1142,$F86,'EPL DATA'!$R$763:$R$1142)/$X86</f>
        <v>1.7894736842105263</v>
      </c>
      <c r="J86" s="3">
        <f>SUMIF('EPL DATA'!$G$763:$G$1142,$F86,'EPL DATA'!$Q$763:$Q$1142)/$X86</f>
        <v>0.63157894736842102</v>
      </c>
      <c r="K86" s="3">
        <f>SUMIF('EPL DATA'!$F$763:$F$1142,$F86,'EPL DATA'!$S$763:$S$1142)/$W86</f>
        <v>2.5110526315789472</v>
      </c>
      <c r="L86" s="3">
        <f>SUMIF('EPL DATA'!$F$763:$F$1142,$F86,'EPL DATA'!$T$763:$T$1142)/$W86</f>
        <v>0.78999999999999992</v>
      </c>
      <c r="M86" s="3">
        <f>SUMIF('EPL DATA'!$G$763:$G$1142,$F86,'EPL DATA'!$T$763:$T$1142)/$X86</f>
        <v>1.9357894736842109</v>
      </c>
      <c r="N86" s="3">
        <f>SUMIF('EPL DATA'!$G$763:$G$1142,$F86,'EPL DATA'!$S$763:$S$1142)/$X86</f>
        <v>0.91947368421052622</v>
      </c>
      <c r="O86" s="3">
        <f t="shared" si="32"/>
        <v>1.9188959220844177</v>
      </c>
      <c r="P86" s="3">
        <f>H86/$B$15</f>
        <v>0.43999126517802273</v>
      </c>
      <c r="Q86" s="3">
        <f t="shared" si="26"/>
        <v>1.5001222195062331</v>
      </c>
      <c r="R86" s="3">
        <f t="shared" si="27"/>
        <v>0.41897146711945626</v>
      </c>
      <c r="S86" s="3">
        <f t="shared" si="28"/>
        <v>1.5741896856088999</v>
      </c>
      <c r="T86" s="3">
        <f t="shared" si="29"/>
        <v>0.5773549222593487</v>
      </c>
      <c r="U86" s="3">
        <f t="shared" si="30"/>
        <v>1.4173280920945834</v>
      </c>
      <c r="V86" s="3">
        <f t="shared" si="31"/>
        <v>0.57663343026925851</v>
      </c>
      <c r="W86">
        <f>COUNTIF('EPL DATA'!$F$763:$F$1142, $F86)</f>
        <v>19</v>
      </c>
      <c r="X86">
        <f>COUNTIF('EPL DATA'!$G$763:$G$1142, $F86)</f>
        <v>19</v>
      </c>
    </row>
    <row r="87" spans="2:25" x14ac:dyDescent="0.35">
      <c r="B87" s="2">
        <f>SUM(K75:K94)/20</f>
        <v>1.6167368421052632</v>
      </c>
      <c r="F87" t="s">
        <v>36</v>
      </c>
      <c r="G87" s="3">
        <f>SUMIF('EPL DATA'!$F$763:$F$1142,$F87,'EPL DATA'!$Q$763:$Q$1142)/$W87</f>
        <v>3</v>
      </c>
      <c r="H87" s="3">
        <f>SUMIF('EPL DATA'!$F$763:$F$1142,$F87,'EPL DATA'!$R$763:$R$1142)/$W87</f>
        <v>0.63157894736842102</v>
      </c>
      <c r="I87" s="3">
        <f>SUMIF('EPL DATA'!$G$763:$G$1142,$F87,'EPL DATA'!$R$763:$R$1142)/$X87</f>
        <v>2</v>
      </c>
      <c r="J87" s="3">
        <f>SUMIF('EPL DATA'!$G$763:$G$1142,$F87,'EPL DATA'!$Q$763:$Q$1142)/$X87</f>
        <v>0.57894736842105265</v>
      </c>
      <c r="K87" s="3">
        <f>SUMIF('EPL DATA'!$F$763:$F$1142,$F87,'EPL DATA'!$S$763:$S$1142)/$W87</f>
        <v>2.8789473684210525</v>
      </c>
      <c r="L87" s="3">
        <f>SUMIF('EPL DATA'!$F$763:$F$1142,$F87,'EPL DATA'!$T$763:$T$1142)/$W87</f>
        <v>0.79842105263157881</v>
      </c>
      <c r="M87" s="3">
        <f>SUMIF('EPL DATA'!$G$763:$G$1142,$F87,'EPL DATA'!$T$763:$T$1142)/$X87</f>
        <v>2.0773684210526313</v>
      </c>
      <c r="N87" s="3">
        <f>SUMIF('EPL DATA'!$G$763:$G$1142,$F87,'EPL DATA'!$S$763:$S$1142)/$X87</f>
        <v>0.66263157894736857</v>
      </c>
      <c r="O87" s="3">
        <f t="shared" si="32"/>
        <v>1.9886739556147601</v>
      </c>
      <c r="P87" s="3">
        <f t="shared" ref="P87:P94" si="33">H87/$B$15</f>
        <v>0.52798951821362727</v>
      </c>
      <c r="Q87" s="3">
        <f t="shared" si="26"/>
        <v>1.6766071865069663</v>
      </c>
      <c r="R87" s="3">
        <f t="shared" si="27"/>
        <v>0.38405717819283497</v>
      </c>
      <c r="S87" s="3">
        <f t="shared" si="28"/>
        <v>1.8048244771076678</v>
      </c>
      <c r="T87" s="3">
        <f t="shared" si="29"/>
        <v>0.58350927186371215</v>
      </c>
      <c r="U87" s="3">
        <f t="shared" si="30"/>
        <v>1.5209880314022075</v>
      </c>
      <c r="V87" s="3">
        <f t="shared" si="31"/>
        <v>0.41555895175099983</v>
      </c>
      <c r="W87">
        <f>COUNTIF('EPL DATA'!$F$763:$F$1142, $F87)</f>
        <v>19</v>
      </c>
      <c r="X87">
        <f>COUNTIF('EPL DATA'!$G$763:$G$1142, $F87)</f>
        <v>19</v>
      </c>
    </row>
    <row r="88" spans="2:25" x14ac:dyDescent="0.35">
      <c r="B88" t="s">
        <v>78</v>
      </c>
      <c r="F88" t="s">
        <v>39</v>
      </c>
      <c r="G88" s="3">
        <f>SUMIF('EPL DATA'!$F$763:$F$1142,$F88,'EPL DATA'!$Q$763:$Q$1142)/$W88</f>
        <v>1.736842105263158</v>
      </c>
      <c r="H88" s="3">
        <f>SUMIF('EPL DATA'!$F$763:$F$1142,$F88,'EPL DATA'!$R$763:$R$1142)/$W88</f>
        <v>1.3157894736842106</v>
      </c>
      <c r="I88" s="3">
        <f>SUMIF('EPL DATA'!$G$763:$G$1142,$F88,'EPL DATA'!$R$763:$R$1142)/$X88</f>
        <v>1.6842105263157894</v>
      </c>
      <c r="J88" s="3">
        <f>SUMIF('EPL DATA'!$G$763:$G$1142,$F88,'EPL DATA'!$Q$763:$Q$1142)/$X88</f>
        <v>1.5263157894736843</v>
      </c>
      <c r="K88" s="3">
        <f>SUMIF('EPL DATA'!$F$763:$F$1142,$F88,'EPL DATA'!$S$763:$S$1142)/$W88</f>
        <v>1.946315789473684</v>
      </c>
      <c r="L88" s="3">
        <f>SUMIF('EPL DATA'!$F$763:$F$1142,$F88,'EPL DATA'!$T$763:$T$1142)/$W88</f>
        <v>1.2715789473684211</v>
      </c>
      <c r="M88" s="3">
        <f>SUMIF('EPL DATA'!$G$763:$G$1142,$F88,'EPL DATA'!$T$763:$T$1142)/$X88</f>
        <v>1.6405263157894734</v>
      </c>
      <c r="N88" s="3">
        <f>SUMIF('EPL DATA'!$G$763:$G$1142,$F88,'EPL DATA'!$S$763:$S$1142)/$X88</f>
        <v>1.6263157894736844</v>
      </c>
      <c r="O88" s="3">
        <f t="shared" si="32"/>
        <v>1.1513375532506507</v>
      </c>
      <c r="P88" s="3">
        <f t="shared" si="33"/>
        <v>1.0999781629450569</v>
      </c>
      <c r="Q88" s="3">
        <f t="shared" si="26"/>
        <v>1.4118797360058664</v>
      </c>
      <c r="R88" s="3">
        <f t="shared" si="27"/>
        <v>1.0125143788720194</v>
      </c>
      <c r="S88" s="3">
        <f t="shared" si="28"/>
        <v>1.2201537324212348</v>
      </c>
      <c r="T88" s="3">
        <f t="shared" si="29"/>
        <v>0.92930679025888518</v>
      </c>
      <c r="U88" s="3">
        <f t="shared" si="30"/>
        <v>1.2011450959920651</v>
      </c>
      <c r="V88" s="3">
        <f t="shared" si="31"/>
        <v>1.0199183168471717</v>
      </c>
      <c r="W88">
        <f>COUNTIF('EPL DATA'!$F$763:$F$1142, $F88)</f>
        <v>19</v>
      </c>
      <c r="X88">
        <f>COUNTIF('EPL DATA'!$G$763:$G$1142, $F88)</f>
        <v>19</v>
      </c>
    </row>
    <row r="89" spans="2:25" x14ac:dyDescent="0.35">
      <c r="B89" s="2">
        <f>SUM(L75:L94)/20</f>
        <v>1.3040263157894738</v>
      </c>
      <c r="F89" t="s">
        <v>46</v>
      </c>
      <c r="G89" s="3">
        <f>SUMIF('EPL DATA'!$F$763:$F$1142,$F89,'EPL DATA'!$Q$763:$Q$1142)/$W89</f>
        <v>1.263157894736842</v>
      </c>
      <c r="H89" s="3">
        <f>SUMIF('EPL DATA'!$F$763:$F$1142,$F89,'EPL DATA'!$R$763:$R$1142)/$W89</f>
        <v>1.3157894736842106</v>
      </c>
      <c r="I89" s="3">
        <f>SUMIF('EPL DATA'!$G$763:$G$1142,$F89,'EPL DATA'!$R$763:$R$1142)/$X89</f>
        <v>0.94736842105263153</v>
      </c>
      <c r="J89" s="3">
        <f>SUMIF('EPL DATA'!$G$763:$G$1142,$F89,'EPL DATA'!$Q$763:$Q$1142)/$X89</f>
        <v>1.2105263157894737</v>
      </c>
      <c r="K89" s="3">
        <f>SUMIF('EPL DATA'!$F$763:$F$1142,$F89,'EPL DATA'!$S$763:$S$1142)/$W89</f>
        <v>1.263684210526316</v>
      </c>
      <c r="L89" s="3">
        <f>SUMIF('EPL DATA'!$F$763:$F$1142,$F89,'EPL DATA'!$T$763:$T$1142)/$W89</f>
        <v>1.412105263157895</v>
      </c>
      <c r="M89" s="3">
        <f>SUMIF('EPL DATA'!$G$763:$G$1142,$F89,'EPL DATA'!$T$763:$T$1142)/$X89</f>
        <v>0.93789473684210523</v>
      </c>
      <c r="N89" s="3">
        <f>SUMIF('EPL DATA'!$G$763:$G$1142,$F89,'EPL DATA'!$S$763:$S$1142)/$X89</f>
        <v>1.7231578947368422</v>
      </c>
      <c r="O89" s="3">
        <f t="shared" si="32"/>
        <v>0.83733640236410944</v>
      </c>
      <c r="P89" s="3">
        <f t="shared" si="33"/>
        <v>1.0999781629450569</v>
      </c>
      <c r="Q89" s="3">
        <f t="shared" si="26"/>
        <v>0.79418235150329985</v>
      </c>
      <c r="R89" s="3">
        <f t="shared" si="27"/>
        <v>0.80302864531229123</v>
      </c>
      <c r="S89" s="3">
        <f t="shared" si="28"/>
        <v>0.79220906207230546</v>
      </c>
      <c r="T89" s="3">
        <f t="shared" si="29"/>
        <v>1.0320074992817008</v>
      </c>
      <c r="U89" s="3">
        <f t="shared" si="30"/>
        <v>0.68669892879623362</v>
      </c>
      <c r="V89" s="3">
        <f t="shared" si="31"/>
        <v>1.0806513169442202</v>
      </c>
      <c r="W89">
        <f>COUNTIF('EPL DATA'!$F$763:$F$1142, $F89)</f>
        <v>19</v>
      </c>
      <c r="X89">
        <f>COUNTIF('EPL DATA'!$G$763:$G$1142, $F89)</f>
        <v>19</v>
      </c>
    </row>
    <row r="90" spans="2:25" x14ac:dyDescent="0.35">
      <c r="B90" t="s">
        <v>79</v>
      </c>
      <c r="F90" t="s">
        <v>34</v>
      </c>
      <c r="G90" s="3">
        <f>SUMIF('EPL DATA'!$F$763:$F$1142,$F90,'EPL DATA'!$Q$763:$Q$1142)/$W90</f>
        <v>1.4210526315789473</v>
      </c>
      <c r="H90" s="3">
        <f>SUMIF('EPL DATA'!$F$763:$F$1142,$F90,'EPL DATA'!$R$763:$R$1142)/$W90</f>
        <v>1.5789473684210527</v>
      </c>
      <c r="I90" s="3">
        <f>SUMIF('EPL DATA'!$G$763:$G$1142,$F90,'EPL DATA'!$R$763:$R$1142)/$X90</f>
        <v>0.94736842105263153</v>
      </c>
      <c r="J90" s="3">
        <f>SUMIF('EPL DATA'!$G$763:$G$1142,$F90,'EPL DATA'!$Q$763:$Q$1142)/$X90</f>
        <v>1.8421052631578947</v>
      </c>
      <c r="K90" s="3">
        <f>SUMIF('EPL DATA'!$F$763:$F$1142,$F90,'EPL DATA'!$S$763:$S$1142)/$W90</f>
        <v>1.4273684210526314</v>
      </c>
      <c r="L90" s="3">
        <f>SUMIF('EPL DATA'!$F$763:$F$1142,$F90,'EPL DATA'!$T$763:$T$1142)/$W90</f>
        <v>1.4515789473684211</v>
      </c>
      <c r="M90" s="3">
        <f>SUMIF('EPL DATA'!$G$763:$G$1142,$F90,'EPL DATA'!$T$763:$T$1142)/$X90</f>
        <v>1.2721052631578948</v>
      </c>
      <c r="N90" s="3">
        <f>SUMIF('EPL DATA'!$G$763:$G$1142,$F90,'EPL DATA'!$S$763:$S$1142)/$X90</f>
        <v>1.6810526315789474</v>
      </c>
      <c r="O90" s="3">
        <f t="shared" si="32"/>
        <v>0.94200345265962326</v>
      </c>
      <c r="P90" s="3">
        <f t="shared" si="33"/>
        <v>1.3199737955340682</v>
      </c>
      <c r="Q90" s="3">
        <f t="shared" si="26"/>
        <v>0.79418235150329985</v>
      </c>
      <c r="R90" s="3">
        <f t="shared" si="27"/>
        <v>1.2220001124317474</v>
      </c>
      <c r="S90" s="3">
        <f t="shared" si="28"/>
        <v>0.89482339705959679</v>
      </c>
      <c r="T90" s="3">
        <f t="shared" si="29"/>
        <v>1.0608560130521545</v>
      </c>
      <c r="U90" s="3">
        <f t="shared" si="30"/>
        <v>0.93139804203170418</v>
      </c>
      <c r="V90" s="3">
        <f t="shared" si="31"/>
        <v>1.054245664728112</v>
      </c>
      <c r="W90">
        <f>COUNTIF('EPL DATA'!$F$763:$F$1142, $F90)</f>
        <v>19</v>
      </c>
      <c r="X90">
        <f>COUNTIF('EPL DATA'!$G$763:$G$1142, $F90)</f>
        <v>19</v>
      </c>
    </row>
    <row r="91" spans="2:25" x14ac:dyDescent="0.35">
      <c r="B91" s="2">
        <f>SUM(M75:M94)/20</f>
        <v>1.3040263157894736</v>
      </c>
      <c r="F91" t="s">
        <v>29</v>
      </c>
      <c r="G91" s="3">
        <f>SUMIF('EPL DATA'!$F$763:$F$1142,$F91,'EPL DATA'!$Q$763:$Q$1142)/$W91</f>
        <v>1.7894736842105263</v>
      </c>
      <c r="H91" s="3">
        <f>SUMIF('EPL DATA'!$F$763:$F$1142,$F91,'EPL DATA'!$R$763:$R$1142)/$W91</f>
        <v>0.84210526315789469</v>
      </c>
      <c r="I91" s="3">
        <f>SUMIF('EPL DATA'!$G$763:$G$1142,$F91,'EPL DATA'!$R$763:$R$1142)/$X91</f>
        <v>1.736842105263158</v>
      </c>
      <c r="J91" s="3">
        <f>SUMIF('EPL DATA'!$G$763:$G$1142,$F91,'EPL DATA'!$Q$763:$Q$1142)/$X91</f>
        <v>1.2105263157894737</v>
      </c>
      <c r="K91" s="3">
        <f>SUMIF('EPL DATA'!$F$763:$F$1142,$F91,'EPL DATA'!$S$763:$S$1142)/$W91</f>
        <v>1.8842105263157889</v>
      </c>
      <c r="L91" s="3">
        <f>SUMIF('EPL DATA'!$F$763:$F$1142,$F91,'EPL DATA'!$T$763:$T$1142)/$W91</f>
        <v>1.4294736842105262</v>
      </c>
      <c r="M91" s="3">
        <f>SUMIF('EPL DATA'!$G$763:$G$1142,$F91,'EPL DATA'!$T$763:$T$1142)/$X91</f>
        <v>1.5452631578947369</v>
      </c>
      <c r="N91" s="3">
        <f>SUMIF('EPL DATA'!$G$763:$G$1142,$F91,'EPL DATA'!$S$763:$S$1142)/$X91</f>
        <v>1.2226315789473685</v>
      </c>
      <c r="O91" s="3">
        <f t="shared" si="32"/>
        <v>1.1862265700158219</v>
      </c>
      <c r="P91" s="3">
        <f t="shared" si="33"/>
        <v>0.70398602428483636</v>
      </c>
      <c r="Q91" s="3">
        <f t="shared" si="26"/>
        <v>1.4560009777560499</v>
      </c>
      <c r="R91" s="3">
        <f t="shared" si="27"/>
        <v>0.80302864531229123</v>
      </c>
      <c r="S91" s="3">
        <f t="shared" si="28"/>
        <v>1.1812196760594971</v>
      </c>
      <c r="T91" s="3">
        <f t="shared" si="29"/>
        <v>1.0447008453407003</v>
      </c>
      <c r="U91" s="3">
        <f t="shared" si="30"/>
        <v>1.1313962148966004</v>
      </c>
      <c r="V91" s="3">
        <f t="shared" si="31"/>
        <v>0.76675412622523631</v>
      </c>
      <c r="W91">
        <f>COUNTIF('EPL DATA'!$F$763:$F$1142, $F91)</f>
        <v>19</v>
      </c>
      <c r="X91">
        <f>COUNTIF('EPL DATA'!$G$763:$G$1142, $F91)</f>
        <v>19</v>
      </c>
    </row>
    <row r="92" spans="2:25" x14ac:dyDescent="0.35">
      <c r="B92" t="s">
        <v>80</v>
      </c>
      <c r="F92" t="s">
        <v>35</v>
      </c>
      <c r="G92" s="3">
        <f>SUMIF('EPL DATA'!$F$763:$F$1142,$F92,'EPL DATA'!$Q$763:$Q$1142)/$W92</f>
        <v>1.368421052631579</v>
      </c>
      <c r="H92" s="3">
        <f>SUMIF('EPL DATA'!$F$763:$F$1142,$F92,'EPL DATA'!$R$763:$R$1142)/$W92</f>
        <v>1.4736842105263157</v>
      </c>
      <c r="I92" s="3">
        <f>SUMIF('EPL DATA'!$G$763:$G$1142,$F92,'EPL DATA'!$R$763:$R$1142)/$X92</f>
        <v>1.368421052631579</v>
      </c>
      <c r="J92" s="3">
        <f>SUMIF('EPL DATA'!$G$763:$G$1142,$F92,'EPL DATA'!$Q$763:$Q$1142)/$X92</f>
        <v>1.631578947368421</v>
      </c>
      <c r="K92" s="3">
        <f>SUMIF('EPL DATA'!$F$763:$F$1142,$F92,'EPL DATA'!$S$763:$S$1142)/$W92</f>
        <v>1.3284210526315789</v>
      </c>
      <c r="L92" s="3">
        <f>SUMIF('EPL DATA'!$F$763:$F$1142,$F92,'EPL DATA'!$T$763:$T$1142)/$W92</f>
        <v>1.631578947368421</v>
      </c>
      <c r="M92" s="3">
        <f>SUMIF('EPL DATA'!$G$763:$G$1142,$F92,'EPL DATA'!$T$763:$T$1142)/$X92</f>
        <v>1.3689473684210525</v>
      </c>
      <c r="N92" s="3">
        <f>SUMIF('EPL DATA'!$G$763:$G$1142,$F92,'EPL DATA'!$S$763:$S$1142)/$X92</f>
        <v>1.8221052631578947</v>
      </c>
      <c r="O92" s="3">
        <f t="shared" si="32"/>
        <v>0.90711443589445206</v>
      </c>
      <c r="P92" s="3">
        <f t="shared" si="33"/>
        <v>1.2319755424984637</v>
      </c>
      <c r="Q92" s="3">
        <f t="shared" si="26"/>
        <v>1.1471522855047664</v>
      </c>
      <c r="R92" s="3">
        <f t="shared" si="27"/>
        <v>1.082342956725262</v>
      </c>
      <c r="S92" s="3">
        <f t="shared" si="28"/>
        <v>0.8327928665849641</v>
      </c>
      <c r="T92" s="3">
        <f t="shared" si="29"/>
        <v>1.1924052358454238</v>
      </c>
      <c r="U92" s="3">
        <f t="shared" si="30"/>
        <v>1.0023029819298561</v>
      </c>
      <c r="V92" s="3">
        <f t="shared" si="31"/>
        <v>1.1427045996520739</v>
      </c>
      <c r="W92">
        <f>COUNTIF('EPL DATA'!$F$763:$F$1142, $F92)</f>
        <v>19</v>
      </c>
      <c r="X92">
        <f>COUNTIF('EPL DATA'!$G$763:$G$1142, $F92)</f>
        <v>19</v>
      </c>
    </row>
    <row r="93" spans="2:25" x14ac:dyDescent="0.35">
      <c r="B93" s="2">
        <f>SUM(N75:N94)/20</f>
        <v>1.6167368421052628</v>
      </c>
      <c r="F93" t="s">
        <v>43</v>
      </c>
      <c r="G93" s="3">
        <f>SUMIF('EPL DATA'!$F$763:$F$1142,$F93,'EPL DATA'!$Q$763:$Q$1142)/$W93</f>
        <v>1.6842105263157894</v>
      </c>
      <c r="H93" s="3">
        <f>SUMIF('EPL DATA'!$F$763:$F$1142,$F93,'EPL DATA'!$R$763:$R$1142)/$W93</f>
        <v>1.4210526315789473</v>
      </c>
      <c r="I93" s="3">
        <f>SUMIF('EPL DATA'!$G$763:$G$1142,$F93,'EPL DATA'!$R$763:$R$1142)/$X93</f>
        <v>1.0526315789473684</v>
      </c>
      <c r="J93" s="3">
        <f>SUMIF('EPL DATA'!$G$763:$G$1142,$F93,'EPL DATA'!$Q$763:$Q$1142)/$X93</f>
        <v>1.4736842105263157</v>
      </c>
      <c r="K93" s="3">
        <f>SUMIF('EPL DATA'!$F$763:$F$1142,$F93,'EPL DATA'!$S$763:$S$1142)/$W93</f>
        <v>1.3815789473684212</v>
      </c>
      <c r="L93" s="3">
        <f>SUMIF('EPL DATA'!$F$763:$F$1142,$F93,'EPL DATA'!$T$763:$T$1142)/$W93</f>
        <v>1.3626315789473689</v>
      </c>
      <c r="M93" s="3">
        <f>SUMIF('EPL DATA'!$G$763:$G$1142,$F93,'EPL DATA'!$T$763:$T$1142)/$X93</f>
        <v>1.2194736842105263</v>
      </c>
      <c r="N93" s="3">
        <f>SUMIF('EPL DATA'!$G$763:$G$1142,$F93,'EPL DATA'!$S$763:$S$1142)/$X93</f>
        <v>2.1489473684210525</v>
      </c>
      <c r="O93" s="3">
        <f t="shared" si="32"/>
        <v>1.1164485364854793</v>
      </c>
      <c r="P93" s="3">
        <f t="shared" si="33"/>
        <v>1.1879764159806614</v>
      </c>
      <c r="Q93" s="3">
        <f t="shared" si="26"/>
        <v>0.88242483500366642</v>
      </c>
      <c r="R93" s="3">
        <f t="shared" si="27"/>
        <v>0.97760008994539804</v>
      </c>
      <c r="S93" s="3">
        <f t="shared" si="28"/>
        <v>0.86611777923357014</v>
      </c>
      <c r="T93" s="3">
        <f t="shared" si="29"/>
        <v>0.99585069535606552</v>
      </c>
      <c r="U93" s="3">
        <f t="shared" si="30"/>
        <v>0.89286274860879533</v>
      </c>
      <c r="V93" s="3">
        <f t="shared" si="31"/>
        <v>1.3476784749796122</v>
      </c>
      <c r="W93">
        <f>COUNTIF('EPL DATA'!$F$763:$F$1142, $F93)</f>
        <v>19</v>
      </c>
      <c r="X93">
        <f>COUNTIF('EPL DATA'!$G$763:$G$1142, $F93)</f>
        <v>19</v>
      </c>
    </row>
    <row r="94" spans="2:25" x14ac:dyDescent="0.35">
      <c r="F94" t="s">
        <v>49</v>
      </c>
      <c r="G94" s="3">
        <f>SUMIF('EPL DATA'!$F$763:$F$1142,$F94,'EPL DATA'!$Q$763:$Q$1142)/$W94</f>
        <v>1.4736842105263157</v>
      </c>
      <c r="H94" s="3">
        <f>SUMIF('EPL DATA'!$F$763:$F$1142,$F94,'EPL DATA'!$R$763:$R$1142)/$W94</f>
        <v>1.1052631578947369</v>
      </c>
      <c r="I94" s="3">
        <f>SUMIF('EPL DATA'!$G$763:$G$1142,$F94,'EPL DATA'!$R$763:$R$1142)/$X94</f>
        <v>1</v>
      </c>
      <c r="J94" s="3">
        <f>SUMIF('EPL DATA'!$G$763:$G$1142,$F94,'EPL DATA'!$Q$763:$Q$1142)/$X94</f>
        <v>1.3157894736842106</v>
      </c>
      <c r="K94" s="3">
        <f>SUMIF('EPL DATA'!$F$763:$F$1142,$F94,'EPL DATA'!$S$763:$S$1142)/$W94</f>
        <v>1.7257894736842105</v>
      </c>
      <c r="L94" s="3">
        <f>SUMIF('EPL DATA'!$F$763:$F$1142,$F94,'EPL DATA'!$T$763:$T$1142)/$W94</f>
        <v>1.1021052631578947</v>
      </c>
      <c r="M94" s="3">
        <f>SUMIF('EPL DATA'!$G$763:$G$1142,$F94,'EPL DATA'!$T$763:$T$1142)/$X94</f>
        <v>1.1647368421052633</v>
      </c>
      <c r="N94" s="3">
        <f>SUMIF('EPL DATA'!$G$763:$G$1142,$F94,'EPL DATA'!$S$763:$S$1142)/$X94</f>
        <v>1.28</v>
      </c>
      <c r="O94" s="3">
        <f t="shared" si="32"/>
        <v>0.97689246942479446</v>
      </c>
      <c r="P94" s="3">
        <f t="shared" si="33"/>
        <v>0.92398165687384792</v>
      </c>
      <c r="Q94" s="3">
        <f t="shared" si="26"/>
        <v>0.83830359325348314</v>
      </c>
      <c r="R94" s="3">
        <f t="shared" si="27"/>
        <v>0.87285722316553405</v>
      </c>
      <c r="S94" s="3">
        <f>K94/$B$23</f>
        <v>1.0819048373740481</v>
      </c>
      <c r="T94" s="3">
        <f t="shared" si="29"/>
        <v>0.80545050447107014</v>
      </c>
      <c r="U94" s="3">
        <f t="shared" si="30"/>
        <v>0.85278604344897035</v>
      </c>
      <c r="V94" s="3">
        <f t="shared" si="31"/>
        <v>0.8027318273696834</v>
      </c>
      <c r="W94">
        <f>COUNTIF('EPL DATA'!$F$763:$F$1142, $F94)</f>
        <v>19</v>
      </c>
      <c r="X94">
        <f>COUNTIF('EPL DATA'!$G$763:$G$1142, $F94)</f>
        <v>19</v>
      </c>
      <c r="Y94" s="27">
        <f>SUM(W75:X94)</f>
        <v>760</v>
      </c>
    </row>
  </sheetData>
  <sortState xmlns:xlrd2="http://schemas.microsoft.com/office/spreadsheetml/2017/richdata2" ref="D11:N30">
    <sortCondition ref="F11:F30"/>
  </sortState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6703-AB18-4BEE-A3BD-27CD623768D6}">
  <dimension ref="B1:AU510"/>
  <sheetViews>
    <sheetView tabSelected="1" topLeftCell="R1" zoomScale="80" zoomScaleNormal="100" workbookViewId="0">
      <selection activeCell="Y8" sqref="Y8"/>
    </sheetView>
    <sheetView tabSelected="1" topLeftCell="X1" zoomScale="82" workbookViewId="1">
      <selection activeCell="X2" sqref="X2"/>
    </sheetView>
  </sheetViews>
  <sheetFormatPr defaultRowHeight="14.5" x14ac:dyDescent="0.35"/>
  <cols>
    <col min="2" max="2" width="40.36328125" bestFit="1" customWidth="1"/>
    <col min="3" max="3" width="31.54296875" bestFit="1" customWidth="1"/>
    <col min="4" max="4" width="16.7265625" bestFit="1" customWidth="1"/>
    <col min="5" max="5" width="17.36328125" bestFit="1" customWidth="1"/>
    <col min="18" max="18" width="17.81640625" customWidth="1"/>
    <col min="22" max="22" width="12.7265625" bestFit="1" customWidth="1"/>
    <col min="23" max="23" width="21.1796875" bestFit="1" customWidth="1"/>
    <col min="24" max="24" width="16.6328125" style="28" bestFit="1" customWidth="1"/>
    <col min="26" max="26" width="24.81640625" bestFit="1" customWidth="1"/>
    <col min="27" max="27" width="26" style="28" bestFit="1" customWidth="1"/>
    <col min="28" max="29" width="18.6328125" bestFit="1" customWidth="1"/>
    <col min="30" max="30" width="18.453125" bestFit="1" customWidth="1"/>
    <col min="31" max="31" width="12.7265625" bestFit="1" customWidth="1"/>
    <col min="32" max="32" width="27.90625" bestFit="1" customWidth="1"/>
    <col min="33" max="33" width="17.6328125" bestFit="1" customWidth="1"/>
    <col min="34" max="34" width="10.6328125" bestFit="1" customWidth="1"/>
    <col min="35" max="35" width="12.1796875" bestFit="1" customWidth="1"/>
    <col min="36" max="36" width="12.08984375" bestFit="1" customWidth="1"/>
    <col min="37" max="37" width="14.26953125" bestFit="1" customWidth="1"/>
    <col min="38" max="38" width="13.90625" bestFit="1" customWidth="1"/>
    <col min="39" max="39" width="13.6328125" bestFit="1" customWidth="1"/>
    <col min="41" max="41" width="12.36328125" bestFit="1" customWidth="1"/>
    <col min="42" max="43" width="11.90625" bestFit="1" customWidth="1"/>
    <col min="45" max="45" width="13.26953125" bestFit="1" customWidth="1"/>
    <col min="46" max="47" width="12.90625" bestFit="1" customWidth="1"/>
  </cols>
  <sheetData>
    <row r="1" spans="2:47" x14ac:dyDescent="0.35">
      <c r="AJ1" t="s">
        <v>171</v>
      </c>
      <c r="AK1" t="s">
        <v>169</v>
      </c>
      <c r="AL1" t="s">
        <v>170</v>
      </c>
      <c r="AO1" t="s">
        <v>175</v>
      </c>
      <c r="AP1" t="s">
        <v>176</v>
      </c>
      <c r="AQ1" t="s">
        <v>177</v>
      </c>
      <c r="AS1" t="s">
        <v>181</v>
      </c>
      <c r="AT1" t="s">
        <v>182</v>
      </c>
      <c r="AU1" t="s">
        <v>183</v>
      </c>
    </row>
    <row r="2" spans="2:47" x14ac:dyDescent="0.35">
      <c r="R2" s="27">
        <v>1</v>
      </c>
      <c r="S2" s="27" t="s">
        <v>115</v>
      </c>
      <c r="W2" t="s">
        <v>158</v>
      </c>
      <c r="X2" s="28">
        <f>COUNTIF($W$22:$W$509, $R$2)/COUNT($W$22:$W$509)</f>
        <v>0.53125</v>
      </c>
      <c r="Z2" t="s">
        <v>160</v>
      </c>
      <c r="AA2" s="28">
        <f>COUNTIF($Z$22:$Z$509, $R$2)/COUNT($Z$22:$Z$509)</f>
        <v>0.29411764705882354</v>
      </c>
      <c r="AF2" t="s">
        <v>164</v>
      </c>
      <c r="AG2" s="28">
        <f>COUNTIF($AF$22:$AF$509, $R$2)/COUNT($AF$22:$AF$509)</f>
        <v>0.54062500000000002</v>
      </c>
      <c r="AJ2" s="4">
        <f>COUNTIF($AB$22:$AB$509,$R$2)/COUNT($AB$22:$AB$509)</f>
        <v>0.64383561643835618</v>
      </c>
      <c r="AK2" s="4">
        <f>COUNTIF($AC$22:$AC$509,$R$2)/COUNT($AC$22:$AC$509)</f>
        <v>0.26315789473684209</v>
      </c>
      <c r="AL2" s="4">
        <f>COUNTIF($AD$22:$AD$509,$R$2)/COUNT($AD$22:$AD$509)</f>
        <v>0.45806451612903226</v>
      </c>
      <c r="AO2" s="4">
        <f>COUNTIF($AH$22:$AH$509,$R$2)/COUNT($AH$22:$AH$509)</f>
        <v>0.55609756097560981</v>
      </c>
      <c r="AP2" s="4">
        <v>0</v>
      </c>
      <c r="AQ2" s="4">
        <f>COUNTIF($AJ$22:$AJ$509,$R$2)/COUNT($AJ$22:$AJ$509)</f>
        <v>0.5130434782608696</v>
      </c>
      <c r="AS2">
        <f>SUM(AK22:AK509)</f>
        <v>15.820000000000006</v>
      </c>
      <c r="AT2">
        <f t="shared" ref="AT2:AU2" si="0">SUM(AL22:AL509)</f>
        <v>-0.66000000000000059</v>
      </c>
      <c r="AU2">
        <f t="shared" si="0"/>
        <v>5.0000000000000009</v>
      </c>
    </row>
    <row r="3" spans="2:47" x14ac:dyDescent="0.35">
      <c r="B3" t="s">
        <v>98</v>
      </c>
      <c r="C3" s="24">
        <v>0.3</v>
      </c>
      <c r="R3" s="27">
        <v>0</v>
      </c>
      <c r="S3" s="27" t="s">
        <v>187</v>
      </c>
      <c r="W3" t="s">
        <v>159</v>
      </c>
      <c r="X3" s="28">
        <f>COUNTIF($W$22:$W$352, $R$2)/COUNT($W$22:$W$352)</f>
        <v>0.51818181818181819</v>
      </c>
      <c r="Z3" t="s">
        <v>161</v>
      </c>
      <c r="AA3" s="28">
        <f>COUNTIF($Z$22:$Z$352, $R$2)/COUNT($Z$22:$Z$352)</f>
        <v>0.2982456140350877</v>
      </c>
      <c r="AF3" t="s">
        <v>165</v>
      </c>
      <c r="AG3" s="28">
        <f>COUNTIF($AF$22:$AF$352, $R$2)/COUNT($AF$22:$AF$352)</f>
        <v>0.54090909090909089</v>
      </c>
      <c r="AJ3" s="4">
        <f>COUNTIF($AB$22:$AB$352,$R$2)/COUNT($AB$22:$AB$352)</f>
        <v>0.62</v>
      </c>
      <c r="AK3" s="4">
        <f>COUNTIF($AC$22:$AC$352,$R$2)/COUNT($AC$22:$AC$352)</f>
        <v>0.33333333333333331</v>
      </c>
      <c r="AL3" s="4">
        <f>COUNTIF($AD$22:$AD$352,$R$2)/COUNT($AD$22:$AD$352)</f>
        <v>0.44444444444444442</v>
      </c>
      <c r="AO3" s="4">
        <f>COUNTIF($AH$22:$AH$352,$R$2)/COUNT($AH$22:$AH$352)</f>
        <v>0.53793103448275859</v>
      </c>
      <c r="AP3" s="4">
        <v>0</v>
      </c>
      <c r="AQ3" s="4">
        <f>COUNTIF($AJ$22:$AJ$352,$R$2)/COUNT($AJ$22:$AJ$352)</f>
        <v>0.54666666666666663</v>
      </c>
      <c r="AS3">
        <f>SUM(AK22:AK352)</f>
        <v>4.1600000000000028</v>
      </c>
      <c r="AT3">
        <f>SUM(AL22:AL352)</f>
        <v>2.8599999999999994</v>
      </c>
      <c r="AU3">
        <f>SUM(AM22:AM352)</f>
        <v>2.9800000000000004</v>
      </c>
    </row>
    <row r="4" spans="2:47" x14ac:dyDescent="0.35">
      <c r="B4" t="s">
        <v>99</v>
      </c>
      <c r="C4" s="24">
        <v>0.7</v>
      </c>
      <c r="H4" s="21" t="s">
        <v>107</v>
      </c>
      <c r="K4" s="22" t="s">
        <v>185</v>
      </c>
      <c r="N4" t="s">
        <v>186</v>
      </c>
    </row>
    <row r="5" spans="2:47" x14ac:dyDescent="0.35">
      <c r="G5" t="s">
        <v>103</v>
      </c>
      <c r="H5" t="s">
        <v>104</v>
      </c>
      <c r="I5" t="s">
        <v>105</v>
      </c>
      <c r="K5" t="s">
        <v>103</v>
      </c>
      <c r="L5" t="s">
        <v>104</v>
      </c>
      <c r="M5" t="s">
        <v>105</v>
      </c>
      <c r="N5" t="s">
        <v>103</v>
      </c>
      <c r="O5" t="s">
        <v>104</v>
      </c>
      <c r="P5" t="s">
        <v>105</v>
      </c>
      <c r="R5" t="s">
        <v>110</v>
      </c>
      <c r="S5" s="33" t="s">
        <v>190</v>
      </c>
      <c r="T5" s="33"/>
      <c r="U5" s="33"/>
      <c r="V5" t="s">
        <v>112</v>
      </c>
      <c r="W5" t="s">
        <v>111</v>
      </c>
      <c r="X5" s="28" t="s">
        <v>114</v>
      </c>
      <c r="Z5" t="s">
        <v>188</v>
      </c>
      <c r="AA5" s="28" t="s">
        <v>189</v>
      </c>
      <c r="AB5" t="s">
        <v>166</v>
      </c>
      <c r="AC5" t="s">
        <v>167</v>
      </c>
      <c r="AD5" t="s">
        <v>168</v>
      </c>
      <c r="AE5" t="s">
        <v>162</v>
      </c>
      <c r="AF5" t="s">
        <v>163</v>
      </c>
      <c r="AG5" t="s">
        <v>114</v>
      </c>
      <c r="AH5" t="s">
        <v>172</v>
      </c>
      <c r="AI5" t="s">
        <v>173</v>
      </c>
      <c r="AJ5" t="s">
        <v>174</v>
      </c>
      <c r="AK5" t="s">
        <v>178</v>
      </c>
      <c r="AL5" t="s">
        <v>179</v>
      </c>
      <c r="AM5" t="s">
        <v>180</v>
      </c>
    </row>
    <row r="6" spans="2:47" x14ac:dyDescent="0.35">
      <c r="C6" t="str">
        <f>D6&amp;E6</f>
        <v>Leicester CityManchester United</v>
      </c>
      <c r="D6" t="str">
        <f>Games!D6</f>
        <v>Leicester City</v>
      </c>
      <c r="E6" t="str">
        <f>Games!E6</f>
        <v>Manchester United</v>
      </c>
      <c r="G6" s="4">
        <f>' Poisson 2018'!I7</f>
        <v>0.28141113309153015</v>
      </c>
      <c r="H6" s="4">
        <f>' Poisson 2018'!J7</f>
        <v>0.32866552069379296</v>
      </c>
      <c r="I6" s="4">
        <f>' Poisson 2018'!K7</f>
        <v>0.38992334621467717</v>
      </c>
      <c r="K6">
        <f>VLOOKUP(BackTest!C6,'Bet365 Odds'!$D$8:$I$387,4,FALSE)</f>
        <v>3.36</v>
      </c>
      <c r="L6">
        <f>VLOOKUP(BackTest!C6,'Bet365 Odds'!$D$8:$I$387,5,FALSE)</f>
        <v>4.54</v>
      </c>
      <c r="M6">
        <f>VLOOKUP(BackTest!C6,'Bet365 Odds'!$D$8:$I$387,6,FALSE)</f>
        <v>2.35</v>
      </c>
      <c r="N6" s="4">
        <f>1/K6</f>
        <v>0.29761904761904762</v>
      </c>
      <c r="O6" s="4">
        <f t="shared" ref="O6:P15" si="1">1/L6</f>
        <v>0.22026431718061673</v>
      </c>
      <c r="P6" s="4">
        <f t="shared" si="1"/>
        <v>0.42553191489361702</v>
      </c>
      <c r="R6" t="str">
        <f>IF(T6&gt;S6,$P$5,IF(T6=S6,$O$5,$N$5))</f>
        <v>A</v>
      </c>
      <c r="S6">
        <f>VLOOKUP(C6,'EPL DATA'!$A$1143:$X$1522,17,FALSE)</f>
        <v>0</v>
      </c>
      <c r="T6">
        <f>VLOOKUP($C6,'EPL DATA'!$A$1143:$X$1522,18,FALSE)</f>
        <v>2</v>
      </c>
      <c r="V6" t="str">
        <f>IF(MAX(G6:I6)=G6,$G$5,IF(MAX(G6:I6)=H6,$H$5,$I$5))</f>
        <v>A</v>
      </c>
      <c r="W6">
        <f>IF(V6=R6, $R$2,$R$3)</f>
        <v>1</v>
      </c>
      <c r="X6" s="28">
        <f>COUNTIF(W6:W15, $R$2)/COUNT(W6:W15)</f>
        <v>0.5</v>
      </c>
      <c r="Z6">
        <f>IF(W6=$R$2, IF(V6=$I$5,IF(P6&gt;I6, $R$3, $R$2), IF(V6=$H$5, IF(O6&gt;H6, $R$3, $R$2), IF(V6=$G$5, IF(N6&gt;G6, $R$3, $R$2),""))), "")</f>
        <v>0</v>
      </c>
      <c r="AA6" s="28">
        <f>COUNTIF(Z6:Z15, $R$2)/COUNT(Z6:Z15)</f>
        <v>0</v>
      </c>
      <c r="AB6" t="str">
        <f>IF(V6=$G$5, IF(W6=$R$2, 1,0), "")</f>
        <v/>
      </c>
      <c r="AC6" t="str">
        <f>IF(V6=$H$5, IF(W6=$R$2, 1,0), "")</f>
        <v/>
      </c>
      <c r="AD6">
        <f>IF(V6=$I$5, IF(W6=$R$2, 1,0), "")</f>
        <v>1</v>
      </c>
      <c r="AE6" t="str">
        <f>IF(MAX(N6:P6)=N6,$N$5,IF(MAX(N6:P6)=O6,$O$5,$P$5))</f>
        <v>A</v>
      </c>
      <c r="AF6">
        <f>IF(AE6=R6, $R$2,$R$3)</f>
        <v>1</v>
      </c>
      <c r="AG6" s="28">
        <f>COUNTIF(AF6:AF15, $R$2)/COUNT(AF6:AF15)</f>
        <v>0.6</v>
      </c>
      <c r="AH6" t="str">
        <f>IF(AE6=$G$5, IF(AF6=$R$2, 1,0), "")</f>
        <v/>
      </c>
      <c r="AI6" t="str">
        <f>IF(AE6=$H$5, IF(AF6=$R$2, 1,0), "")</f>
        <v/>
      </c>
      <c r="AJ6">
        <f>IF(AE6=$I$5, IF(AF6=$R$2, 1,0), "")</f>
        <v>1</v>
      </c>
      <c r="AK6" t="str">
        <f>IF(AB6=1, K6-1, IF(AB6=0, -1,""))</f>
        <v/>
      </c>
      <c r="AL6" t="str">
        <f t="shared" ref="AL6:AM6" si="2">IF(AC6=1, L6-1, IF(AC6=0, -1,""))</f>
        <v/>
      </c>
      <c r="AM6">
        <f t="shared" si="2"/>
        <v>1.35</v>
      </c>
    </row>
    <row r="7" spans="2:47" x14ac:dyDescent="0.35">
      <c r="C7" t="str">
        <f t="shared" ref="C7:C15" si="3">D7&amp;E7</f>
        <v>SouthamptonSheffield United</v>
      </c>
      <c r="D7" t="str">
        <f>Games!D7</f>
        <v>Southampton</v>
      </c>
      <c r="E7" t="str">
        <f>Games!E7</f>
        <v>Sheffield United</v>
      </c>
      <c r="G7" s="4">
        <f>' Poisson 2018'!I40</f>
        <v>0.30255918365157619</v>
      </c>
      <c r="H7" s="4">
        <f>' Poisson 2018'!J40</f>
        <v>0.34329592124905145</v>
      </c>
      <c r="I7" s="4">
        <f>' Poisson 2018'!K40</f>
        <v>0.35414489509937286</v>
      </c>
      <c r="K7">
        <f>VLOOKUP(BackTest!C7,'Bet365 Odds'!$D$8:$I$387,4,FALSE)</f>
        <v>2.25</v>
      </c>
      <c r="L7">
        <f>VLOOKUP(BackTest!C7,'Bet365 Odds'!$D$8:$I$387,5,FALSE)</f>
        <v>3.6</v>
      </c>
      <c r="M7">
        <f>VLOOKUP(BackTest!C7,'Bet365 Odds'!$D$8:$I$387,6,FALSE)</f>
        <v>3.56</v>
      </c>
      <c r="N7" s="4">
        <f t="shared" ref="N7:N15" si="4">1/K7</f>
        <v>0.44444444444444442</v>
      </c>
      <c r="O7" s="4">
        <f t="shared" si="1"/>
        <v>0.27777777777777779</v>
      </c>
      <c r="P7" s="4">
        <f t="shared" si="1"/>
        <v>0.2808988764044944</v>
      </c>
      <c r="R7" t="str">
        <f t="shared" ref="R7:R15" si="5">IF(T7&gt;S7,$P$5,IF(T7=S7,$O$5,$N$5))</f>
        <v>H</v>
      </c>
      <c r="S7">
        <f>VLOOKUP(C7,'EPL DATA'!$A$1143:$X$1522,17,FALSE)</f>
        <v>3</v>
      </c>
      <c r="T7">
        <f>VLOOKUP($C7,'EPL DATA'!$A$1143:$X$1522,18,FALSE)</f>
        <v>1</v>
      </c>
      <c r="V7" t="str">
        <f t="shared" ref="V7:V15" si="6">IF(MAX(G7:I7)=G7,$G$5,IF(MAX(G7:I7)=H7,$H$5,$I$5))</f>
        <v>A</v>
      </c>
      <c r="W7">
        <f>IF(V7=R7, $R$2,$R$3)</f>
        <v>0</v>
      </c>
      <c r="Z7" t="str">
        <f t="shared" ref="Z7:Z15" si="7">IF(W7=$R$2, IF(V7=$I$5,IF(P7&gt;I7, $R$3, $R$2), IF(V7=$H$5, IF(O7&gt;H7, $R$3, $R$2), IF(V7=$G$5, IF(N7&gt;G7, $R$3, $R$2),""))), "")</f>
        <v/>
      </c>
      <c r="AA7" s="29" t="s">
        <v>117</v>
      </c>
      <c r="AB7" t="str">
        <f t="shared" ref="AB7:AB15" si="8">IF(V7=$G$5, IF(W7=$R$2, 1,0), "")</f>
        <v/>
      </c>
      <c r="AC7" t="str">
        <f t="shared" ref="AC7:AC15" si="9">IF(V7=$H$5, IF(W7=$R$2, 1,0), "")</f>
        <v/>
      </c>
      <c r="AD7">
        <f t="shared" ref="AD7:AD15" si="10">IF(V7=$I$5, IF(W7=$R$2, 1,0), "")</f>
        <v>0</v>
      </c>
      <c r="AE7" t="str">
        <f t="shared" ref="AE7:AE15" si="11">IF(MAX(N7:P7)=N7,$N$5,IF(MAX(N7:P7)=O7,$O$5,$P$5))</f>
        <v>H</v>
      </c>
      <c r="AF7">
        <f t="shared" ref="AF7:AF15" si="12">IF(AE7=R7, $R$2,$R$3)</f>
        <v>1</v>
      </c>
      <c r="AH7">
        <f t="shared" ref="AH7:AH15" si="13">IF(AE7=$G$5, IF(AF7=$R$2, 1,0), "")</f>
        <v>1</v>
      </c>
      <c r="AI7" t="str">
        <f t="shared" ref="AI7:AI15" si="14">IF(AE7=$H$5, IF(AF7=$R$2, 1,0), "")</f>
        <v/>
      </c>
      <c r="AJ7" t="str">
        <f t="shared" ref="AJ7:AJ15" si="15">IF(AE7=$I$5, IF(AF7=$R$2, 1,0), "")</f>
        <v/>
      </c>
      <c r="AK7" t="str">
        <f t="shared" ref="AK7:AK15" si="16">IF(AB7=1, K7-1, IF(AB7=0, -1,""))</f>
        <v/>
      </c>
      <c r="AL7" t="str">
        <f t="shared" ref="AL7:AL15" si="17">IF(AC7=1, L7-1, IF(AC7=0, -1,""))</f>
        <v/>
      </c>
      <c r="AM7">
        <f t="shared" ref="AM7:AM15" si="18">IF(AD7=1, M7-1, IF(AD7=0, -1,""))</f>
        <v>-1</v>
      </c>
    </row>
    <row r="8" spans="2:47" x14ac:dyDescent="0.35">
      <c r="C8" t="str">
        <f t="shared" si="3"/>
        <v>BurnleyBrighton and Hove Albion</v>
      </c>
      <c r="D8" t="str">
        <f>Games!D8</f>
        <v>Burnley</v>
      </c>
      <c r="E8" t="str">
        <f>Games!E8</f>
        <v>Brighton and Hove Albion</v>
      </c>
      <c r="G8" s="4">
        <f>' Poisson 2018'!I73</f>
        <v>0.37262373025043111</v>
      </c>
      <c r="H8" s="4">
        <f>' Poisson 2018'!J73</f>
        <v>0.31707442452133922</v>
      </c>
      <c r="I8" s="4">
        <f>' Poisson 2018'!K73</f>
        <v>0.31030184522822979</v>
      </c>
      <c r="K8">
        <f>VLOOKUP(BackTest!C8,'Bet365 Odds'!$D$8:$I$387,4,FALSE)</f>
        <v>2.38</v>
      </c>
      <c r="L8">
        <f>VLOOKUP(BackTest!C8,'Bet365 Odds'!$D$8:$I$387,5,FALSE)</f>
        <v>3.65</v>
      </c>
      <c r="M8">
        <f>VLOOKUP(BackTest!C8,'Bet365 Odds'!$D$8:$I$387,6,FALSE)</f>
        <v>3.26</v>
      </c>
      <c r="N8" s="4">
        <f t="shared" si="4"/>
        <v>0.42016806722689076</v>
      </c>
      <c r="O8" s="4">
        <f t="shared" si="1"/>
        <v>0.27397260273972601</v>
      </c>
      <c r="P8" s="4">
        <f t="shared" si="1"/>
        <v>0.30674846625766872</v>
      </c>
      <c r="R8" t="str">
        <f t="shared" si="5"/>
        <v>A</v>
      </c>
      <c r="S8">
        <f>VLOOKUP(C8,'EPL DATA'!$A$1143:$X$1522,17,FALSE)</f>
        <v>1</v>
      </c>
      <c r="T8">
        <f>VLOOKUP($C8,'EPL DATA'!$A$1143:$X$1522,18,FALSE)</f>
        <v>2</v>
      </c>
      <c r="V8" t="str">
        <f t="shared" si="6"/>
        <v>H</v>
      </c>
      <c r="W8">
        <f t="shared" ref="W8:W15" si="19">IF(V8=R8, $R$2,$R$3)</f>
        <v>0</v>
      </c>
      <c r="Z8" t="str">
        <f t="shared" si="7"/>
        <v/>
      </c>
      <c r="AB8">
        <f t="shared" si="8"/>
        <v>0</v>
      </c>
      <c r="AC8" t="str">
        <f t="shared" si="9"/>
        <v/>
      </c>
      <c r="AD8" t="str">
        <f t="shared" si="10"/>
        <v/>
      </c>
      <c r="AE8" t="str">
        <f t="shared" si="11"/>
        <v>H</v>
      </c>
      <c r="AF8">
        <f t="shared" si="12"/>
        <v>0</v>
      </c>
      <c r="AH8">
        <f t="shared" si="13"/>
        <v>0</v>
      </c>
      <c r="AI8" t="str">
        <f t="shared" si="14"/>
        <v/>
      </c>
      <c r="AJ8" t="str">
        <f t="shared" si="15"/>
        <v/>
      </c>
      <c r="AK8">
        <f t="shared" si="16"/>
        <v>-1</v>
      </c>
      <c r="AL8" t="str">
        <f t="shared" si="17"/>
        <v/>
      </c>
      <c r="AM8" t="str">
        <f t="shared" si="18"/>
        <v/>
      </c>
    </row>
    <row r="9" spans="2:47" x14ac:dyDescent="0.35">
      <c r="C9" t="str">
        <f t="shared" si="3"/>
        <v>EvertonAFC Bournemouth</v>
      </c>
      <c r="D9" t="str">
        <f>Games!D9</f>
        <v>Everton</v>
      </c>
      <c r="E9" t="str">
        <f>Games!E9</f>
        <v>AFC Bournemouth</v>
      </c>
      <c r="G9" s="4">
        <f>' Poisson 2018'!I106</f>
        <v>0.42122861432823744</v>
      </c>
      <c r="H9" s="4">
        <f>' Poisson 2018'!J106</f>
        <v>0.33135171096103561</v>
      </c>
      <c r="I9" s="4">
        <f>' Poisson 2018'!K106</f>
        <v>0.24741967471072707</v>
      </c>
      <c r="K9">
        <f>VLOOKUP(BackTest!C9,'Bet365 Odds'!$D$8:$I$387,4,FALSE)</f>
        <v>2.33</v>
      </c>
      <c r="L9">
        <f>VLOOKUP(BackTest!C9,'Bet365 Odds'!$D$8:$I$387,5,FALSE)</f>
        <v>4.0999999999999996</v>
      </c>
      <c r="M9">
        <f>VLOOKUP(BackTest!C9,'Bet365 Odds'!$D$8:$I$387,6,FALSE)</f>
        <v>3.15</v>
      </c>
      <c r="N9" s="4">
        <f t="shared" si="4"/>
        <v>0.42918454935622319</v>
      </c>
      <c r="O9" s="4">
        <f t="shared" si="1"/>
        <v>0.24390243902439027</v>
      </c>
      <c r="P9" s="4">
        <f t="shared" si="1"/>
        <v>0.31746031746031744</v>
      </c>
      <c r="R9" t="str">
        <f t="shared" si="5"/>
        <v>A</v>
      </c>
      <c r="S9">
        <f>VLOOKUP(C9,'EPL DATA'!$A$1143:$X$1522,17,FALSE)</f>
        <v>1</v>
      </c>
      <c r="T9">
        <f>VLOOKUP($C9,'EPL DATA'!$A$1143:$X$1522,18,FALSE)</f>
        <v>3</v>
      </c>
      <c r="V9" t="str">
        <f t="shared" si="6"/>
        <v>H</v>
      </c>
      <c r="W9">
        <f t="shared" si="19"/>
        <v>0</v>
      </c>
      <c r="Z9" t="str">
        <f t="shared" si="7"/>
        <v/>
      </c>
      <c r="AB9">
        <f t="shared" si="8"/>
        <v>0</v>
      </c>
      <c r="AC9" t="str">
        <f t="shared" si="9"/>
        <v/>
      </c>
      <c r="AD9" t="str">
        <f t="shared" si="10"/>
        <v/>
      </c>
      <c r="AE9" t="str">
        <f t="shared" si="11"/>
        <v>H</v>
      </c>
      <c r="AF9">
        <f t="shared" si="12"/>
        <v>0</v>
      </c>
      <c r="AH9">
        <f t="shared" si="13"/>
        <v>0</v>
      </c>
      <c r="AI9" t="str">
        <f t="shared" si="14"/>
        <v/>
      </c>
      <c r="AJ9" t="str">
        <f t="shared" si="15"/>
        <v/>
      </c>
      <c r="AK9">
        <f t="shared" si="16"/>
        <v>-1</v>
      </c>
      <c r="AL9" t="str">
        <f t="shared" si="17"/>
        <v/>
      </c>
      <c r="AM9" t="str">
        <f t="shared" si="18"/>
        <v/>
      </c>
    </row>
    <row r="10" spans="2:47" x14ac:dyDescent="0.35">
      <c r="C10" t="str">
        <f t="shared" si="3"/>
        <v>ChelseaWolverhampton</v>
      </c>
      <c r="D10" t="str">
        <f>Games!D10</f>
        <v>Chelsea</v>
      </c>
      <c r="E10" t="str">
        <f>Games!E10</f>
        <v>Wolverhampton</v>
      </c>
      <c r="G10" s="4">
        <f>' Poisson 2018'!I139</f>
        <v>0.41451690517005013</v>
      </c>
      <c r="H10" s="4">
        <f>' Poisson 2018'!J139</f>
        <v>0.34225901405507059</v>
      </c>
      <c r="I10" s="4">
        <f>' Poisson 2018'!K139</f>
        <v>0.24322408077487923</v>
      </c>
      <c r="K10">
        <f>VLOOKUP(BackTest!C10,'Bet365 Odds'!$D$8:$I$387,4,FALSE)</f>
        <v>1.9</v>
      </c>
      <c r="L10">
        <f>VLOOKUP(BackTest!C10,'Bet365 Odds'!$D$8:$I$387,5,FALSE)</f>
        <v>3.92</v>
      </c>
      <c r="M10">
        <f>VLOOKUP(BackTest!C10,'Bet365 Odds'!$D$8:$I$387,6,FALSE)</f>
        <v>4.55</v>
      </c>
      <c r="N10" s="4">
        <f t="shared" si="4"/>
        <v>0.52631578947368418</v>
      </c>
      <c r="O10" s="4">
        <f t="shared" si="1"/>
        <v>0.25510204081632654</v>
      </c>
      <c r="P10" s="4">
        <f t="shared" si="1"/>
        <v>0.21978021978021978</v>
      </c>
      <c r="R10" t="str">
        <f t="shared" si="5"/>
        <v>H</v>
      </c>
      <c r="S10">
        <f>VLOOKUP(C10,'EPL DATA'!$A$1143:$X$1522,17,FALSE)</f>
        <v>2</v>
      </c>
      <c r="T10">
        <f>VLOOKUP($C10,'EPL DATA'!$A$1143:$X$1522,18,FALSE)</f>
        <v>0</v>
      </c>
      <c r="V10" t="str">
        <f t="shared" si="6"/>
        <v>H</v>
      </c>
      <c r="W10">
        <f t="shared" si="19"/>
        <v>1</v>
      </c>
      <c r="Z10">
        <f t="shared" si="7"/>
        <v>0</v>
      </c>
      <c r="AB10">
        <f t="shared" si="8"/>
        <v>1</v>
      </c>
      <c r="AC10" t="str">
        <f t="shared" si="9"/>
        <v/>
      </c>
      <c r="AD10" t="str">
        <f t="shared" si="10"/>
        <v/>
      </c>
      <c r="AE10" t="str">
        <f t="shared" si="11"/>
        <v>H</v>
      </c>
      <c r="AF10">
        <f t="shared" si="12"/>
        <v>1</v>
      </c>
      <c r="AH10">
        <f t="shared" si="13"/>
        <v>1</v>
      </c>
      <c r="AI10" t="str">
        <f t="shared" si="14"/>
        <v/>
      </c>
      <c r="AJ10" t="str">
        <f t="shared" si="15"/>
        <v/>
      </c>
      <c r="AK10">
        <f t="shared" si="16"/>
        <v>0.89999999999999991</v>
      </c>
      <c r="AL10" t="str">
        <f t="shared" si="17"/>
        <v/>
      </c>
      <c r="AM10" t="str">
        <f t="shared" si="18"/>
        <v/>
      </c>
    </row>
    <row r="11" spans="2:47" x14ac:dyDescent="0.35">
      <c r="C11" t="str">
        <f t="shared" si="3"/>
        <v>ArsenalWatford</v>
      </c>
      <c r="D11" t="str">
        <f>Games!D11</f>
        <v>Arsenal</v>
      </c>
      <c r="E11" t="str">
        <f>Games!E11</f>
        <v>Watford</v>
      </c>
      <c r="G11" s="4">
        <f>' Poisson 2018'!I172</f>
        <v>0.45404343982400897</v>
      </c>
      <c r="H11" s="4">
        <f>' Poisson 2018'!J172</f>
        <v>0.31372302453851048</v>
      </c>
      <c r="I11" s="4">
        <f>' Poisson 2018'!K172</f>
        <v>0.23223353563748059</v>
      </c>
      <c r="K11">
        <f>VLOOKUP(BackTest!C11,'Bet365 Odds'!$D$8:$I$387,4,FALSE)</f>
        <v>2.0499999999999998</v>
      </c>
      <c r="L11">
        <f>VLOOKUP(BackTest!C11,'Bet365 Odds'!$D$8:$I$387,5,FALSE)</f>
        <v>4.05</v>
      </c>
      <c r="M11">
        <f>VLOOKUP(BackTest!C11,'Bet365 Odds'!$D$8:$I$387,6,FALSE)</f>
        <v>4</v>
      </c>
      <c r="N11" s="4">
        <f t="shared" si="4"/>
        <v>0.48780487804878053</v>
      </c>
      <c r="O11" s="4">
        <f t="shared" si="1"/>
        <v>0.24691358024691359</v>
      </c>
      <c r="P11" s="4">
        <f t="shared" si="1"/>
        <v>0.25</v>
      </c>
      <c r="R11" t="str">
        <f t="shared" si="5"/>
        <v>H</v>
      </c>
      <c r="S11">
        <f>VLOOKUP(C11,'EPL DATA'!$A$1143:$X$1522,17,FALSE)</f>
        <v>3</v>
      </c>
      <c r="T11">
        <f>VLOOKUP($C11,'EPL DATA'!$A$1143:$X$1522,18,FALSE)</f>
        <v>2</v>
      </c>
      <c r="V11" t="str">
        <f t="shared" si="6"/>
        <v>H</v>
      </c>
      <c r="W11">
        <f t="shared" si="19"/>
        <v>1</v>
      </c>
      <c r="Z11">
        <f t="shared" si="7"/>
        <v>0</v>
      </c>
      <c r="AB11">
        <f t="shared" si="8"/>
        <v>1</v>
      </c>
      <c r="AC11" t="str">
        <f t="shared" si="9"/>
        <v/>
      </c>
      <c r="AD11" t="str">
        <f t="shared" si="10"/>
        <v/>
      </c>
      <c r="AE11" t="str">
        <f t="shared" si="11"/>
        <v>H</v>
      </c>
      <c r="AF11">
        <f t="shared" si="12"/>
        <v>1</v>
      </c>
      <c r="AH11">
        <f t="shared" si="13"/>
        <v>1</v>
      </c>
      <c r="AI11" t="str">
        <f t="shared" si="14"/>
        <v/>
      </c>
      <c r="AJ11" t="str">
        <f t="shared" si="15"/>
        <v/>
      </c>
      <c r="AK11">
        <f t="shared" si="16"/>
        <v>1.0499999999999998</v>
      </c>
      <c r="AL11" t="str">
        <f t="shared" si="17"/>
        <v/>
      </c>
      <c r="AM11" t="str">
        <f t="shared" si="18"/>
        <v/>
      </c>
    </row>
    <row r="12" spans="2:47" x14ac:dyDescent="0.35">
      <c r="C12" t="str">
        <f t="shared" si="3"/>
        <v>West Ham UnitedAston Villa</v>
      </c>
      <c r="D12" t="str">
        <f>Games!D12</f>
        <v>West Ham United</v>
      </c>
      <c r="E12" t="str">
        <f>Games!E12</f>
        <v>Aston Villa</v>
      </c>
      <c r="G12" s="4">
        <f>' Poisson 2018'!I205</f>
        <v>0.39791094639028091</v>
      </c>
      <c r="H12" s="4">
        <f>' Poisson 2018'!J205</f>
        <v>0.27824205744873309</v>
      </c>
      <c r="I12" s="4">
        <f>' Poisson 2018'!K205</f>
        <v>0.32384699616098556</v>
      </c>
      <c r="K12">
        <f>VLOOKUP(BackTest!C12,'Bet365 Odds'!$D$8:$I$387,4,FALSE)</f>
        <v>3.2</v>
      </c>
      <c r="L12">
        <f>VLOOKUP(BackTest!C12,'Bet365 Odds'!$D$8:$I$387,5,FALSE)</f>
        <v>3.82</v>
      </c>
      <c r="M12">
        <f>VLOOKUP(BackTest!C12,'Bet365 Odds'!$D$8:$I$387,6,FALSE)</f>
        <v>2.36</v>
      </c>
      <c r="N12" s="4">
        <f t="shared" si="4"/>
        <v>0.3125</v>
      </c>
      <c r="O12" s="4">
        <f t="shared" si="1"/>
        <v>0.26178010471204188</v>
      </c>
      <c r="P12" s="4">
        <f t="shared" si="1"/>
        <v>0.42372881355932207</v>
      </c>
      <c r="R12" t="str">
        <f t="shared" si="5"/>
        <v>D</v>
      </c>
      <c r="S12">
        <f>VLOOKUP(C12,'EPL DATA'!$A$1143:$X$1522,17,FALSE)</f>
        <v>1</v>
      </c>
      <c r="T12">
        <f>VLOOKUP($C12,'EPL DATA'!$A$1143:$X$1522,18,FALSE)</f>
        <v>1</v>
      </c>
      <c r="V12" t="str">
        <f t="shared" si="6"/>
        <v>H</v>
      </c>
      <c r="W12">
        <f t="shared" si="19"/>
        <v>0</v>
      </c>
      <c r="Z12" t="str">
        <f t="shared" si="7"/>
        <v/>
      </c>
      <c r="AB12">
        <f t="shared" si="8"/>
        <v>0</v>
      </c>
      <c r="AC12" t="str">
        <f t="shared" si="9"/>
        <v/>
      </c>
      <c r="AD12" t="str">
        <f t="shared" si="10"/>
        <v/>
      </c>
      <c r="AE12" t="str">
        <f t="shared" si="11"/>
        <v>A</v>
      </c>
      <c r="AF12">
        <f t="shared" si="12"/>
        <v>0</v>
      </c>
      <c r="AH12" t="str">
        <f t="shared" si="13"/>
        <v/>
      </c>
      <c r="AI12" t="str">
        <f t="shared" si="14"/>
        <v/>
      </c>
      <c r="AJ12">
        <f t="shared" si="15"/>
        <v>0</v>
      </c>
      <c r="AK12">
        <f t="shared" si="16"/>
        <v>-1</v>
      </c>
      <c r="AL12" t="str">
        <f t="shared" si="17"/>
        <v/>
      </c>
      <c r="AM12" t="str">
        <f t="shared" si="18"/>
        <v/>
      </c>
    </row>
    <row r="13" spans="2:47" x14ac:dyDescent="0.35">
      <c r="C13" t="str">
        <f t="shared" si="3"/>
        <v>NewcastleLiverpool</v>
      </c>
      <c r="D13" t="str">
        <f>Games!D13</f>
        <v>Newcastle</v>
      </c>
      <c r="E13" t="str">
        <f>Games!E13</f>
        <v>Liverpool</v>
      </c>
      <c r="G13" s="4">
        <f>' Poisson 2018'!I238</f>
        <v>0.10831937274672251</v>
      </c>
      <c r="H13" s="4">
        <f>' Poisson 2018'!J238</f>
        <v>0.23555349894258462</v>
      </c>
      <c r="I13" s="4">
        <f>' Poisson 2018'!K238</f>
        <v>0.65612712831069275</v>
      </c>
      <c r="K13">
        <f>VLOOKUP(BackTest!C13,'Bet365 Odds'!$D$8:$I$387,4,FALSE)</f>
        <v>8.1999999999999993</v>
      </c>
      <c r="L13">
        <f>VLOOKUP(BackTest!C13,'Bet365 Odds'!$D$8:$I$387,5,FALSE)</f>
        <v>5.4</v>
      </c>
      <c r="M13">
        <f>VLOOKUP(BackTest!C13,'Bet365 Odds'!$D$8:$I$387,6,FALSE)</f>
        <v>1.45</v>
      </c>
      <c r="N13" s="4">
        <f t="shared" si="4"/>
        <v>0.12195121951219513</v>
      </c>
      <c r="O13" s="4">
        <f t="shared" si="1"/>
        <v>0.18518518518518517</v>
      </c>
      <c r="P13" s="4">
        <f t="shared" si="1"/>
        <v>0.68965517241379315</v>
      </c>
      <c r="R13" t="str">
        <f t="shared" si="5"/>
        <v>A</v>
      </c>
      <c r="S13">
        <f>VLOOKUP(C13,'EPL DATA'!$A$1143:$X$1522,17,FALSE)</f>
        <v>1</v>
      </c>
      <c r="T13">
        <f>VLOOKUP($C13,'EPL DATA'!$A$1143:$X$1522,18,FALSE)</f>
        <v>3</v>
      </c>
      <c r="V13" t="str">
        <f t="shared" si="6"/>
        <v>A</v>
      </c>
      <c r="W13">
        <f t="shared" si="19"/>
        <v>1</v>
      </c>
      <c r="Z13">
        <f t="shared" si="7"/>
        <v>0</v>
      </c>
      <c r="AB13" t="str">
        <f t="shared" si="8"/>
        <v/>
      </c>
      <c r="AC13" t="str">
        <f t="shared" si="9"/>
        <v/>
      </c>
      <c r="AD13">
        <f t="shared" si="10"/>
        <v>1</v>
      </c>
      <c r="AE13" t="str">
        <f t="shared" si="11"/>
        <v>A</v>
      </c>
      <c r="AF13">
        <f t="shared" si="12"/>
        <v>1</v>
      </c>
      <c r="AH13" t="str">
        <f t="shared" si="13"/>
        <v/>
      </c>
      <c r="AI13" t="str">
        <f t="shared" si="14"/>
        <v/>
      </c>
      <c r="AJ13">
        <f t="shared" si="15"/>
        <v>1</v>
      </c>
      <c r="AK13" t="str">
        <f t="shared" si="16"/>
        <v/>
      </c>
      <c r="AL13" t="str">
        <f t="shared" si="17"/>
        <v/>
      </c>
      <c r="AM13">
        <f t="shared" si="18"/>
        <v>0.44999999999999996</v>
      </c>
    </row>
    <row r="14" spans="2:47" x14ac:dyDescent="0.35">
      <c r="C14" t="str">
        <f t="shared" si="3"/>
        <v>Crystal PalaceTottenham Hotspur</v>
      </c>
      <c r="D14" t="str">
        <f>Games!D14</f>
        <v>Crystal Palace</v>
      </c>
      <c r="E14" t="str">
        <f>Games!E14</f>
        <v>Tottenham Hotspur</v>
      </c>
      <c r="G14" s="4">
        <f>' Poisson 2018'!I271</f>
        <v>0.24500074711918746</v>
      </c>
      <c r="H14" s="4">
        <f>' Poisson 2018'!J271</f>
        <v>0.34452976060681006</v>
      </c>
      <c r="I14" s="4">
        <f>' Poisson 2018'!K271</f>
        <v>0.41046949227400287</v>
      </c>
      <c r="K14">
        <f>VLOOKUP(BackTest!C14,'Bet365 Odds'!$D$8:$I$387,4,FALSE)</f>
        <v>6.75</v>
      </c>
      <c r="L14">
        <f>VLOOKUP(BackTest!C14,'Bet365 Odds'!$D$8:$I$387,5,FALSE)</f>
        <v>4.45</v>
      </c>
      <c r="M14">
        <f>VLOOKUP(BackTest!C14,'Bet365 Odds'!$D$8:$I$387,6,FALSE)</f>
        <v>1.6</v>
      </c>
      <c r="N14" s="4">
        <f t="shared" si="4"/>
        <v>0.14814814814814814</v>
      </c>
      <c r="O14" s="4">
        <f t="shared" si="1"/>
        <v>0.2247191011235955</v>
      </c>
      <c r="P14" s="4">
        <f t="shared" si="1"/>
        <v>0.625</v>
      </c>
      <c r="R14" t="str">
        <f t="shared" si="5"/>
        <v>D</v>
      </c>
      <c r="S14">
        <f>VLOOKUP(C14,'EPL DATA'!$A$1143:$X$1522,17,FALSE)</f>
        <v>1</v>
      </c>
      <c r="T14">
        <f>VLOOKUP($C14,'EPL DATA'!$A$1143:$X$1522,18,FALSE)</f>
        <v>1</v>
      </c>
      <c r="V14" t="str">
        <f t="shared" si="6"/>
        <v>A</v>
      </c>
      <c r="W14">
        <f t="shared" si="19"/>
        <v>0</v>
      </c>
      <c r="Z14" t="str">
        <f t="shared" si="7"/>
        <v/>
      </c>
      <c r="AB14" t="str">
        <f t="shared" si="8"/>
        <v/>
      </c>
      <c r="AC14" t="str">
        <f t="shared" si="9"/>
        <v/>
      </c>
      <c r="AD14">
        <f t="shared" si="10"/>
        <v>0</v>
      </c>
      <c r="AE14" t="str">
        <f t="shared" si="11"/>
        <v>A</v>
      </c>
      <c r="AF14">
        <f t="shared" si="12"/>
        <v>0</v>
      </c>
      <c r="AH14" t="str">
        <f t="shared" si="13"/>
        <v/>
      </c>
      <c r="AI14" t="str">
        <f t="shared" si="14"/>
        <v/>
      </c>
      <c r="AJ14">
        <f t="shared" si="15"/>
        <v>0</v>
      </c>
      <c r="AK14" t="str">
        <f t="shared" si="16"/>
        <v/>
      </c>
      <c r="AL14" t="str">
        <f t="shared" si="17"/>
        <v/>
      </c>
      <c r="AM14">
        <f t="shared" si="18"/>
        <v>-1</v>
      </c>
    </row>
    <row r="15" spans="2:47" x14ac:dyDescent="0.35">
      <c r="C15" t="str">
        <f t="shared" si="3"/>
        <v>Manchester CityNorwich City</v>
      </c>
      <c r="D15" t="str">
        <f>Games!D15</f>
        <v>Manchester City</v>
      </c>
      <c r="E15" t="str">
        <f>Games!E15</f>
        <v>Norwich City</v>
      </c>
      <c r="G15" s="4">
        <f>' Poisson 2018'!I304</f>
        <v>0.77930486436269086</v>
      </c>
      <c r="H15" s="4">
        <f>' Poisson 2018'!J304</f>
        <v>0.16722749668633632</v>
      </c>
      <c r="I15" s="4">
        <f>' Poisson 2018'!K304</f>
        <v>5.3467638950972556E-2</v>
      </c>
      <c r="K15">
        <f>VLOOKUP(BackTest!C15,'Bet365 Odds'!$D$8:$I$387,4,FALSE)</f>
        <v>1.1000000000000001</v>
      </c>
      <c r="L15">
        <f>VLOOKUP(BackTest!C15,'Bet365 Odds'!$D$8:$I$387,5,FALSE)</f>
        <v>15.25</v>
      </c>
      <c r="M15">
        <f>VLOOKUP(BackTest!C15,'Bet365 Odds'!$D$8:$I$387,6,FALSE)</f>
        <v>41</v>
      </c>
      <c r="N15" s="4">
        <f t="shared" si="4"/>
        <v>0.90909090909090906</v>
      </c>
      <c r="O15" s="4">
        <f t="shared" si="1"/>
        <v>6.5573770491803282E-2</v>
      </c>
      <c r="P15" s="4">
        <f t="shared" si="1"/>
        <v>2.4390243902439025E-2</v>
      </c>
      <c r="R15" t="str">
        <f t="shared" si="5"/>
        <v>H</v>
      </c>
      <c r="S15">
        <f>VLOOKUP(C15,'EPL DATA'!$A$1143:$X$1522,17,FALSE)</f>
        <v>5</v>
      </c>
      <c r="T15">
        <f>VLOOKUP($C15,'EPL DATA'!$A$1143:$X$1522,18,FALSE)</f>
        <v>0</v>
      </c>
      <c r="V15" t="str">
        <f t="shared" si="6"/>
        <v>H</v>
      </c>
      <c r="W15">
        <f t="shared" si="19"/>
        <v>1</v>
      </c>
      <c r="Z15">
        <f t="shared" si="7"/>
        <v>0</v>
      </c>
      <c r="AB15">
        <f t="shared" si="8"/>
        <v>1</v>
      </c>
      <c r="AC15" t="str">
        <f t="shared" si="9"/>
        <v/>
      </c>
      <c r="AD15" t="str">
        <f t="shared" si="10"/>
        <v/>
      </c>
      <c r="AE15" t="str">
        <f t="shared" si="11"/>
        <v>H</v>
      </c>
      <c r="AF15">
        <f t="shared" si="12"/>
        <v>1</v>
      </c>
      <c r="AH15">
        <f t="shared" si="13"/>
        <v>1</v>
      </c>
      <c r="AI15" t="str">
        <f t="shared" si="14"/>
        <v/>
      </c>
      <c r="AJ15" t="str">
        <f t="shared" si="15"/>
        <v/>
      </c>
      <c r="AK15">
        <f t="shared" si="16"/>
        <v>0.10000000000000009</v>
      </c>
      <c r="AL15" t="str">
        <f t="shared" si="17"/>
        <v/>
      </c>
      <c r="AM15" t="str">
        <f t="shared" si="18"/>
        <v/>
      </c>
    </row>
    <row r="16" spans="2:47" x14ac:dyDescent="0.35">
      <c r="G16" s="4"/>
      <c r="H16" s="4"/>
      <c r="I16" s="4"/>
      <c r="N16" s="4"/>
      <c r="O16" s="4"/>
      <c r="P16" s="4"/>
      <c r="AB16" s="4"/>
      <c r="AC16" s="4"/>
      <c r="AD16" s="4"/>
    </row>
    <row r="20" spans="3:39" x14ac:dyDescent="0.35">
      <c r="H20" t="s">
        <v>107</v>
      </c>
      <c r="K20" t="s">
        <v>106</v>
      </c>
      <c r="N20" t="s">
        <v>108</v>
      </c>
    </row>
    <row r="21" spans="3:39" x14ac:dyDescent="0.35">
      <c r="C21" t="s">
        <v>109</v>
      </c>
      <c r="G21" t="s">
        <v>103</v>
      </c>
      <c r="H21" t="s">
        <v>104</v>
      </c>
      <c r="I21" t="s">
        <v>105</v>
      </c>
      <c r="K21" t="s">
        <v>103</v>
      </c>
      <c r="L21" t="s">
        <v>104</v>
      </c>
      <c r="M21" t="s">
        <v>105</v>
      </c>
      <c r="N21" t="s">
        <v>103</v>
      </c>
      <c r="O21" t="s">
        <v>104</v>
      </c>
      <c r="P21" t="s">
        <v>105</v>
      </c>
      <c r="R21" t="s">
        <v>110</v>
      </c>
      <c r="V21" t="s">
        <v>112</v>
      </c>
      <c r="W21" t="s">
        <v>111</v>
      </c>
      <c r="X21" s="28" t="s">
        <v>114</v>
      </c>
      <c r="Z21" t="s">
        <v>113</v>
      </c>
      <c r="AA21" s="28" t="s">
        <v>116</v>
      </c>
      <c r="AB21" t="s">
        <v>166</v>
      </c>
      <c r="AC21" t="s">
        <v>167</v>
      </c>
      <c r="AD21" t="s">
        <v>168</v>
      </c>
      <c r="AK21" t="str">
        <f t="shared" ref="AK21:AK66" si="20">IF(AB21=1, K21, IF(AB21=0, -1,""))</f>
        <v/>
      </c>
      <c r="AL21" t="str">
        <f t="shared" ref="AL21:AL66" si="21">IF(AC21=1, L21, IF(AC21=0, -1,""))</f>
        <v/>
      </c>
      <c r="AM21" t="str">
        <f t="shared" ref="AM21:AM66" si="22">IF(AD21=1, M21, IF(AD21=0, -1,""))</f>
        <v/>
      </c>
    </row>
    <row r="22" spans="3:39" x14ac:dyDescent="0.35">
      <c r="D22" t="s">
        <v>51</v>
      </c>
      <c r="E22" t="s">
        <v>41</v>
      </c>
      <c r="G22" s="4">
        <v>0.16258825825771628</v>
      </c>
      <c r="H22" s="4">
        <v>0.33283583987211612</v>
      </c>
      <c r="I22" s="4">
        <v>0.50457590187016721</v>
      </c>
      <c r="K22">
        <v>10</v>
      </c>
      <c r="L22">
        <v>5.4</v>
      </c>
      <c r="M22">
        <v>1.39</v>
      </c>
      <c r="N22" s="4">
        <v>0.1</v>
      </c>
      <c r="O22" s="4">
        <v>0.18518518518518517</v>
      </c>
      <c r="P22" s="4">
        <v>0.71942446043165476</v>
      </c>
      <c r="R22" t="s">
        <v>105</v>
      </c>
      <c r="S22">
        <v>0</v>
      </c>
      <c r="T22">
        <v>1</v>
      </c>
      <c r="V22" t="s">
        <v>105</v>
      </c>
      <c r="W22">
        <v>1</v>
      </c>
      <c r="X22" s="28">
        <v>0.8</v>
      </c>
      <c r="Z22">
        <v>0</v>
      </c>
      <c r="AA22" s="28">
        <v>0.125</v>
      </c>
      <c r="AB22" t="str">
        <f>IF(V22=$G$5, IF(W22=$R$2, 1,0), "")</f>
        <v/>
      </c>
      <c r="AC22" t="str">
        <f>IF(V22=$H$5, IF(W22=$R$2, 1,0), "")</f>
        <v/>
      </c>
      <c r="AD22">
        <f>IF(V22=$I$5, IF(W22=$R$2, 1,0), "")</f>
        <v>1</v>
      </c>
      <c r="AE22" t="str">
        <f>IF(MAX(N22:P22)=N22,$N$5,IF(MAX(N22:P22)=O22,$O$5,$P$5))</f>
        <v>A</v>
      </c>
      <c r="AF22">
        <f>IF(AE22=R22, $R$2,$R$3)</f>
        <v>1</v>
      </c>
      <c r="AG22" s="28">
        <f>COUNTIF(AF22:AF31, $R$2)/COUNT(AF22:AF31)</f>
        <v>0.7</v>
      </c>
      <c r="AH22" t="str">
        <f>IF(AE22=$G$5, IF(AF22=$R$2, 1,0), "")</f>
        <v/>
      </c>
      <c r="AI22" t="str">
        <f>IF(AE22=$H$5, IF(AF22=$R$2, 1,0), "")</f>
        <v/>
      </c>
      <c r="AJ22">
        <f>IF(AE22=$I$5, IF(AF22=$R$2, 1,0), "")</f>
        <v>1</v>
      </c>
      <c r="AK22" t="str">
        <f>IF(AB22=1, K22-1, IF(AB22=0, -1,""))</f>
        <v/>
      </c>
      <c r="AL22" t="str">
        <f t="shared" ref="AL22:AL31" si="23">IF(AC22=1, L22-1, IF(AC22=0, -1,""))</f>
        <v/>
      </c>
      <c r="AM22">
        <f t="shared" ref="AM22:AM31" si="24">IF(AD22=1, M22-1, IF(AD22=0, -1,""))</f>
        <v>0.3899999999999999</v>
      </c>
    </row>
    <row r="23" spans="3:39" x14ac:dyDescent="0.35">
      <c r="D23" t="s">
        <v>42</v>
      </c>
      <c r="E23" t="s">
        <v>45</v>
      </c>
      <c r="G23" s="4">
        <v>0.52423817142134166</v>
      </c>
      <c r="H23" s="4">
        <v>0.3107792113130341</v>
      </c>
      <c r="I23" s="4">
        <v>0.16498261726562399</v>
      </c>
      <c r="K23">
        <v>1.47</v>
      </c>
      <c r="L23">
        <v>4.8</v>
      </c>
      <c r="M23">
        <v>8.5</v>
      </c>
      <c r="N23" s="4">
        <v>0.68027210884353739</v>
      </c>
      <c r="O23" s="4">
        <v>0.20833333333333334</v>
      </c>
      <c r="P23" s="4">
        <v>0.11764705882352941</v>
      </c>
      <c r="R23" t="s">
        <v>103</v>
      </c>
      <c r="S23">
        <v>2</v>
      </c>
      <c r="T23">
        <v>0</v>
      </c>
      <c r="V23" t="s">
        <v>103</v>
      </c>
      <c r="W23">
        <v>1</v>
      </c>
      <c r="Z23">
        <v>0</v>
      </c>
      <c r="AA23" s="28" t="s">
        <v>117</v>
      </c>
      <c r="AB23">
        <f t="shared" ref="AB23:AB31" si="25">IF(V23=$G$5, IF(W23=$R$2, 1,0), "")</f>
        <v>1</v>
      </c>
      <c r="AC23" t="str">
        <f t="shared" ref="AC23:AC31" si="26">IF(V23=$H$5, IF(W23=$R$2, 1,0), "")</f>
        <v/>
      </c>
      <c r="AD23" t="str">
        <f t="shared" ref="AD23:AD31" si="27">IF(V23=$I$5, IF(W23=$R$2, 1,0), "")</f>
        <v/>
      </c>
      <c r="AE23" t="str">
        <f t="shared" ref="AE23:AE31" si="28">IF(MAX(N23:P23)=N23,$N$5,IF(MAX(N23:P23)=O23,$O$5,$P$5))</f>
        <v>H</v>
      </c>
      <c r="AF23">
        <f t="shared" ref="AF23:AF31" si="29">IF(AE23=R23, $R$2,$R$3)</f>
        <v>1</v>
      </c>
      <c r="AH23">
        <f t="shared" ref="AH23:AH31" si="30">IF(AE23=$G$5, IF(AF23=$R$2, 1,0), "")</f>
        <v>1</v>
      </c>
      <c r="AI23" t="str">
        <f t="shared" ref="AI23:AI31" si="31">IF(AE23=$H$5, IF(AF23=$R$2, 1,0), "")</f>
        <v/>
      </c>
      <c r="AJ23" t="str">
        <f t="shared" ref="AJ23:AJ31" si="32">IF(AE23=$I$5, IF(AF23=$R$2, 1,0), "")</f>
        <v/>
      </c>
      <c r="AK23">
        <f t="shared" ref="AK23:AK31" si="33">IF(AB23=1, K23-1, IF(AB23=0, -1,""))</f>
        <v>0.47</v>
      </c>
      <c r="AL23" t="str">
        <f t="shared" si="23"/>
        <v/>
      </c>
      <c r="AM23" t="str">
        <f t="shared" si="24"/>
        <v/>
      </c>
    </row>
    <row r="24" spans="3:39" x14ac:dyDescent="0.35">
      <c r="D24" t="s">
        <v>29</v>
      </c>
      <c r="E24" t="s">
        <v>34</v>
      </c>
      <c r="G24" s="4">
        <v>0.42668504722670569</v>
      </c>
      <c r="H24" s="4">
        <v>0.30413355477464443</v>
      </c>
      <c r="I24" s="4">
        <v>0.26918139799865026</v>
      </c>
      <c r="K24">
        <v>1.49</v>
      </c>
      <c r="L24">
        <v>4.8</v>
      </c>
      <c r="M24">
        <v>8.18</v>
      </c>
      <c r="N24" s="4">
        <v>0.67114093959731547</v>
      </c>
      <c r="O24" s="4">
        <v>0.20833333333333334</v>
      </c>
      <c r="P24" s="4">
        <v>0.12224938875305624</v>
      </c>
      <c r="R24" t="s">
        <v>103</v>
      </c>
      <c r="S24">
        <v>2</v>
      </c>
      <c r="T24">
        <v>1</v>
      </c>
      <c r="V24" t="s">
        <v>103</v>
      </c>
      <c r="W24">
        <v>1</v>
      </c>
      <c r="Z24">
        <v>0</v>
      </c>
      <c r="AB24">
        <f t="shared" si="25"/>
        <v>1</v>
      </c>
      <c r="AC24" t="str">
        <f t="shared" si="26"/>
        <v/>
      </c>
      <c r="AD24" t="str">
        <f t="shared" si="27"/>
        <v/>
      </c>
      <c r="AE24" t="str">
        <f t="shared" si="28"/>
        <v>H</v>
      </c>
      <c r="AF24">
        <f t="shared" si="29"/>
        <v>1</v>
      </c>
      <c r="AH24">
        <f t="shared" si="30"/>
        <v>1</v>
      </c>
      <c r="AI24" t="str">
        <f t="shared" si="31"/>
        <v/>
      </c>
      <c r="AJ24" t="str">
        <f t="shared" si="32"/>
        <v/>
      </c>
      <c r="AK24">
        <f t="shared" si="33"/>
        <v>0.49</v>
      </c>
      <c r="AL24" t="str">
        <f t="shared" si="23"/>
        <v/>
      </c>
      <c r="AM24" t="str">
        <f t="shared" si="24"/>
        <v/>
      </c>
    </row>
    <row r="25" spans="3:39" x14ac:dyDescent="0.35">
      <c r="D25" t="s">
        <v>38</v>
      </c>
      <c r="E25" t="s">
        <v>43</v>
      </c>
      <c r="G25" s="4">
        <v>0.34664491199434733</v>
      </c>
      <c r="H25" s="4">
        <v>0.28365770574262394</v>
      </c>
      <c r="I25" s="4">
        <v>0.36969738226302928</v>
      </c>
      <c r="K25">
        <v>2.58</v>
      </c>
      <c r="L25">
        <v>3.65</v>
      </c>
      <c r="M25">
        <v>2.9</v>
      </c>
      <c r="N25" s="4">
        <v>0.38759689922480617</v>
      </c>
      <c r="O25" s="4">
        <v>0.27397260273972601</v>
      </c>
      <c r="P25" s="4">
        <v>0.34482758620689657</v>
      </c>
      <c r="R25" t="s">
        <v>104</v>
      </c>
      <c r="S25">
        <v>2</v>
      </c>
      <c r="T25">
        <v>2</v>
      </c>
      <c r="V25" t="s">
        <v>105</v>
      </c>
      <c r="W25">
        <v>0</v>
      </c>
      <c r="Z25" t="s">
        <v>117</v>
      </c>
      <c r="AB25" t="str">
        <f t="shared" si="25"/>
        <v/>
      </c>
      <c r="AC25" t="str">
        <f t="shared" si="26"/>
        <v/>
      </c>
      <c r="AD25">
        <f t="shared" si="27"/>
        <v>0</v>
      </c>
      <c r="AE25" t="str">
        <f t="shared" si="28"/>
        <v>H</v>
      </c>
      <c r="AF25">
        <f t="shared" si="29"/>
        <v>0</v>
      </c>
      <c r="AH25">
        <f t="shared" si="30"/>
        <v>0</v>
      </c>
      <c r="AI25" t="str">
        <f t="shared" si="31"/>
        <v/>
      </c>
      <c r="AJ25" t="str">
        <f t="shared" si="32"/>
        <v/>
      </c>
      <c r="AK25" t="str">
        <f t="shared" si="33"/>
        <v/>
      </c>
      <c r="AL25" t="str">
        <f t="shared" si="23"/>
        <v/>
      </c>
      <c r="AM25">
        <f t="shared" si="24"/>
        <v>-1</v>
      </c>
    </row>
    <row r="26" spans="3:39" x14ac:dyDescent="0.35">
      <c r="D26" t="s">
        <v>30</v>
      </c>
      <c r="E26" t="s">
        <v>50</v>
      </c>
      <c r="G26" s="4">
        <v>0.43768863241621259</v>
      </c>
      <c r="H26" s="4">
        <v>0.34539575593559568</v>
      </c>
      <c r="I26" s="4">
        <v>0.21691561164819165</v>
      </c>
      <c r="K26">
        <v>2</v>
      </c>
      <c r="L26">
        <v>3.85</v>
      </c>
      <c r="M26">
        <v>4</v>
      </c>
      <c r="N26" s="4">
        <v>0.5</v>
      </c>
      <c r="O26" s="4">
        <v>0.25974025974025972</v>
      </c>
      <c r="P26" s="4">
        <v>0.25</v>
      </c>
      <c r="R26" t="s">
        <v>103</v>
      </c>
      <c r="S26">
        <v>2</v>
      </c>
      <c r="T26">
        <v>0</v>
      </c>
      <c r="V26" t="s">
        <v>103</v>
      </c>
      <c r="W26">
        <v>1</v>
      </c>
      <c r="Z26">
        <v>0</v>
      </c>
      <c r="AB26">
        <f t="shared" si="25"/>
        <v>1</v>
      </c>
      <c r="AC26" t="str">
        <f t="shared" si="26"/>
        <v/>
      </c>
      <c r="AD26" t="str">
        <f t="shared" si="27"/>
        <v/>
      </c>
      <c r="AE26" t="str">
        <f t="shared" si="28"/>
        <v>H</v>
      </c>
      <c r="AF26">
        <f t="shared" si="29"/>
        <v>1</v>
      </c>
      <c r="AH26">
        <f t="shared" si="30"/>
        <v>1</v>
      </c>
      <c r="AI26" t="str">
        <f t="shared" si="31"/>
        <v/>
      </c>
      <c r="AJ26" t="str">
        <f t="shared" si="32"/>
        <v/>
      </c>
      <c r="AK26">
        <f t="shared" si="33"/>
        <v>1</v>
      </c>
      <c r="AL26" t="str">
        <f t="shared" si="23"/>
        <v/>
      </c>
      <c r="AM26" t="str">
        <f t="shared" si="24"/>
        <v/>
      </c>
    </row>
    <row r="27" spans="3:39" x14ac:dyDescent="0.35">
      <c r="D27" t="s">
        <v>52</v>
      </c>
      <c r="E27" t="s">
        <v>32</v>
      </c>
      <c r="G27" s="4">
        <v>0.35670206873075877</v>
      </c>
      <c r="H27" s="4">
        <v>0.35994293038736619</v>
      </c>
      <c r="I27" s="4">
        <v>0.28335500088187537</v>
      </c>
      <c r="K27">
        <v>2.4500000000000002</v>
      </c>
      <c r="L27">
        <v>3.47</v>
      </c>
      <c r="M27">
        <v>3.18</v>
      </c>
      <c r="N27" s="4">
        <v>0.4081632653061224</v>
      </c>
      <c r="O27" s="4">
        <v>0.28818443804034583</v>
      </c>
      <c r="P27" s="4">
        <v>0.31446540880503143</v>
      </c>
      <c r="R27" t="s">
        <v>104</v>
      </c>
      <c r="S27">
        <v>2</v>
      </c>
      <c r="T27">
        <v>2</v>
      </c>
      <c r="V27" t="s">
        <v>104</v>
      </c>
      <c r="W27">
        <v>1</v>
      </c>
      <c r="Z27">
        <v>1</v>
      </c>
      <c r="AB27" t="str">
        <f t="shared" si="25"/>
        <v/>
      </c>
      <c r="AC27">
        <f t="shared" si="26"/>
        <v>1</v>
      </c>
      <c r="AD27" t="str">
        <f t="shared" si="27"/>
        <v/>
      </c>
      <c r="AE27" t="str">
        <f t="shared" si="28"/>
        <v>H</v>
      </c>
      <c r="AF27">
        <f t="shared" si="29"/>
        <v>0</v>
      </c>
      <c r="AH27">
        <f t="shared" si="30"/>
        <v>0</v>
      </c>
      <c r="AI27" t="str">
        <f t="shared" si="31"/>
        <v/>
      </c>
      <c r="AJ27" t="str">
        <f t="shared" si="32"/>
        <v/>
      </c>
      <c r="AK27" t="str">
        <f t="shared" si="33"/>
        <v/>
      </c>
      <c r="AL27">
        <f t="shared" si="23"/>
        <v>2.4700000000000002</v>
      </c>
      <c r="AM27" t="str">
        <f t="shared" si="24"/>
        <v/>
      </c>
    </row>
    <row r="28" spans="3:39" x14ac:dyDescent="0.35">
      <c r="D28" t="s">
        <v>49</v>
      </c>
      <c r="E28" t="s">
        <v>35</v>
      </c>
      <c r="G28" s="4">
        <v>0.41631073553272824</v>
      </c>
      <c r="H28" s="4">
        <v>0.28973317020497402</v>
      </c>
      <c r="I28" s="4">
        <v>0.29395609426229741</v>
      </c>
      <c r="K28">
        <v>1.95</v>
      </c>
      <c r="L28">
        <v>3.6</v>
      </c>
      <c r="M28">
        <v>4.7</v>
      </c>
      <c r="N28" s="4">
        <v>0.51282051282051289</v>
      </c>
      <c r="O28" s="4">
        <v>0.27777777777777779</v>
      </c>
      <c r="P28" s="4">
        <v>0.21276595744680851</v>
      </c>
      <c r="R28" t="s">
        <v>103</v>
      </c>
      <c r="S28">
        <v>2</v>
      </c>
      <c r="T28">
        <v>0</v>
      </c>
      <c r="V28" t="s">
        <v>103</v>
      </c>
      <c r="W28">
        <v>1</v>
      </c>
      <c r="Z28">
        <v>0</v>
      </c>
      <c r="AB28">
        <f t="shared" si="25"/>
        <v>1</v>
      </c>
      <c r="AC28" t="str">
        <f t="shared" si="26"/>
        <v/>
      </c>
      <c r="AD28" t="str">
        <f t="shared" si="27"/>
        <v/>
      </c>
      <c r="AE28" t="str">
        <f t="shared" si="28"/>
        <v>H</v>
      </c>
      <c r="AF28">
        <f t="shared" si="29"/>
        <v>1</v>
      </c>
      <c r="AH28">
        <f t="shared" si="30"/>
        <v>1</v>
      </c>
      <c r="AI28" t="str">
        <f t="shared" si="31"/>
        <v/>
      </c>
      <c r="AJ28" t="str">
        <f t="shared" si="32"/>
        <v/>
      </c>
      <c r="AK28">
        <f t="shared" si="33"/>
        <v>0.95</v>
      </c>
      <c r="AL28" t="str">
        <f t="shared" si="23"/>
        <v/>
      </c>
      <c r="AM28" t="str">
        <f t="shared" si="24"/>
        <v/>
      </c>
    </row>
    <row r="29" spans="3:39" x14ac:dyDescent="0.35">
      <c r="D29" t="s">
        <v>28</v>
      </c>
      <c r="E29" t="s">
        <v>36</v>
      </c>
      <c r="G29" s="4">
        <v>9.7617410978548994E-2</v>
      </c>
      <c r="H29" s="4">
        <v>0.21724217246113489</v>
      </c>
      <c r="I29" s="4">
        <v>0.68514041656031621</v>
      </c>
      <c r="K29">
        <v>11</v>
      </c>
      <c r="L29">
        <v>6.35</v>
      </c>
      <c r="M29">
        <v>1.33</v>
      </c>
      <c r="N29" s="4">
        <v>9.0909090909090912E-2</v>
      </c>
      <c r="O29" s="4">
        <v>0.15748031496062992</v>
      </c>
      <c r="P29" s="4">
        <v>0.75187969924812026</v>
      </c>
      <c r="R29" t="s">
        <v>105</v>
      </c>
      <c r="S29">
        <v>1</v>
      </c>
      <c r="T29">
        <v>3</v>
      </c>
      <c r="V29" t="s">
        <v>105</v>
      </c>
      <c r="W29">
        <v>1</v>
      </c>
      <c r="Z29">
        <v>0</v>
      </c>
      <c r="AB29" t="str">
        <f t="shared" si="25"/>
        <v/>
      </c>
      <c r="AC29" t="str">
        <f t="shared" si="26"/>
        <v/>
      </c>
      <c r="AD29">
        <f t="shared" si="27"/>
        <v>1</v>
      </c>
      <c r="AE29" t="str">
        <f t="shared" si="28"/>
        <v>A</v>
      </c>
      <c r="AF29">
        <f t="shared" si="29"/>
        <v>1</v>
      </c>
      <c r="AH29" t="str">
        <f t="shared" si="30"/>
        <v/>
      </c>
      <c r="AI29" t="str">
        <f t="shared" si="31"/>
        <v/>
      </c>
      <c r="AJ29">
        <f t="shared" si="32"/>
        <v>1</v>
      </c>
      <c r="AK29" t="str">
        <f t="shared" si="33"/>
        <v/>
      </c>
      <c r="AL29" t="str">
        <f t="shared" si="23"/>
        <v/>
      </c>
      <c r="AM29">
        <f t="shared" si="24"/>
        <v>0.33000000000000007</v>
      </c>
    </row>
    <row r="30" spans="3:39" x14ac:dyDescent="0.35">
      <c r="D30" t="s">
        <v>25</v>
      </c>
      <c r="E30" t="s">
        <v>46</v>
      </c>
      <c r="G30" s="4">
        <v>0.41712059409070484</v>
      </c>
      <c r="H30" s="4">
        <v>0.37037193698743842</v>
      </c>
      <c r="I30" s="4">
        <v>0.21250746892185673</v>
      </c>
      <c r="K30">
        <v>1.56</v>
      </c>
      <c r="L30">
        <v>4.21</v>
      </c>
      <c r="M30">
        <v>7.6</v>
      </c>
      <c r="N30" s="4">
        <v>0.64102564102564097</v>
      </c>
      <c r="O30" s="4">
        <v>0.23752969121140144</v>
      </c>
      <c r="P30" s="4">
        <v>0.13157894736842105</v>
      </c>
      <c r="R30" t="s">
        <v>103</v>
      </c>
      <c r="S30">
        <v>5</v>
      </c>
      <c r="T30">
        <v>0</v>
      </c>
      <c r="V30" t="s">
        <v>103</v>
      </c>
      <c r="W30">
        <v>1</v>
      </c>
      <c r="Z30">
        <v>0</v>
      </c>
      <c r="AB30">
        <f t="shared" si="25"/>
        <v>1</v>
      </c>
      <c r="AC30" t="str">
        <f t="shared" si="26"/>
        <v/>
      </c>
      <c r="AD30" t="str">
        <f t="shared" si="27"/>
        <v/>
      </c>
      <c r="AE30" t="str">
        <f t="shared" si="28"/>
        <v>H</v>
      </c>
      <c r="AF30">
        <f t="shared" si="29"/>
        <v>1</v>
      </c>
      <c r="AH30">
        <f t="shared" si="30"/>
        <v>1</v>
      </c>
      <c r="AI30" t="str">
        <f t="shared" si="31"/>
        <v/>
      </c>
      <c r="AJ30" t="str">
        <f t="shared" si="32"/>
        <v/>
      </c>
      <c r="AK30">
        <f t="shared" si="33"/>
        <v>0.56000000000000005</v>
      </c>
      <c r="AL30" t="str">
        <f t="shared" si="23"/>
        <v/>
      </c>
      <c r="AM30" t="str">
        <f t="shared" si="24"/>
        <v/>
      </c>
    </row>
    <row r="31" spans="3:39" x14ac:dyDescent="0.35">
      <c r="D31" t="s">
        <v>39</v>
      </c>
      <c r="E31" t="s">
        <v>40</v>
      </c>
      <c r="G31" s="4">
        <v>0.43861644909337122</v>
      </c>
      <c r="H31" s="4">
        <v>0.28255763045180143</v>
      </c>
      <c r="I31" s="4">
        <v>0.27882592045482707</v>
      </c>
      <c r="K31">
        <v>2.4300000000000002</v>
      </c>
      <c r="L31">
        <v>3.65</v>
      </c>
      <c r="M31">
        <v>3.15</v>
      </c>
      <c r="N31" s="4">
        <v>0.41152263374485593</v>
      </c>
      <c r="O31" s="4">
        <v>0.27397260273972601</v>
      </c>
      <c r="P31" s="4">
        <v>0.31746031746031744</v>
      </c>
      <c r="R31" t="s">
        <v>104</v>
      </c>
      <c r="S31">
        <v>1</v>
      </c>
      <c r="T31">
        <v>1</v>
      </c>
      <c r="V31" t="s">
        <v>103</v>
      </c>
      <c r="W31">
        <v>0</v>
      </c>
      <c r="Z31" t="s">
        <v>117</v>
      </c>
      <c r="AB31">
        <f t="shared" si="25"/>
        <v>0</v>
      </c>
      <c r="AC31" t="str">
        <f t="shared" si="26"/>
        <v/>
      </c>
      <c r="AD31" t="str">
        <f t="shared" si="27"/>
        <v/>
      </c>
      <c r="AE31" t="str">
        <f t="shared" si="28"/>
        <v>H</v>
      </c>
      <c r="AF31">
        <f t="shared" si="29"/>
        <v>0</v>
      </c>
      <c r="AH31">
        <f t="shared" si="30"/>
        <v>0</v>
      </c>
      <c r="AI31" t="str">
        <f t="shared" si="31"/>
        <v/>
      </c>
      <c r="AJ31" t="str">
        <f t="shared" si="32"/>
        <v/>
      </c>
      <c r="AK31">
        <f t="shared" si="33"/>
        <v>-1</v>
      </c>
      <c r="AL31" t="str">
        <f t="shared" si="23"/>
        <v/>
      </c>
      <c r="AM31" t="str">
        <f t="shared" si="24"/>
        <v/>
      </c>
    </row>
    <row r="32" spans="3:39" x14ac:dyDescent="0.35">
      <c r="AB32" s="4"/>
      <c r="AC32" s="4"/>
      <c r="AD32" s="4"/>
    </row>
    <row r="35" spans="3:39" x14ac:dyDescent="0.35">
      <c r="C35" t="s">
        <v>126</v>
      </c>
      <c r="H35" t="s">
        <v>107</v>
      </c>
      <c r="K35" t="s">
        <v>106</v>
      </c>
      <c r="N35" t="s">
        <v>108</v>
      </c>
    </row>
    <row r="36" spans="3:39" x14ac:dyDescent="0.35">
      <c r="G36" t="s">
        <v>103</v>
      </c>
      <c r="H36" t="s">
        <v>104</v>
      </c>
      <c r="I36" t="s">
        <v>105</v>
      </c>
      <c r="K36" t="s">
        <v>103</v>
      </c>
      <c r="L36" t="s">
        <v>104</v>
      </c>
      <c r="M36" t="s">
        <v>105</v>
      </c>
      <c r="N36" t="s">
        <v>103</v>
      </c>
      <c r="O36" t="s">
        <v>104</v>
      </c>
      <c r="P36" t="s">
        <v>105</v>
      </c>
      <c r="R36" t="s">
        <v>110</v>
      </c>
      <c r="V36" t="s">
        <v>112</v>
      </c>
      <c r="W36" t="s">
        <v>111</v>
      </c>
      <c r="X36" s="28" t="s">
        <v>114</v>
      </c>
      <c r="Z36" t="s">
        <v>113</v>
      </c>
      <c r="AA36" s="28" t="s">
        <v>116</v>
      </c>
      <c r="AB36" t="s">
        <v>166</v>
      </c>
      <c r="AC36" t="s">
        <v>167</v>
      </c>
      <c r="AD36" t="s">
        <v>168</v>
      </c>
      <c r="AK36" t="str">
        <f t="shared" si="20"/>
        <v/>
      </c>
      <c r="AL36" t="str">
        <f t="shared" si="21"/>
        <v/>
      </c>
      <c r="AM36" t="str">
        <f t="shared" si="22"/>
        <v/>
      </c>
    </row>
    <row r="37" spans="3:39" x14ac:dyDescent="0.35">
      <c r="D37" t="s">
        <v>45</v>
      </c>
      <c r="E37" t="s">
        <v>29</v>
      </c>
      <c r="G37">
        <v>0.20626771351968634</v>
      </c>
      <c r="H37">
        <v>0.30122809016744934</v>
      </c>
      <c r="I37">
        <v>0.49250419631286424</v>
      </c>
      <c r="K37">
        <v>4.0999999999999996</v>
      </c>
      <c r="L37">
        <v>3.75</v>
      </c>
      <c r="M37">
        <v>2.02</v>
      </c>
      <c r="N37">
        <v>0.24390243902439027</v>
      </c>
      <c r="O37">
        <v>0.26666666666666666</v>
      </c>
      <c r="P37">
        <v>0.49504950495049505</v>
      </c>
      <c r="R37" t="s">
        <v>103</v>
      </c>
      <c r="S37">
        <v>3</v>
      </c>
      <c r="T37">
        <v>0</v>
      </c>
      <c r="V37" t="s">
        <v>105</v>
      </c>
      <c r="W37">
        <v>0</v>
      </c>
      <c r="X37" s="28">
        <v>0.4</v>
      </c>
      <c r="Z37" t="s">
        <v>117</v>
      </c>
      <c r="AA37" s="28">
        <v>0.5</v>
      </c>
      <c r="AB37" t="str">
        <f>IF(V37=$G$5, IF(W37=$R$2, 1,0), "")</f>
        <v/>
      </c>
      <c r="AC37" t="str">
        <f>IF(V37=$H$5, IF(W37=$R$2, 1,0), "")</f>
        <v/>
      </c>
      <c r="AD37">
        <f>IF(V37=$I$5, IF(W37=$R$2, 1,0), "")</f>
        <v>0</v>
      </c>
      <c r="AE37" t="str">
        <f>IF(MAX(N37:P37)=N37,$N$5,IF(MAX(N37:P37)=O37,$O$5,$P$5))</f>
        <v>A</v>
      </c>
      <c r="AF37">
        <f>IF(AE37=R37, $R$2,$R$3)</f>
        <v>0</v>
      </c>
      <c r="AG37" s="28">
        <f>COUNTIF(AF37:AF46, $R$2)/COUNT(AF37:AF46)</f>
        <v>0.3</v>
      </c>
      <c r="AH37" t="str">
        <f>IF(AE37=$G$5, IF(AF37=$R$2, 1,0), "")</f>
        <v/>
      </c>
      <c r="AI37" t="str">
        <f>IF(AE37=$H$5, IF(AF37=$R$2, 1,0), "")</f>
        <v/>
      </c>
      <c r="AJ37">
        <f>IF(AE37=$I$5, IF(AF37=$R$2, 1,0), "")</f>
        <v>0</v>
      </c>
      <c r="AK37" t="str">
        <f>IF(AB37=1, K37-1, IF(AB37=0, -1,""))</f>
        <v/>
      </c>
      <c r="AL37" t="str">
        <f t="shared" ref="AL37:AL46" si="34">IF(AC37=1, L37-1, IF(AC37=0, -1,""))</f>
        <v/>
      </c>
      <c r="AM37">
        <f t="shared" ref="AM37:AM46" si="35">IF(AD37=1, M37-1, IF(AD37=0, -1,""))</f>
        <v>-1</v>
      </c>
    </row>
    <row r="38" spans="3:39" x14ac:dyDescent="0.35">
      <c r="D38" t="s">
        <v>41</v>
      </c>
      <c r="E38" t="s">
        <v>25</v>
      </c>
      <c r="G38">
        <v>0.53618476224595368</v>
      </c>
      <c r="H38">
        <v>0.29893811045813584</v>
      </c>
      <c r="I38">
        <v>0.16487712729591036</v>
      </c>
      <c r="K38">
        <v>1.5</v>
      </c>
      <c r="L38">
        <v>4.8499999999999996</v>
      </c>
      <c r="M38">
        <v>7.7</v>
      </c>
      <c r="N38">
        <v>0.66666666666666663</v>
      </c>
      <c r="O38">
        <v>0.2061855670103093</v>
      </c>
      <c r="P38">
        <v>0.12987012987012986</v>
      </c>
      <c r="R38" t="s">
        <v>103</v>
      </c>
      <c r="S38">
        <v>2</v>
      </c>
      <c r="T38">
        <v>1</v>
      </c>
      <c r="V38" t="s">
        <v>103</v>
      </c>
      <c r="W38">
        <v>1</v>
      </c>
      <c r="Z38">
        <v>0</v>
      </c>
      <c r="AA38" s="28" t="s">
        <v>117</v>
      </c>
      <c r="AB38">
        <f t="shared" ref="AB38:AB46" si="36">IF(V38=$G$5, IF(W38=$R$2, 1,0), "")</f>
        <v>1</v>
      </c>
      <c r="AC38" t="str">
        <f t="shared" ref="AC38:AC46" si="37">IF(V38=$H$5, IF(W38=$R$2, 1,0), "")</f>
        <v/>
      </c>
      <c r="AD38" t="str">
        <f t="shared" ref="AD38:AD46" si="38">IF(V38=$I$5, IF(W38=$R$2, 1,0), "")</f>
        <v/>
      </c>
      <c r="AE38" t="str">
        <f t="shared" ref="AE38:AE46" si="39">IF(MAX(N38:P38)=N38,$N$5,IF(MAX(N38:P38)=O38,$O$5,$P$5))</f>
        <v>H</v>
      </c>
      <c r="AF38">
        <f t="shared" ref="AF38:AF46" si="40">IF(AE38=R38, $R$2,$R$3)</f>
        <v>1</v>
      </c>
      <c r="AH38">
        <f t="shared" ref="AH38:AH46" si="41">IF(AE38=$G$5, IF(AF38=$R$2, 1,0), "")</f>
        <v>1</v>
      </c>
      <c r="AI38" t="str">
        <f t="shared" ref="AI38:AI46" si="42">IF(AE38=$H$5, IF(AF38=$R$2, 1,0), "")</f>
        <v/>
      </c>
      <c r="AJ38" t="str">
        <f t="shared" ref="AJ38:AJ46" si="43">IF(AE38=$I$5, IF(AF38=$R$2, 1,0), "")</f>
        <v/>
      </c>
      <c r="AK38">
        <f t="shared" ref="AK38:AK46" si="44">IF(AB38=1, K38-1, IF(AB38=0, -1,""))</f>
        <v>0.5</v>
      </c>
      <c r="AL38" t="str">
        <f t="shared" si="34"/>
        <v/>
      </c>
      <c r="AM38" t="str">
        <f t="shared" si="35"/>
        <v/>
      </c>
    </row>
    <row r="39" spans="3:39" x14ac:dyDescent="0.35">
      <c r="D39" t="s">
        <v>50</v>
      </c>
      <c r="E39" t="s">
        <v>52</v>
      </c>
      <c r="G39">
        <v>0.46050009431043692</v>
      </c>
      <c r="H39">
        <v>0.26163981045977869</v>
      </c>
      <c r="I39">
        <v>0.27786009522978439</v>
      </c>
      <c r="K39">
        <v>2.5</v>
      </c>
      <c r="L39">
        <v>3.75</v>
      </c>
      <c r="M39">
        <v>2.95</v>
      </c>
      <c r="N39">
        <v>0.4</v>
      </c>
      <c r="O39">
        <v>0.26666666666666666</v>
      </c>
      <c r="P39">
        <v>0.33898305084745761</v>
      </c>
      <c r="R39" t="s">
        <v>105</v>
      </c>
      <c r="S39">
        <v>1</v>
      </c>
      <c r="T39">
        <v>5</v>
      </c>
      <c r="V39" t="s">
        <v>103</v>
      </c>
      <c r="W39">
        <v>0</v>
      </c>
      <c r="Z39" t="s">
        <v>117</v>
      </c>
      <c r="AB39">
        <f t="shared" si="36"/>
        <v>0</v>
      </c>
      <c r="AC39" t="str">
        <f t="shared" si="37"/>
        <v/>
      </c>
      <c r="AD39" t="str">
        <f t="shared" si="38"/>
        <v/>
      </c>
      <c r="AE39" t="str">
        <f t="shared" si="39"/>
        <v>H</v>
      </c>
      <c r="AF39">
        <f t="shared" si="40"/>
        <v>0</v>
      </c>
      <c r="AH39">
        <f t="shared" si="41"/>
        <v>0</v>
      </c>
      <c r="AI39" t="str">
        <f t="shared" si="42"/>
        <v/>
      </c>
      <c r="AJ39" t="str">
        <f t="shared" si="43"/>
        <v/>
      </c>
      <c r="AK39">
        <f t="shared" si="44"/>
        <v>-1</v>
      </c>
      <c r="AL39" t="str">
        <f t="shared" si="34"/>
        <v/>
      </c>
      <c r="AM39" t="str">
        <f t="shared" si="35"/>
        <v/>
      </c>
    </row>
    <row r="40" spans="3:39" x14ac:dyDescent="0.35">
      <c r="D40" t="s">
        <v>32</v>
      </c>
      <c r="E40" t="s">
        <v>28</v>
      </c>
      <c r="G40">
        <v>0.22202552069039122</v>
      </c>
      <c r="H40">
        <v>0.32941170177800211</v>
      </c>
      <c r="I40">
        <v>0.44856277753160656</v>
      </c>
      <c r="K40">
        <v>3.05</v>
      </c>
      <c r="L40">
        <v>3.37</v>
      </c>
      <c r="M40">
        <v>2.65</v>
      </c>
      <c r="N40">
        <v>0.32786885245901642</v>
      </c>
      <c r="O40">
        <v>0.29673590504451036</v>
      </c>
      <c r="P40">
        <v>0.37735849056603776</v>
      </c>
      <c r="R40" t="s">
        <v>103</v>
      </c>
      <c r="S40">
        <v>1</v>
      </c>
      <c r="T40">
        <v>0</v>
      </c>
      <c r="V40" t="s">
        <v>105</v>
      </c>
      <c r="W40">
        <v>0</v>
      </c>
      <c r="Z40" t="s">
        <v>117</v>
      </c>
      <c r="AB40" t="str">
        <f t="shared" si="36"/>
        <v/>
      </c>
      <c r="AC40" t="str">
        <f t="shared" si="37"/>
        <v/>
      </c>
      <c r="AD40">
        <f t="shared" si="38"/>
        <v>0</v>
      </c>
      <c r="AE40" t="str">
        <f t="shared" si="39"/>
        <v>A</v>
      </c>
      <c r="AF40">
        <f t="shared" si="40"/>
        <v>0</v>
      </c>
      <c r="AH40" t="str">
        <f t="shared" si="41"/>
        <v/>
      </c>
      <c r="AI40" t="str">
        <f t="shared" si="42"/>
        <v/>
      </c>
      <c r="AJ40">
        <f t="shared" si="43"/>
        <v>0</v>
      </c>
      <c r="AK40" t="str">
        <f t="shared" si="44"/>
        <v/>
      </c>
      <c r="AL40" t="str">
        <f t="shared" si="34"/>
        <v/>
      </c>
      <c r="AM40">
        <f t="shared" si="35"/>
        <v>-1</v>
      </c>
    </row>
    <row r="41" spans="3:39" x14ac:dyDescent="0.35">
      <c r="D41" t="s">
        <v>35</v>
      </c>
      <c r="E41" t="s">
        <v>51</v>
      </c>
      <c r="G41">
        <v>0.23707768865708903</v>
      </c>
      <c r="H41">
        <v>0.29786986314438263</v>
      </c>
      <c r="I41">
        <v>0.46505244819852831</v>
      </c>
      <c r="K41">
        <v>2.25</v>
      </c>
      <c r="L41">
        <v>3.5</v>
      </c>
      <c r="M41">
        <v>3.75</v>
      </c>
      <c r="N41">
        <v>0.44444444444444442</v>
      </c>
      <c r="O41">
        <v>0.2857142857142857</v>
      </c>
      <c r="P41">
        <v>0.26666666666666666</v>
      </c>
      <c r="R41" t="s">
        <v>104</v>
      </c>
      <c r="S41">
        <v>0</v>
      </c>
      <c r="T41">
        <v>0</v>
      </c>
      <c r="V41" t="s">
        <v>105</v>
      </c>
      <c r="W41">
        <v>0</v>
      </c>
      <c r="Z41" t="s">
        <v>117</v>
      </c>
      <c r="AB41" t="str">
        <f t="shared" si="36"/>
        <v/>
      </c>
      <c r="AC41" t="str">
        <f t="shared" si="37"/>
        <v/>
      </c>
      <c r="AD41">
        <f t="shared" si="38"/>
        <v>0</v>
      </c>
      <c r="AE41" t="str">
        <f t="shared" si="39"/>
        <v>H</v>
      </c>
      <c r="AF41">
        <f t="shared" si="40"/>
        <v>0</v>
      </c>
      <c r="AH41">
        <f t="shared" si="41"/>
        <v>0</v>
      </c>
      <c r="AI41" t="str">
        <f t="shared" si="42"/>
        <v/>
      </c>
      <c r="AJ41" t="str">
        <f t="shared" si="43"/>
        <v/>
      </c>
      <c r="AK41" t="str">
        <f t="shared" si="44"/>
        <v/>
      </c>
      <c r="AL41" t="str">
        <f t="shared" si="34"/>
        <v/>
      </c>
      <c r="AM41">
        <f t="shared" si="35"/>
        <v>-1</v>
      </c>
    </row>
    <row r="42" spans="3:39" x14ac:dyDescent="0.35">
      <c r="D42" t="s">
        <v>43</v>
      </c>
      <c r="E42" t="s">
        <v>30</v>
      </c>
      <c r="G42">
        <v>0.30593836451787126</v>
      </c>
      <c r="H42">
        <v>0.31900524927611779</v>
      </c>
      <c r="I42">
        <v>0.37505638620601039</v>
      </c>
      <c r="K42">
        <v>2.0499999999999998</v>
      </c>
      <c r="L42">
        <v>3.7</v>
      </c>
      <c r="M42">
        <v>4</v>
      </c>
      <c r="N42">
        <v>0.48780487804878053</v>
      </c>
      <c r="O42">
        <v>0.27027027027027023</v>
      </c>
      <c r="P42">
        <v>0.25</v>
      </c>
      <c r="R42" t="s">
        <v>105</v>
      </c>
      <c r="S42">
        <v>1</v>
      </c>
      <c r="T42">
        <v>2</v>
      </c>
      <c r="V42" t="s">
        <v>105</v>
      </c>
      <c r="W42">
        <v>1</v>
      </c>
      <c r="Z42">
        <v>1</v>
      </c>
      <c r="AB42" t="str">
        <f t="shared" si="36"/>
        <v/>
      </c>
      <c r="AC42" t="str">
        <f t="shared" si="37"/>
        <v/>
      </c>
      <c r="AD42">
        <f t="shared" si="38"/>
        <v>1</v>
      </c>
      <c r="AE42" t="str">
        <f t="shared" si="39"/>
        <v>H</v>
      </c>
      <c r="AF42">
        <f t="shared" si="40"/>
        <v>0</v>
      </c>
      <c r="AH42">
        <f t="shared" si="41"/>
        <v>0</v>
      </c>
      <c r="AI42" t="str">
        <f t="shared" si="42"/>
        <v/>
      </c>
      <c r="AJ42" t="str">
        <f t="shared" si="43"/>
        <v/>
      </c>
      <c r="AK42" t="str">
        <f t="shared" si="44"/>
        <v/>
      </c>
      <c r="AL42" t="str">
        <f t="shared" si="34"/>
        <v/>
      </c>
      <c r="AM42">
        <f t="shared" si="35"/>
        <v>3</v>
      </c>
    </row>
    <row r="43" spans="3:39" x14ac:dyDescent="0.35">
      <c r="D43" t="s">
        <v>36</v>
      </c>
      <c r="E43" t="s">
        <v>49</v>
      </c>
      <c r="G43">
        <v>0.63542101179604171</v>
      </c>
      <c r="H43">
        <v>0.24865782232647102</v>
      </c>
      <c r="I43">
        <v>0.11592116587748684</v>
      </c>
      <c r="K43">
        <v>1.1399999999999999</v>
      </c>
      <c r="L43">
        <v>10.5</v>
      </c>
      <c r="M43">
        <v>28</v>
      </c>
      <c r="N43">
        <v>0.87719298245614041</v>
      </c>
      <c r="O43">
        <v>9.5238095238095233E-2</v>
      </c>
      <c r="P43">
        <v>3.5714285714285712E-2</v>
      </c>
      <c r="R43" t="s">
        <v>105</v>
      </c>
      <c r="S43">
        <v>0</v>
      </c>
      <c r="T43">
        <v>2</v>
      </c>
      <c r="V43" t="s">
        <v>103</v>
      </c>
      <c r="W43">
        <v>0</v>
      </c>
      <c r="Z43" t="s">
        <v>117</v>
      </c>
      <c r="AB43">
        <f t="shared" si="36"/>
        <v>0</v>
      </c>
      <c r="AC43" t="str">
        <f t="shared" si="37"/>
        <v/>
      </c>
      <c r="AD43" t="str">
        <f t="shared" si="38"/>
        <v/>
      </c>
      <c r="AE43" t="str">
        <f t="shared" si="39"/>
        <v>H</v>
      </c>
      <c r="AF43">
        <f t="shared" si="40"/>
        <v>0</v>
      </c>
      <c r="AH43">
        <f t="shared" si="41"/>
        <v>0</v>
      </c>
      <c r="AI43" t="str">
        <f t="shared" si="42"/>
        <v/>
      </c>
      <c r="AJ43" t="str">
        <f t="shared" si="43"/>
        <v/>
      </c>
      <c r="AK43">
        <f t="shared" si="44"/>
        <v>-1</v>
      </c>
      <c r="AL43" t="str">
        <f t="shared" si="34"/>
        <v/>
      </c>
      <c r="AM43" t="str">
        <f t="shared" si="35"/>
        <v/>
      </c>
    </row>
    <row r="44" spans="3:39" x14ac:dyDescent="0.35">
      <c r="D44" t="s">
        <v>34</v>
      </c>
      <c r="E44" t="s">
        <v>42</v>
      </c>
      <c r="G44">
        <v>0.18224960413138735</v>
      </c>
      <c r="H44">
        <v>0.23889304206540971</v>
      </c>
      <c r="I44">
        <v>0.57885735380320302</v>
      </c>
      <c r="K44">
        <v>4.3</v>
      </c>
      <c r="L44">
        <v>4</v>
      </c>
      <c r="M44">
        <v>1.93</v>
      </c>
      <c r="N44">
        <v>0.23255813953488372</v>
      </c>
      <c r="O44">
        <v>0.25</v>
      </c>
      <c r="P44">
        <v>0.5181347150259068</v>
      </c>
      <c r="R44" t="s">
        <v>105</v>
      </c>
      <c r="S44">
        <v>1</v>
      </c>
      <c r="T44">
        <v>4</v>
      </c>
      <c r="V44" t="s">
        <v>105</v>
      </c>
      <c r="W44">
        <v>1</v>
      </c>
      <c r="Z44">
        <v>1</v>
      </c>
      <c r="AB44" t="str">
        <f t="shared" si="36"/>
        <v/>
      </c>
      <c r="AC44" t="str">
        <f t="shared" si="37"/>
        <v/>
      </c>
      <c r="AD44">
        <f t="shared" si="38"/>
        <v>1</v>
      </c>
      <c r="AE44" t="str">
        <f t="shared" si="39"/>
        <v>A</v>
      </c>
      <c r="AF44">
        <f t="shared" si="40"/>
        <v>1</v>
      </c>
      <c r="AH44" t="str">
        <f t="shared" si="41"/>
        <v/>
      </c>
      <c r="AI44" t="str">
        <f t="shared" si="42"/>
        <v/>
      </c>
      <c r="AJ44">
        <f t="shared" si="43"/>
        <v>1</v>
      </c>
      <c r="AK44" t="str">
        <f t="shared" si="44"/>
        <v/>
      </c>
      <c r="AL44" t="str">
        <f t="shared" si="34"/>
        <v/>
      </c>
      <c r="AM44">
        <f t="shared" si="35"/>
        <v>0.92999999999999994</v>
      </c>
    </row>
    <row r="45" spans="3:39" x14ac:dyDescent="0.35">
      <c r="D45" t="s">
        <v>40</v>
      </c>
      <c r="E45" t="s">
        <v>38</v>
      </c>
      <c r="G45">
        <v>0.43996592363136477</v>
      </c>
      <c r="H45">
        <v>0.25496537052672008</v>
      </c>
      <c r="I45">
        <v>0.30506870584191526</v>
      </c>
      <c r="K45">
        <v>1.5</v>
      </c>
      <c r="L45">
        <v>5.2</v>
      </c>
      <c r="M45">
        <v>7.2</v>
      </c>
      <c r="N45">
        <v>0.66666666666666663</v>
      </c>
      <c r="O45">
        <v>0.19230769230769229</v>
      </c>
      <c r="P45">
        <v>0.1388888888888889</v>
      </c>
      <c r="R45" t="s">
        <v>103</v>
      </c>
      <c r="S45">
        <v>1</v>
      </c>
      <c r="T45">
        <v>0</v>
      </c>
      <c r="V45" t="s">
        <v>103</v>
      </c>
      <c r="W45">
        <v>1</v>
      </c>
      <c r="Z45">
        <v>0</v>
      </c>
      <c r="AB45">
        <f t="shared" si="36"/>
        <v>1</v>
      </c>
      <c r="AC45" t="str">
        <f t="shared" si="37"/>
        <v/>
      </c>
      <c r="AD45" t="str">
        <f t="shared" si="38"/>
        <v/>
      </c>
      <c r="AE45" t="str">
        <f t="shared" si="39"/>
        <v>H</v>
      </c>
      <c r="AF45">
        <f t="shared" si="40"/>
        <v>1</v>
      </c>
      <c r="AH45">
        <f t="shared" si="41"/>
        <v>1</v>
      </c>
      <c r="AI45" t="str">
        <f t="shared" si="42"/>
        <v/>
      </c>
      <c r="AJ45" t="str">
        <f t="shared" si="43"/>
        <v/>
      </c>
      <c r="AK45">
        <f t="shared" si="44"/>
        <v>0.5</v>
      </c>
      <c r="AL45" t="str">
        <f t="shared" si="34"/>
        <v/>
      </c>
      <c r="AM45" t="str">
        <f t="shared" si="35"/>
        <v/>
      </c>
    </row>
    <row r="46" spans="3:39" x14ac:dyDescent="0.35">
      <c r="D46" t="s">
        <v>46</v>
      </c>
      <c r="E46" t="s">
        <v>39</v>
      </c>
      <c r="G46">
        <v>0.16427971541962025</v>
      </c>
      <c r="H46">
        <v>0.31712441600636149</v>
      </c>
      <c r="I46">
        <v>0.51859586857401818</v>
      </c>
      <c r="K46">
        <v>4.5999999999999996</v>
      </c>
      <c r="L46">
        <v>3.55</v>
      </c>
      <c r="M46">
        <v>1.95</v>
      </c>
      <c r="N46">
        <v>0.21739130434782611</v>
      </c>
      <c r="O46">
        <v>0.28169014084507044</v>
      </c>
      <c r="P46">
        <v>0.51282051282051289</v>
      </c>
      <c r="R46" t="s">
        <v>103</v>
      </c>
      <c r="S46">
        <v>1</v>
      </c>
      <c r="T46">
        <v>0</v>
      </c>
      <c r="V46" t="s">
        <v>105</v>
      </c>
      <c r="W46">
        <v>0</v>
      </c>
      <c r="Z46" t="s">
        <v>117</v>
      </c>
      <c r="AB46" t="str">
        <f t="shared" si="36"/>
        <v/>
      </c>
      <c r="AC46" t="str">
        <f t="shared" si="37"/>
        <v/>
      </c>
      <c r="AD46">
        <f t="shared" si="38"/>
        <v>0</v>
      </c>
      <c r="AE46" t="str">
        <f t="shared" si="39"/>
        <v>A</v>
      </c>
      <c r="AF46">
        <f t="shared" si="40"/>
        <v>0</v>
      </c>
      <c r="AH46" t="str">
        <f t="shared" si="41"/>
        <v/>
      </c>
      <c r="AI46" t="str">
        <f t="shared" si="42"/>
        <v/>
      </c>
      <c r="AJ46">
        <f t="shared" si="43"/>
        <v>0</v>
      </c>
      <c r="AK46" t="str">
        <f t="shared" si="44"/>
        <v/>
      </c>
      <c r="AL46" t="str">
        <f t="shared" si="34"/>
        <v/>
      </c>
      <c r="AM46">
        <f t="shared" si="35"/>
        <v>-1</v>
      </c>
    </row>
    <row r="47" spans="3:39" x14ac:dyDescent="0.35">
      <c r="AB47" s="4"/>
      <c r="AC47" s="4"/>
      <c r="AD47" s="4"/>
    </row>
    <row r="50" spans="3:39" x14ac:dyDescent="0.35">
      <c r="C50" t="s">
        <v>127</v>
      </c>
      <c r="H50" s="21" t="s">
        <v>107</v>
      </c>
      <c r="K50" s="22" t="s">
        <v>106</v>
      </c>
      <c r="N50" t="s">
        <v>108</v>
      </c>
    </row>
    <row r="51" spans="3:39" x14ac:dyDescent="0.35">
      <c r="G51" t="s">
        <v>103</v>
      </c>
      <c r="H51" t="s">
        <v>104</v>
      </c>
      <c r="I51" t="s">
        <v>105</v>
      </c>
      <c r="K51" t="s">
        <v>103</v>
      </c>
      <c r="L51" t="s">
        <v>104</v>
      </c>
      <c r="M51" t="s">
        <v>105</v>
      </c>
      <c r="N51" t="s">
        <v>103</v>
      </c>
      <c r="O51" t="s">
        <v>104</v>
      </c>
      <c r="P51" t="s">
        <v>105</v>
      </c>
      <c r="R51" t="s">
        <v>110</v>
      </c>
      <c r="V51" t="s">
        <v>112</v>
      </c>
      <c r="W51" t="s">
        <v>111</v>
      </c>
      <c r="X51" s="28" t="s">
        <v>114</v>
      </c>
      <c r="Z51" t="s">
        <v>113</v>
      </c>
      <c r="AA51" s="28" t="s">
        <v>116</v>
      </c>
      <c r="AB51" t="s">
        <v>166</v>
      </c>
      <c r="AC51" t="s">
        <v>167</v>
      </c>
      <c r="AD51" t="s">
        <v>168</v>
      </c>
      <c r="AK51" t="str">
        <f t="shared" si="20"/>
        <v/>
      </c>
      <c r="AL51" t="str">
        <f t="shared" si="21"/>
        <v/>
      </c>
      <c r="AM51" t="str">
        <f t="shared" si="22"/>
        <v/>
      </c>
    </row>
    <row r="52" spans="3:39" x14ac:dyDescent="0.35">
      <c r="D52" t="s">
        <v>28</v>
      </c>
      <c r="E52" t="s">
        <v>43</v>
      </c>
      <c r="G52" s="4">
        <v>0.35214841991909018</v>
      </c>
      <c r="H52" s="4">
        <v>0.29841565205549331</v>
      </c>
      <c r="I52" s="4">
        <v>0.3494359280254164</v>
      </c>
      <c r="K52">
        <v>2.02</v>
      </c>
      <c r="L52">
        <v>3.9</v>
      </c>
      <c r="M52">
        <v>4</v>
      </c>
      <c r="N52" s="4">
        <v>0.49504950495049505</v>
      </c>
      <c r="O52" s="4">
        <v>0.25641025641025644</v>
      </c>
      <c r="P52" s="4">
        <v>0.25</v>
      </c>
      <c r="R52" t="s">
        <v>103</v>
      </c>
      <c r="S52">
        <v>2</v>
      </c>
      <c r="T52">
        <v>0</v>
      </c>
      <c r="V52" t="s">
        <v>103</v>
      </c>
      <c r="W52">
        <v>1</v>
      </c>
      <c r="X52" s="28">
        <v>0.5</v>
      </c>
      <c r="Z52">
        <v>0</v>
      </c>
      <c r="AA52" s="28">
        <v>0</v>
      </c>
      <c r="AB52">
        <f>IF(V52=$G$5, IF(W52=$R$2, 1,0), "")</f>
        <v>1</v>
      </c>
      <c r="AC52" t="str">
        <f>IF(V52=$H$5, IF(W52=$R$2, 1,0), "")</f>
        <v/>
      </c>
      <c r="AD52" t="str">
        <f>IF(V52=$I$5, IF(W52=$R$2, 1,0), "")</f>
        <v/>
      </c>
      <c r="AE52" t="str">
        <f>IF(MAX(N52:P52)=N52,$N$5,IF(MAX(N52:P52)=O52,$O$5,$P$5))</f>
        <v>H</v>
      </c>
      <c r="AF52">
        <f>IF(AE52=R52, $R$2,$R$3)</f>
        <v>1</v>
      </c>
      <c r="AG52" s="28">
        <f>COUNTIF(AF52:AF61, $R$2)/COUNT(AF52:AF61)</f>
        <v>0.5</v>
      </c>
      <c r="AH52">
        <f>IF(AE52=$G$5, IF(AF52=$R$2, 1,0), "")</f>
        <v>1</v>
      </c>
      <c r="AI52" t="str">
        <f>IF(AE52=$H$5, IF(AF52=$R$2, 1,0), "")</f>
        <v/>
      </c>
      <c r="AJ52" t="str">
        <f>IF(AE52=$I$5, IF(AF52=$R$2, 1,0), "")</f>
        <v/>
      </c>
      <c r="AK52">
        <f>IF(AB52=1, K52-1, IF(AB52=0, -1,""))</f>
        <v>1.02</v>
      </c>
      <c r="AL52" t="str">
        <f t="shared" ref="AL52:AL61" si="45">IF(AC52=1, L52-1, IF(AC52=0, -1,""))</f>
        <v/>
      </c>
      <c r="AM52" t="str">
        <f t="shared" ref="AM52:AM61" si="46">IF(AD52=1, M52-1, IF(AD52=0, -1,""))</f>
        <v/>
      </c>
    </row>
    <row r="53" spans="3:39" x14ac:dyDescent="0.35">
      <c r="D53" t="s">
        <v>38</v>
      </c>
      <c r="E53" t="s">
        <v>50</v>
      </c>
      <c r="G53" s="4">
        <v>0.53151409670138738</v>
      </c>
      <c r="H53" s="4">
        <v>0.28385637498668237</v>
      </c>
      <c r="I53" s="4">
        <v>0.18462952831193044</v>
      </c>
      <c r="K53">
        <v>1.78</v>
      </c>
      <c r="L53">
        <v>4.5999999999999996</v>
      </c>
      <c r="M53">
        <v>4.5</v>
      </c>
      <c r="N53" s="4">
        <v>0.5617977528089888</v>
      </c>
      <c r="O53" s="4">
        <v>0.21739130434782611</v>
      </c>
      <c r="P53" s="4">
        <v>0.22222222222222221</v>
      </c>
      <c r="R53" t="s">
        <v>104</v>
      </c>
      <c r="S53">
        <v>0</v>
      </c>
      <c r="T53">
        <v>0</v>
      </c>
      <c r="V53" t="s">
        <v>103</v>
      </c>
      <c r="W53">
        <v>0</v>
      </c>
      <c r="Z53" t="s">
        <v>117</v>
      </c>
      <c r="AA53" s="29" t="s">
        <v>117</v>
      </c>
      <c r="AB53">
        <f t="shared" ref="AB53:AB61" si="47">IF(V53=$G$5, IF(W53=$R$2, 1,0), "")</f>
        <v>0</v>
      </c>
      <c r="AC53" t="str">
        <f t="shared" ref="AC53:AC61" si="48">IF(V53=$H$5, IF(W53=$R$2, 1,0), "")</f>
        <v/>
      </c>
      <c r="AD53" t="str">
        <f t="shared" ref="AD53:AD61" si="49">IF(V53=$I$5, IF(W53=$R$2, 1,0), "")</f>
        <v/>
      </c>
      <c r="AE53" t="str">
        <f t="shared" ref="AE53:AE61" si="50">IF(MAX(N53:P53)=N53,$N$5,IF(MAX(N53:P53)=O53,$O$5,$P$5))</f>
        <v>H</v>
      </c>
      <c r="AF53">
        <f t="shared" ref="AF53:AF61" si="51">IF(AE53=R53, $R$2,$R$3)</f>
        <v>0</v>
      </c>
      <c r="AH53">
        <f t="shared" ref="AH53:AH61" si="52">IF(AE53=$G$5, IF(AF53=$R$2, 1,0), "")</f>
        <v>0</v>
      </c>
      <c r="AI53" t="str">
        <f t="shared" ref="AI53:AI61" si="53">IF(AE53=$H$5, IF(AF53=$R$2, 1,0), "")</f>
        <v/>
      </c>
      <c r="AJ53" t="str">
        <f t="shared" ref="AJ53:AJ61" si="54">IF(AE53=$I$5, IF(AF53=$R$2, 1,0), "")</f>
        <v/>
      </c>
      <c r="AK53">
        <f t="shared" ref="AK53:AK61" si="55">IF(AB53=1, K53-1, IF(AB53=0, -1,""))</f>
        <v>-1</v>
      </c>
      <c r="AL53" t="str">
        <f t="shared" si="45"/>
        <v/>
      </c>
      <c r="AM53" t="str">
        <f t="shared" si="46"/>
        <v/>
      </c>
    </row>
    <row r="54" spans="3:39" x14ac:dyDescent="0.35">
      <c r="D54" t="s">
        <v>52</v>
      </c>
      <c r="E54" t="s">
        <v>45</v>
      </c>
      <c r="G54" s="4">
        <v>0.39418118698668225</v>
      </c>
      <c r="H54" s="4">
        <v>0.35150429297047303</v>
      </c>
      <c r="I54" s="4">
        <v>0.25431452004284494</v>
      </c>
      <c r="K54">
        <v>2.4500000000000002</v>
      </c>
      <c r="L54">
        <v>3.55</v>
      </c>
      <c r="M54">
        <v>3.15</v>
      </c>
      <c r="N54" s="4">
        <v>0.4081632653061224</v>
      </c>
      <c r="O54" s="4">
        <v>0.28169014084507044</v>
      </c>
      <c r="P54" s="4">
        <v>0.31746031746031744</v>
      </c>
      <c r="R54" t="s">
        <v>103</v>
      </c>
      <c r="S54">
        <v>2</v>
      </c>
      <c r="T54">
        <v>1</v>
      </c>
      <c r="V54" t="s">
        <v>103</v>
      </c>
      <c r="W54">
        <v>1</v>
      </c>
      <c r="Z54">
        <v>0</v>
      </c>
      <c r="AB54">
        <f t="shared" si="47"/>
        <v>1</v>
      </c>
      <c r="AC54" t="str">
        <f t="shared" si="48"/>
        <v/>
      </c>
      <c r="AD54" t="str">
        <f t="shared" si="49"/>
        <v/>
      </c>
      <c r="AE54" t="str">
        <f t="shared" si="50"/>
        <v>H</v>
      </c>
      <c r="AF54">
        <f t="shared" si="51"/>
        <v>1</v>
      </c>
      <c r="AH54">
        <f t="shared" si="52"/>
        <v>1</v>
      </c>
      <c r="AI54" t="str">
        <f t="shared" si="53"/>
        <v/>
      </c>
      <c r="AJ54" t="str">
        <f t="shared" si="54"/>
        <v/>
      </c>
      <c r="AK54">
        <f t="shared" si="55"/>
        <v>1.4500000000000002</v>
      </c>
      <c r="AL54" t="str">
        <f t="shared" si="45"/>
        <v/>
      </c>
      <c r="AM54" t="str">
        <f t="shared" si="46"/>
        <v/>
      </c>
    </row>
    <row r="55" spans="3:39" x14ac:dyDescent="0.35">
      <c r="D55" t="s">
        <v>29</v>
      </c>
      <c r="E55" t="s">
        <v>35</v>
      </c>
      <c r="G55" s="4">
        <v>0.55685708787023103</v>
      </c>
      <c r="H55" s="4">
        <v>0.26256821911881068</v>
      </c>
      <c r="I55" s="4">
        <v>0.18057469301095821</v>
      </c>
      <c r="K55">
        <v>1.45</v>
      </c>
      <c r="L55">
        <v>5.0999999999999996</v>
      </c>
      <c r="M55">
        <v>8</v>
      </c>
      <c r="N55" s="4">
        <v>0.68965517241379315</v>
      </c>
      <c r="O55" s="4">
        <v>0.19607843137254904</v>
      </c>
      <c r="P55" s="4">
        <v>0.125</v>
      </c>
      <c r="R55" t="s">
        <v>104</v>
      </c>
      <c r="S55">
        <v>1</v>
      </c>
      <c r="T55">
        <v>1</v>
      </c>
      <c r="V55" t="s">
        <v>103</v>
      </c>
      <c r="W55">
        <v>0</v>
      </c>
      <c r="Z55" t="s">
        <v>117</v>
      </c>
      <c r="AB55">
        <f t="shared" si="47"/>
        <v>0</v>
      </c>
      <c r="AC55" t="str">
        <f t="shared" si="48"/>
        <v/>
      </c>
      <c r="AD55" t="str">
        <f t="shared" si="49"/>
        <v/>
      </c>
      <c r="AE55" t="str">
        <f t="shared" si="50"/>
        <v>H</v>
      </c>
      <c r="AF55">
        <f t="shared" si="51"/>
        <v>0</v>
      </c>
      <c r="AH55">
        <f t="shared" si="52"/>
        <v>0</v>
      </c>
      <c r="AI55" t="str">
        <f t="shared" si="53"/>
        <v/>
      </c>
      <c r="AJ55" t="str">
        <f t="shared" si="54"/>
        <v/>
      </c>
      <c r="AK55">
        <f t="shared" si="55"/>
        <v>-1</v>
      </c>
      <c r="AL55" t="str">
        <f t="shared" si="45"/>
        <v/>
      </c>
      <c r="AM55" t="str">
        <f t="shared" si="46"/>
        <v/>
      </c>
    </row>
    <row r="56" spans="3:39" x14ac:dyDescent="0.35">
      <c r="D56" t="s">
        <v>42</v>
      </c>
      <c r="E56" t="s">
        <v>46</v>
      </c>
      <c r="G56" s="4">
        <v>0.61115911795619504</v>
      </c>
      <c r="H56" s="4">
        <v>0.27867488257494477</v>
      </c>
      <c r="I56" s="4">
        <v>0.11016599946885992</v>
      </c>
      <c r="K56">
        <v>1.34</v>
      </c>
      <c r="L56">
        <v>5.9</v>
      </c>
      <c r="M56">
        <v>12</v>
      </c>
      <c r="N56" s="4">
        <v>0.74626865671641784</v>
      </c>
      <c r="O56" s="4">
        <v>0.16949152542372881</v>
      </c>
      <c r="P56" s="4">
        <v>8.3333333333333329E-2</v>
      </c>
      <c r="R56" t="s">
        <v>103</v>
      </c>
      <c r="S56">
        <v>1</v>
      </c>
      <c r="T56">
        <v>0</v>
      </c>
      <c r="V56" t="s">
        <v>103</v>
      </c>
      <c r="W56">
        <v>1</v>
      </c>
      <c r="Z56">
        <v>0</v>
      </c>
      <c r="AB56">
        <f t="shared" si="47"/>
        <v>1</v>
      </c>
      <c r="AC56" t="str">
        <f t="shared" si="48"/>
        <v/>
      </c>
      <c r="AD56" t="str">
        <f t="shared" si="49"/>
        <v/>
      </c>
      <c r="AE56" t="str">
        <f t="shared" si="50"/>
        <v>H</v>
      </c>
      <c r="AF56">
        <f t="shared" si="51"/>
        <v>1</v>
      </c>
      <c r="AH56">
        <f t="shared" si="52"/>
        <v>1</v>
      </c>
      <c r="AI56" t="str">
        <f t="shared" si="53"/>
        <v/>
      </c>
      <c r="AJ56" t="str">
        <f t="shared" si="54"/>
        <v/>
      </c>
      <c r="AK56">
        <f t="shared" si="55"/>
        <v>0.34000000000000008</v>
      </c>
      <c r="AL56" t="str">
        <f t="shared" si="45"/>
        <v/>
      </c>
      <c r="AM56" t="str">
        <f t="shared" si="46"/>
        <v/>
      </c>
    </row>
    <row r="57" spans="3:39" x14ac:dyDescent="0.35">
      <c r="D57" t="s">
        <v>25</v>
      </c>
      <c r="E57" t="s">
        <v>32</v>
      </c>
      <c r="G57" s="4">
        <v>0.42829701705690965</v>
      </c>
      <c r="H57" s="4">
        <v>0.3438165652182093</v>
      </c>
      <c r="I57" s="4">
        <v>0.22788641772488094</v>
      </c>
      <c r="K57">
        <v>1.62</v>
      </c>
      <c r="L57">
        <v>4.3</v>
      </c>
      <c r="M57">
        <v>6.8</v>
      </c>
      <c r="N57" s="4">
        <v>0.61728395061728392</v>
      </c>
      <c r="O57" s="4">
        <v>0.23255813953488372</v>
      </c>
      <c r="P57" s="4">
        <v>0.14705882352941177</v>
      </c>
      <c r="R57" t="s">
        <v>103</v>
      </c>
      <c r="S57">
        <v>2</v>
      </c>
      <c r="T57">
        <v>1</v>
      </c>
      <c r="V57" t="s">
        <v>103</v>
      </c>
      <c r="W57">
        <v>1</v>
      </c>
      <c r="Z57">
        <v>0</v>
      </c>
      <c r="AB57">
        <f t="shared" si="47"/>
        <v>1</v>
      </c>
      <c r="AC57" t="str">
        <f t="shared" si="48"/>
        <v/>
      </c>
      <c r="AD57" t="str">
        <f t="shared" si="49"/>
        <v/>
      </c>
      <c r="AE57" t="str">
        <f t="shared" si="50"/>
        <v>H</v>
      </c>
      <c r="AF57">
        <f t="shared" si="51"/>
        <v>1</v>
      </c>
      <c r="AH57">
        <f t="shared" si="52"/>
        <v>1</v>
      </c>
      <c r="AI57" t="str">
        <f t="shared" si="53"/>
        <v/>
      </c>
      <c r="AJ57" t="str">
        <f t="shared" si="54"/>
        <v/>
      </c>
      <c r="AK57">
        <f t="shared" si="55"/>
        <v>0.62000000000000011</v>
      </c>
      <c r="AL57" t="str">
        <f t="shared" si="45"/>
        <v/>
      </c>
      <c r="AM57" t="str">
        <f t="shared" si="46"/>
        <v/>
      </c>
    </row>
    <row r="58" spans="3:39" x14ac:dyDescent="0.35">
      <c r="D58" t="s">
        <v>49</v>
      </c>
      <c r="E58" t="s">
        <v>34</v>
      </c>
      <c r="G58" s="4">
        <v>0.31606945348827142</v>
      </c>
      <c r="H58" s="4">
        <v>0.3258741694150914</v>
      </c>
      <c r="I58" s="4">
        <v>0.35805637709663762</v>
      </c>
      <c r="K58">
        <v>1.9</v>
      </c>
      <c r="L58">
        <v>3.75</v>
      </c>
      <c r="M58">
        <v>4.75</v>
      </c>
      <c r="N58" s="4">
        <v>0.52631578947368418</v>
      </c>
      <c r="O58" s="4">
        <v>0.26666666666666666</v>
      </c>
      <c r="P58" s="4">
        <v>0.21052631578947367</v>
      </c>
      <c r="R58" t="s">
        <v>104</v>
      </c>
      <c r="S58">
        <v>1</v>
      </c>
      <c r="T58">
        <v>1</v>
      </c>
      <c r="V58" t="s">
        <v>105</v>
      </c>
      <c r="W58">
        <v>0</v>
      </c>
      <c r="Z58" t="s">
        <v>117</v>
      </c>
      <c r="AB58" t="str">
        <f t="shared" si="47"/>
        <v/>
      </c>
      <c r="AC58" t="str">
        <f t="shared" si="48"/>
        <v/>
      </c>
      <c r="AD58">
        <f t="shared" si="49"/>
        <v>0</v>
      </c>
      <c r="AE58" t="str">
        <f t="shared" si="50"/>
        <v>H</v>
      </c>
      <c r="AF58">
        <f t="shared" si="51"/>
        <v>0</v>
      </c>
      <c r="AH58">
        <f t="shared" si="52"/>
        <v>0</v>
      </c>
      <c r="AI58" t="str">
        <f t="shared" si="53"/>
        <v/>
      </c>
      <c r="AJ58" t="str">
        <f t="shared" si="54"/>
        <v/>
      </c>
      <c r="AK58" t="str">
        <f t="shared" si="55"/>
        <v/>
      </c>
      <c r="AL58" t="str">
        <f t="shared" si="45"/>
        <v/>
      </c>
      <c r="AM58">
        <f t="shared" si="46"/>
        <v>-1</v>
      </c>
    </row>
    <row r="59" spans="3:39" x14ac:dyDescent="0.35">
      <c r="D59" t="s">
        <v>30</v>
      </c>
      <c r="E59" t="s">
        <v>36</v>
      </c>
      <c r="G59" s="4">
        <v>0.10521450735240834</v>
      </c>
      <c r="H59" s="4">
        <v>0.24117487338511245</v>
      </c>
      <c r="I59" s="4">
        <v>0.65361061926247888</v>
      </c>
      <c r="K59">
        <v>13</v>
      </c>
      <c r="L59">
        <v>7.2</v>
      </c>
      <c r="M59">
        <v>1.26</v>
      </c>
      <c r="N59" s="4">
        <v>7.6923076923076927E-2</v>
      </c>
      <c r="O59" s="4">
        <v>0.1388888888888889</v>
      </c>
      <c r="P59" s="4">
        <v>0.79365079365079361</v>
      </c>
      <c r="R59" t="s">
        <v>105</v>
      </c>
      <c r="S59">
        <v>0</v>
      </c>
      <c r="T59">
        <v>2</v>
      </c>
      <c r="V59" t="s">
        <v>105</v>
      </c>
      <c r="W59">
        <v>1</v>
      </c>
      <c r="Z59">
        <v>0</v>
      </c>
      <c r="AB59" t="str">
        <f t="shared" si="47"/>
        <v/>
      </c>
      <c r="AC59" t="str">
        <f t="shared" si="48"/>
        <v/>
      </c>
      <c r="AD59">
        <f t="shared" si="49"/>
        <v>1</v>
      </c>
      <c r="AE59" t="str">
        <f t="shared" si="50"/>
        <v>A</v>
      </c>
      <c r="AF59">
        <f t="shared" si="51"/>
        <v>1</v>
      </c>
      <c r="AH59" t="str">
        <f t="shared" si="52"/>
        <v/>
      </c>
      <c r="AI59" t="str">
        <f t="shared" si="53"/>
        <v/>
      </c>
      <c r="AJ59">
        <f t="shared" si="54"/>
        <v>1</v>
      </c>
      <c r="AK59" t="str">
        <f t="shared" si="55"/>
        <v/>
      </c>
      <c r="AL59" t="str">
        <f t="shared" si="45"/>
        <v/>
      </c>
      <c r="AM59">
        <f t="shared" si="46"/>
        <v>0.26</v>
      </c>
    </row>
    <row r="60" spans="3:39" x14ac:dyDescent="0.35">
      <c r="D60" t="s">
        <v>39</v>
      </c>
      <c r="E60" t="s">
        <v>41</v>
      </c>
      <c r="G60" s="4">
        <v>0.18065479635039849</v>
      </c>
      <c r="H60" s="4">
        <v>0.29098908698560455</v>
      </c>
      <c r="I60" s="4">
        <v>0.52835611666399696</v>
      </c>
      <c r="K60">
        <v>5.5</v>
      </c>
      <c r="L60">
        <v>4.0999999999999996</v>
      </c>
      <c r="M60">
        <v>1.74</v>
      </c>
      <c r="N60" s="4">
        <v>0.18181818181818182</v>
      </c>
      <c r="O60" s="4">
        <v>0.24390243902439027</v>
      </c>
      <c r="P60" s="4">
        <v>0.57471264367816088</v>
      </c>
      <c r="R60" t="s">
        <v>104</v>
      </c>
      <c r="S60">
        <v>1</v>
      </c>
      <c r="T60">
        <v>1</v>
      </c>
      <c r="V60" t="s">
        <v>105</v>
      </c>
      <c r="W60">
        <v>0</v>
      </c>
      <c r="Z60" t="s">
        <v>117</v>
      </c>
      <c r="AB60" t="str">
        <f t="shared" si="47"/>
        <v/>
      </c>
      <c r="AC60" t="str">
        <f t="shared" si="48"/>
        <v/>
      </c>
      <c r="AD60">
        <f t="shared" si="49"/>
        <v>0</v>
      </c>
      <c r="AE60" t="str">
        <f t="shared" si="50"/>
        <v>A</v>
      </c>
      <c r="AF60">
        <f t="shared" si="51"/>
        <v>0</v>
      </c>
      <c r="AH60" t="str">
        <f t="shared" si="52"/>
        <v/>
      </c>
      <c r="AI60" t="str">
        <f t="shared" si="53"/>
        <v/>
      </c>
      <c r="AJ60">
        <f t="shared" si="54"/>
        <v>0</v>
      </c>
      <c r="AK60" t="str">
        <f t="shared" si="55"/>
        <v/>
      </c>
      <c r="AL60" t="str">
        <f t="shared" si="45"/>
        <v/>
      </c>
      <c r="AM60">
        <f t="shared" si="46"/>
        <v>-1</v>
      </c>
    </row>
    <row r="61" spans="3:39" x14ac:dyDescent="0.35">
      <c r="D61" t="s">
        <v>51</v>
      </c>
      <c r="E61" t="s">
        <v>40</v>
      </c>
      <c r="G61" s="4">
        <v>0.28330771249813569</v>
      </c>
      <c r="H61" s="4">
        <v>0.33720681705002858</v>
      </c>
      <c r="I61" s="4">
        <v>0.37948547045183595</v>
      </c>
      <c r="K61">
        <v>4</v>
      </c>
      <c r="L61">
        <v>3.94</v>
      </c>
      <c r="M61">
        <v>1.98</v>
      </c>
      <c r="N61" s="4">
        <v>0.25</v>
      </c>
      <c r="O61" s="4">
        <v>0.25380710659898476</v>
      </c>
      <c r="P61" s="4">
        <v>0.50505050505050508</v>
      </c>
      <c r="R61" t="s">
        <v>103</v>
      </c>
      <c r="S61">
        <v>1</v>
      </c>
      <c r="T61">
        <v>0</v>
      </c>
      <c r="V61" t="s">
        <v>105</v>
      </c>
      <c r="W61">
        <v>0</v>
      </c>
      <c r="Z61" t="s">
        <v>117</v>
      </c>
      <c r="AB61" t="str">
        <f t="shared" si="47"/>
        <v/>
      </c>
      <c r="AC61" t="str">
        <f t="shared" si="48"/>
        <v/>
      </c>
      <c r="AD61">
        <f t="shared" si="49"/>
        <v>0</v>
      </c>
      <c r="AE61" t="str">
        <f t="shared" si="50"/>
        <v>A</v>
      </c>
      <c r="AF61">
        <f t="shared" si="51"/>
        <v>0</v>
      </c>
      <c r="AH61" t="str">
        <f t="shared" si="52"/>
        <v/>
      </c>
      <c r="AI61" t="str">
        <f t="shared" si="53"/>
        <v/>
      </c>
      <c r="AJ61">
        <f t="shared" si="54"/>
        <v>0</v>
      </c>
      <c r="AK61" t="str">
        <f t="shared" si="55"/>
        <v/>
      </c>
      <c r="AL61" t="str">
        <f t="shared" si="45"/>
        <v/>
      </c>
      <c r="AM61">
        <f t="shared" si="46"/>
        <v>-1</v>
      </c>
    </row>
    <row r="62" spans="3:39" x14ac:dyDescent="0.35">
      <c r="AB62" s="4"/>
      <c r="AC62" s="4"/>
      <c r="AD62" s="4"/>
    </row>
    <row r="65" spans="3:39" x14ac:dyDescent="0.35">
      <c r="C65" t="s">
        <v>128</v>
      </c>
      <c r="H65" s="21" t="s">
        <v>107</v>
      </c>
      <c r="K65" s="22" t="s">
        <v>106</v>
      </c>
      <c r="N65" t="s">
        <v>108</v>
      </c>
    </row>
    <row r="66" spans="3:39" x14ac:dyDescent="0.35">
      <c r="G66" t="s">
        <v>103</v>
      </c>
      <c r="H66" t="s">
        <v>104</v>
      </c>
      <c r="I66" t="s">
        <v>105</v>
      </c>
      <c r="K66" t="s">
        <v>103</v>
      </c>
      <c r="L66" t="s">
        <v>104</v>
      </c>
      <c r="M66" t="s">
        <v>105</v>
      </c>
      <c r="N66" t="s">
        <v>103</v>
      </c>
      <c r="O66" t="s">
        <v>104</v>
      </c>
      <c r="P66" t="s">
        <v>105</v>
      </c>
      <c r="R66" t="s">
        <v>110</v>
      </c>
      <c r="V66" t="s">
        <v>112</v>
      </c>
      <c r="W66" t="s">
        <v>111</v>
      </c>
      <c r="X66" s="28" t="s">
        <v>114</v>
      </c>
      <c r="Z66" t="s">
        <v>113</v>
      </c>
      <c r="AA66" s="28" t="s">
        <v>116</v>
      </c>
      <c r="AB66" t="s">
        <v>166</v>
      </c>
      <c r="AC66" t="s">
        <v>167</v>
      </c>
      <c r="AD66" t="s">
        <v>168</v>
      </c>
      <c r="AK66" t="str">
        <f t="shared" si="20"/>
        <v/>
      </c>
      <c r="AL66" t="str">
        <f t="shared" si="21"/>
        <v/>
      </c>
      <c r="AM66" t="str">
        <f t="shared" si="22"/>
        <v/>
      </c>
    </row>
    <row r="67" spans="3:39" x14ac:dyDescent="0.35">
      <c r="D67" t="s">
        <v>34</v>
      </c>
      <c r="E67" t="s">
        <v>25</v>
      </c>
      <c r="G67" s="4">
        <v>0.25664946367927793</v>
      </c>
      <c r="H67" s="4">
        <v>0.3034381447874383</v>
      </c>
      <c r="I67" s="4">
        <v>0.43991239153328349</v>
      </c>
      <c r="K67">
        <v>3.3</v>
      </c>
      <c r="L67">
        <v>3.5</v>
      </c>
      <c r="M67">
        <v>2.4500000000000002</v>
      </c>
      <c r="N67" s="4">
        <v>0.30303030303030304</v>
      </c>
      <c r="O67" s="4">
        <v>0.2857142857142857</v>
      </c>
      <c r="P67" s="4">
        <v>0.4081632653061224</v>
      </c>
      <c r="R67" t="s">
        <v>105</v>
      </c>
      <c r="S67">
        <v>0</v>
      </c>
      <c r="T67">
        <v>9</v>
      </c>
      <c r="V67" t="s">
        <v>105</v>
      </c>
      <c r="W67">
        <v>1</v>
      </c>
      <c r="X67" s="28">
        <v>0.5</v>
      </c>
      <c r="Z67">
        <v>1</v>
      </c>
      <c r="AA67" s="28">
        <v>0.6</v>
      </c>
      <c r="AB67" t="str">
        <f>IF(V67=$G$5, IF(W67=$R$2, 1,0), "")</f>
        <v/>
      </c>
      <c r="AC67" t="str">
        <f>IF(V67=$H$5, IF(W67=$R$2, 1,0), "")</f>
        <v/>
      </c>
      <c r="AD67">
        <f>IF(V67=$I$5, IF(W67=$R$2, 1,0), "")</f>
        <v>1</v>
      </c>
      <c r="AE67" t="str">
        <f>IF(MAX(N67:P67)=N67,$N$5,IF(MAX(N67:P67)=O67,$O$5,$P$5))</f>
        <v>A</v>
      </c>
      <c r="AF67">
        <f>IF(AE67=R67, $R$2,$R$3)</f>
        <v>1</v>
      </c>
      <c r="AG67" s="28">
        <f>COUNTIF(AF67:AF76, $R$2)/COUNT(AF67:AF76)</f>
        <v>0.5</v>
      </c>
      <c r="AH67" t="str">
        <f>IF(AE67=$G$5, IF(AF67=$R$2, 1,0), "")</f>
        <v/>
      </c>
      <c r="AI67" t="str">
        <f>IF(AE67=$H$5, IF(AF67=$R$2, 1,0), "")</f>
        <v/>
      </c>
      <c r="AJ67">
        <f>IF(AE67=$I$5, IF(AF67=$R$2, 1,0), "")</f>
        <v>1</v>
      </c>
      <c r="AK67" t="str">
        <f>IF(AB67=1, K67-1, IF(AB67=0, -1,""))</f>
        <v/>
      </c>
      <c r="AL67" t="str">
        <f t="shared" ref="AL67:AL76" si="56">IF(AC67=1, L67-1, IF(AC67=0, -1,""))</f>
        <v/>
      </c>
      <c r="AM67">
        <f t="shared" ref="AM67:AM76" si="57">IF(AD67=1, M67-1, IF(AD67=0, -1,""))</f>
        <v>1.4500000000000002</v>
      </c>
    </row>
    <row r="68" spans="3:39" x14ac:dyDescent="0.35">
      <c r="D68" t="s">
        <v>36</v>
      </c>
      <c r="E68" t="s">
        <v>52</v>
      </c>
      <c r="G68" s="4">
        <v>0.76441330260498264</v>
      </c>
      <c r="H68" s="4">
        <v>0.14439954122529347</v>
      </c>
      <c r="I68" s="4">
        <v>9.1187156169724143E-2</v>
      </c>
      <c r="K68">
        <v>1.1100000000000001</v>
      </c>
      <c r="L68">
        <v>13.25</v>
      </c>
      <c r="M68">
        <v>35</v>
      </c>
      <c r="N68" s="4">
        <v>0.9009009009009008</v>
      </c>
      <c r="O68" s="4">
        <v>7.5471698113207544E-2</v>
      </c>
      <c r="P68" s="4">
        <v>2.8571428571428571E-2</v>
      </c>
      <c r="R68" t="s">
        <v>103</v>
      </c>
      <c r="S68">
        <v>3</v>
      </c>
      <c r="T68">
        <v>0</v>
      </c>
      <c r="V68" t="s">
        <v>103</v>
      </c>
      <c r="W68">
        <v>1</v>
      </c>
      <c r="Z68">
        <v>0</v>
      </c>
      <c r="AA68" s="29" t="s">
        <v>117</v>
      </c>
      <c r="AB68">
        <f t="shared" ref="AB68:AB76" si="58">IF(V68=$G$5, IF(W68=$R$2, 1,0), "")</f>
        <v>1</v>
      </c>
      <c r="AC68" t="str">
        <f t="shared" ref="AC68:AC76" si="59">IF(V68=$H$5, IF(W68=$R$2, 1,0), "")</f>
        <v/>
      </c>
      <c r="AD68" t="str">
        <f t="shared" ref="AD68:AD76" si="60">IF(V68=$I$5, IF(W68=$R$2, 1,0), "")</f>
        <v/>
      </c>
      <c r="AE68" t="str">
        <f t="shared" ref="AE68:AE76" si="61">IF(MAX(N68:P68)=N68,$N$5,IF(MAX(N68:P68)=O68,$O$5,$P$5))</f>
        <v>H</v>
      </c>
      <c r="AF68">
        <f t="shared" ref="AF68:AF76" si="62">IF(AE68=R68, $R$2,$R$3)</f>
        <v>1</v>
      </c>
      <c r="AH68">
        <f t="shared" ref="AH68:AH76" si="63">IF(AE68=$G$5, IF(AF68=$R$2, 1,0), "")</f>
        <v>1</v>
      </c>
      <c r="AI68" t="str">
        <f t="shared" ref="AI68:AI76" si="64">IF(AE68=$H$5, IF(AF68=$R$2, 1,0), "")</f>
        <v/>
      </c>
      <c r="AJ68" t="str">
        <f t="shared" ref="AJ68:AJ76" si="65">IF(AE68=$I$5, IF(AF68=$R$2, 1,0), "")</f>
        <v/>
      </c>
      <c r="AK68">
        <f t="shared" ref="AK68:AK76" si="66">IF(AB68=1, K68-1, IF(AB68=0, -1,""))</f>
        <v>0.1100000000000001</v>
      </c>
      <c r="AL68" t="str">
        <f t="shared" si="56"/>
        <v/>
      </c>
      <c r="AM68" t="str">
        <f t="shared" si="57"/>
        <v/>
      </c>
    </row>
    <row r="69" spans="3:39" x14ac:dyDescent="0.35">
      <c r="D69" t="s">
        <v>45</v>
      </c>
      <c r="E69" t="s">
        <v>28</v>
      </c>
      <c r="G69" s="4">
        <v>0.24338182282577481</v>
      </c>
      <c r="H69" s="4">
        <v>0.37355538660663185</v>
      </c>
      <c r="I69" s="4">
        <v>0.38306279056759324</v>
      </c>
      <c r="K69">
        <v>2.95</v>
      </c>
      <c r="L69">
        <v>3.46</v>
      </c>
      <c r="M69">
        <v>2.65</v>
      </c>
      <c r="N69" s="4">
        <v>0.33898305084745761</v>
      </c>
      <c r="O69" s="4">
        <v>0.28901734104046245</v>
      </c>
      <c r="P69" s="4">
        <v>0.37735849056603776</v>
      </c>
      <c r="R69" t="s">
        <v>103</v>
      </c>
      <c r="S69">
        <v>3</v>
      </c>
      <c r="T69">
        <v>2</v>
      </c>
      <c r="V69" t="s">
        <v>105</v>
      </c>
      <c r="W69">
        <v>0</v>
      </c>
      <c r="Z69" t="s">
        <v>117</v>
      </c>
      <c r="AB69" t="str">
        <f t="shared" si="58"/>
        <v/>
      </c>
      <c r="AC69" t="str">
        <f t="shared" si="59"/>
        <v/>
      </c>
      <c r="AD69">
        <f t="shared" si="60"/>
        <v>0</v>
      </c>
      <c r="AE69" t="str">
        <f t="shared" si="61"/>
        <v>A</v>
      </c>
      <c r="AF69">
        <f t="shared" si="62"/>
        <v>0</v>
      </c>
      <c r="AH69" t="str">
        <f t="shared" si="63"/>
        <v/>
      </c>
      <c r="AI69" t="str">
        <f t="shared" si="64"/>
        <v/>
      </c>
      <c r="AJ69">
        <f t="shared" si="65"/>
        <v>0</v>
      </c>
      <c r="AK69" t="str">
        <f t="shared" si="66"/>
        <v/>
      </c>
      <c r="AL69" t="str">
        <f t="shared" si="56"/>
        <v/>
      </c>
      <c r="AM69">
        <f t="shared" si="57"/>
        <v>-1</v>
      </c>
    </row>
    <row r="70" spans="3:39" x14ac:dyDescent="0.35">
      <c r="D70" t="s">
        <v>35</v>
      </c>
      <c r="E70" t="s">
        <v>38</v>
      </c>
      <c r="G70" s="4">
        <v>0.29602014355302897</v>
      </c>
      <c r="H70" s="4">
        <v>0.28294625871699314</v>
      </c>
      <c r="I70" s="4">
        <v>0.42103359772997845</v>
      </c>
      <c r="K70">
        <v>2.2599999999999998</v>
      </c>
      <c r="L70">
        <v>3.7</v>
      </c>
      <c r="M70">
        <v>3.44</v>
      </c>
      <c r="N70" s="4">
        <v>0.44247787610619471</v>
      </c>
      <c r="O70" s="4">
        <v>0.27027027027027023</v>
      </c>
      <c r="P70" s="4">
        <v>0.29069767441860467</v>
      </c>
      <c r="R70" t="s">
        <v>104</v>
      </c>
      <c r="S70">
        <v>0</v>
      </c>
      <c r="T70">
        <v>0</v>
      </c>
      <c r="V70" t="s">
        <v>105</v>
      </c>
      <c r="W70">
        <v>0</v>
      </c>
      <c r="Z70" t="s">
        <v>117</v>
      </c>
      <c r="AB70" t="str">
        <f t="shared" si="58"/>
        <v/>
      </c>
      <c r="AC70" t="str">
        <f t="shared" si="59"/>
        <v/>
      </c>
      <c r="AD70">
        <f t="shared" si="60"/>
        <v>0</v>
      </c>
      <c r="AE70" t="str">
        <f t="shared" si="61"/>
        <v>H</v>
      </c>
      <c r="AF70">
        <f t="shared" si="62"/>
        <v>0</v>
      </c>
      <c r="AH70">
        <f t="shared" si="63"/>
        <v>0</v>
      </c>
      <c r="AI70" t="str">
        <f t="shared" si="64"/>
        <v/>
      </c>
      <c r="AJ70" t="str">
        <f t="shared" si="65"/>
        <v/>
      </c>
      <c r="AK70" t="str">
        <f t="shared" si="66"/>
        <v/>
      </c>
      <c r="AL70" t="str">
        <f t="shared" si="56"/>
        <v/>
      </c>
      <c r="AM70">
        <f t="shared" si="57"/>
        <v>-1</v>
      </c>
    </row>
    <row r="71" spans="3:39" x14ac:dyDescent="0.35">
      <c r="D71" t="s">
        <v>43</v>
      </c>
      <c r="E71" t="s">
        <v>51</v>
      </c>
      <c r="G71" s="4">
        <v>0.26739525053101854</v>
      </c>
      <c r="H71" s="4">
        <v>0.3526310769375654</v>
      </c>
      <c r="I71" s="4">
        <v>0.37997367253141617</v>
      </c>
      <c r="K71">
        <v>2.1800000000000002</v>
      </c>
      <c r="L71">
        <v>3.6</v>
      </c>
      <c r="M71">
        <v>3.7</v>
      </c>
      <c r="N71" s="4">
        <v>0.4587155963302752</v>
      </c>
      <c r="O71" s="4">
        <v>0.27777777777777779</v>
      </c>
      <c r="P71" s="4">
        <v>0.27027027027027023</v>
      </c>
      <c r="R71" t="s">
        <v>104</v>
      </c>
      <c r="S71">
        <v>1</v>
      </c>
      <c r="T71">
        <v>1</v>
      </c>
      <c r="V71" t="s">
        <v>105</v>
      </c>
      <c r="W71">
        <v>0</v>
      </c>
      <c r="Z71" t="s">
        <v>117</v>
      </c>
      <c r="AB71" t="str">
        <f t="shared" si="58"/>
        <v/>
      </c>
      <c r="AC71" t="str">
        <f t="shared" si="59"/>
        <v/>
      </c>
      <c r="AD71">
        <f t="shared" si="60"/>
        <v>0</v>
      </c>
      <c r="AE71" t="str">
        <f t="shared" si="61"/>
        <v>H</v>
      </c>
      <c r="AF71">
        <f t="shared" si="62"/>
        <v>0</v>
      </c>
      <c r="AH71">
        <f t="shared" si="63"/>
        <v>0</v>
      </c>
      <c r="AI71" t="str">
        <f t="shared" si="64"/>
        <v/>
      </c>
      <c r="AJ71" t="str">
        <f t="shared" si="65"/>
        <v/>
      </c>
      <c r="AK71" t="str">
        <f t="shared" si="66"/>
        <v/>
      </c>
      <c r="AL71" t="str">
        <f t="shared" si="56"/>
        <v/>
      </c>
      <c r="AM71">
        <f t="shared" si="57"/>
        <v>-1</v>
      </c>
    </row>
    <row r="72" spans="3:39" x14ac:dyDescent="0.35">
      <c r="D72" t="s">
        <v>32</v>
      </c>
      <c r="E72" t="s">
        <v>42</v>
      </c>
      <c r="G72" s="4">
        <v>0.18605991080101242</v>
      </c>
      <c r="H72" s="4">
        <v>0.26007267778404591</v>
      </c>
      <c r="I72" s="4">
        <v>0.55386741141494156</v>
      </c>
      <c r="K72">
        <v>4.8</v>
      </c>
      <c r="L72">
        <v>4.25</v>
      </c>
      <c r="M72">
        <v>1.8</v>
      </c>
      <c r="N72" s="4">
        <v>0.20833333333333334</v>
      </c>
      <c r="O72" s="4">
        <v>0.23529411764705882</v>
      </c>
      <c r="P72" s="4">
        <v>0.55555555555555558</v>
      </c>
      <c r="R72" t="s">
        <v>105</v>
      </c>
      <c r="S72">
        <v>2</v>
      </c>
      <c r="T72">
        <v>4</v>
      </c>
      <c r="V72" t="s">
        <v>105</v>
      </c>
      <c r="W72">
        <v>1</v>
      </c>
      <c r="Z72">
        <v>0</v>
      </c>
      <c r="AB72" t="str">
        <f t="shared" si="58"/>
        <v/>
      </c>
      <c r="AC72" t="str">
        <f t="shared" si="59"/>
        <v/>
      </c>
      <c r="AD72">
        <f t="shared" si="60"/>
        <v>1</v>
      </c>
      <c r="AE72" t="str">
        <f t="shared" si="61"/>
        <v>A</v>
      </c>
      <c r="AF72">
        <f t="shared" si="62"/>
        <v>1</v>
      </c>
      <c r="AH72" t="str">
        <f t="shared" si="63"/>
        <v/>
      </c>
      <c r="AI72" t="str">
        <f t="shared" si="64"/>
        <v/>
      </c>
      <c r="AJ72">
        <f t="shared" si="65"/>
        <v>1</v>
      </c>
      <c r="AK72" t="str">
        <f t="shared" si="66"/>
        <v/>
      </c>
      <c r="AL72" t="str">
        <f t="shared" si="56"/>
        <v/>
      </c>
      <c r="AM72">
        <f t="shared" si="57"/>
        <v>0.8</v>
      </c>
    </row>
    <row r="73" spans="3:39" x14ac:dyDescent="0.35">
      <c r="D73" t="s">
        <v>46</v>
      </c>
      <c r="E73" t="s">
        <v>49</v>
      </c>
      <c r="G73" s="4">
        <v>0.1930167609896922</v>
      </c>
      <c r="H73" s="4">
        <v>0.3769486129606025</v>
      </c>
      <c r="I73" s="4">
        <v>0.43003462604970505</v>
      </c>
      <c r="K73">
        <v>3.1</v>
      </c>
      <c r="L73">
        <v>3.2</v>
      </c>
      <c r="M73">
        <v>2.7</v>
      </c>
      <c r="N73" s="4">
        <v>0.32258064516129031</v>
      </c>
      <c r="O73" s="4">
        <v>0.3125</v>
      </c>
      <c r="P73" s="4">
        <v>0.37037037037037035</v>
      </c>
      <c r="R73" t="s">
        <v>104</v>
      </c>
      <c r="S73">
        <v>1</v>
      </c>
      <c r="T73">
        <v>1</v>
      </c>
      <c r="V73" t="s">
        <v>105</v>
      </c>
      <c r="W73">
        <v>0</v>
      </c>
      <c r="Z73" t="s">
        <v>117</v>
      </c>
      <c r="AB73" t="str">
        <f t="shared" si="58"/>
        <v/>
      </c>
      <c r="AC73" t="str">
        <f t="shared" si="59"/>
        <v/>
      </c>
      <c r="AD73">
        <f t="shared" si="60"/>
        <v>0</v>
      </c>
      <c r="AE73" t="str">
        <f t="shared" si="61"/>
        <v>A</v>
      </c>
      <c r="AF73">
        <f t="shared" si="62"/>
        <v>0</v>
      </c>
      <c r="AH73" t="str">
        <f t="shared" si="63"/>
        <v/>
      </c>
      <c r="AI73" t="str">
        <f t="shared" si="64"/>
        <v/>
      </c>
      <c r="AJ73">
        <f t="shared" si="65"/>
        <v>0</v>
      </c>
      <c r="AK73" t="str">
        <f t="shared" si="66"/>
        <v/>
      </c>
      <c r="AL73" t="str">
        <f t="shared" si="56"/>
        <v/>
      </c>
      <c r="AM73">
        <f t="shared" si="57"/>
        <v>-1</v>
      </c>
    </row>
    <row r="74" spans="3:39" x14ac:dyDescent="0.35">
      <c r="D74" t="s">
        <v>50</v>
      </c>
      <c r="E74" t="s">
        <v>39</v>
      </c>
      <c r="G74" s="4">
        <v>0.15006955104882089</v>
      </c>
      <c r="H74" s="4">
        <v>0.2042341345968659</v>
      </c>
      <c r="I74" s="4">
        <v>0.64569631435431296</v>
      </c>
      <c r="K74">
        <v>4.6500000000000004</v>
      </c>
      <c r="L74">
        <v>4.0999999999999996</v>
      </c>
      <c r="M74">
        <v>1.87</v>
      </c>
      <c r="N74" s="4">
        <v>0.21505376344086019</v>
      </c>
      <c r="O74" s="4">
        <v>0.24390243902439027</v>
      </c>
      <c r="P74" s="4">
        <v>0.53475935828876997</v>
      </c>
      <c r="R74" t="s">
        <v>105</v>
      </c>
      <c r="S74">
        <v>1</v>
      </c>
      <c r="T74">
        <v>3</v>
      </c>
      <c r="V74" t="s">
        <v>105</v>
      </c>
      <c r="W74">
        <v>1</v>
      </c>
      <c r="Z74">
        <v>1</v>
      </c>
      <c r="AB74" t="str">
        <f t="shared" si="58"/>
        <v/>
      </c>
      <c r="AC74" t="str">
        <f t="shared" si="59"/>
        <v/>
      </c>
      <c r="AD74">
        <f t="shared" si="60"/>
        <v>1</v>
      </c>
      <c r="AE74" t="str">
        <f t="shared" si="61"/>
        <v>A</v>
      </c>
      <c r="AF74">
        <f t="shared" si="62"/>
        <v>1</v>
      </c>
      <c r="AH74" t="str">
        <f t="shared" si="63"/>
        <v/>
      </c>
      <c r="AI74" t="str">
        <f t="shared" si="64"/>
        <v/>
      </c>
      <c r="AJ74">
        <f t="shared" si="65"/>
        <v>1</v>
      </c>
      <c r="AK74" t="str">
        <f t="shared" si="66"/>
        <v/>
      </c>
      <c r="AL74" t="str">
        <f t="shared" si="56"/>
        <v/>
      </c>
      <c r="AM74">
        <f t="shared" si="57"/>
        <v>0.87000000000000011</v>
      </c>
    </row>
    <row r="75" spans="3:39" x14ac:dyDescent="0.35">
      <c r="D75" t="s">
        <v>41</v>
      </c>
      <c r="E75" t="s">
        <v>29</v>
      </c>
      <c r="G75" s="4">
        <v>0.65794366583725539</v>
      </c>
      <c r="H75" s="4">
        <v>0.22291497522181739</v>
      </c>
      <c r="I75" s="4">
        <v>0.11914135894092721</v>
      </c>
      <c r="K75">
        <v>1.57</v>
      </c>
      <c r="L75">
        <v>4.6500000000000004</v>
      </c>
      <c r="M75">
        <v>6.5</v>
      </c>
      <c r="N75" s="4">
        <v>0.63694267515923564</v>
      </c>
      <c r="O75" s="4">
        <v>0.21505376344086019</v>
      </c>
      <c r="P75" s="4">
        <v>0.15384615384615385</v>
      </c>
      <c r="R75" t="s">
        <v>103</v>
      </c>
      <c r="S75">
        <v>2</v>
      </c>
      <c r="T75">
        <v>1</v>
      </c>
      <c r="V75" t="s">
        <v>103</v>
      </c>
      <c r="W75">
        <v>1</v>
      </c>
      <c r="Z75">
        <v>1</v>
      </c>
      <c r="AB75">
        <f t="shared" si="58"/>
        <v>1</v>
      </c>
      <c r="AC75" t="str">
        <f t="shared" si="59"/>
        <v/>
      </c>
      <c r="AD75" t="str">
        <f t="shared" si="60"/>
        <v/>
      </c>
      <c r="AE75" t="str">
        <f t="shared" si="61"/>
        <v>H</v>
      </c>
      <c r="AF75">
        <f t="shared" si="62"/>
        <v>1</v>
      </c>
      <c r="AH75">
        <f t="shared" si="63"/>
        <v>1</v>
      </c>
      <c r="AI75" t="str">
        <f t="shared" si="64"/>
        <v/>
      </c>
      <c r="AJ75" t="str">
        <f t="shared" si="65"/>
        <v/>
      </c>
      <c r="AK75">
        <f t="shared" si="66"/>
        <v>0.57000000000000006</v>
      </c>
      <c r="AL75" t="str">
        <f t="shared" si="56"/>
        <v/>
      </c>
      <c r="AM75" t="str">
        <f t="shared" si="57"/>
        <v/>
      </c>
    </row>
    <row r="76" spans="3:39" x14ac:dyDescent="0.35">
      <c r="D76" t="s">
        <v>40</v>
      </c>
      <c r="E76" t="s">
        <v>30</v>
      </c>
      <c r="G76" s="4">
        <v>0.43244621806162298</v>
      </c>
      <c r="H76" s="4">
        <v>0.29458362497769869</v>
      </c>
      <c r="I76" s="4">
        <v>0.27297015696067795</v>
      </c>
      <c r="K76">
        <v>1.54</v>
      </c>
      <c r="L76">
        <v>4.8</v>
      </c>
      <c r="M76">
        <v>7</v>
      </c>
      <c r="N76" s="4">
        <v>0.64935064935064934</v>
      </c>
      <c r="O76" s="4">
        <v>0.20833333333333334</v>
      </c>
      <c r="P76" s="4">
        <v>0.14285714285714285</v>
      </c>
      <c r="R76" t="s">
        <v>104</v>
      </c>
      <c r="S76">
        <v>2</v>
      </c>
      <c r="T76">
        <v>2</v>
      </c>
      <c r="V76" t="s">
        <v>103</v>
      </c>
      <c r="W76">
        <v>0</v>
      </c>
      <c r="Z76" t="s">
        <v>117</v>
      </c>
      <c r="AB76">
        <f t="shared" si="58"/>
        <v>0</v>
      </c>
      <c r="AC76" t="str">
        <f t="shared" si="59"/>
        <v/>
      </c>
      <c r="AD76" t="str">
        <f t="shared" si="60"/>
        <v/>
      </c>
      <c r="AE76" t="str">
        <f t="shared" si="61"/>
        <v>H</v>
      </c>
      <c r="AF76">
        <f t="shared" si="62"/>
        <v>0</v>
      </c>
      <c r="AH76">
        <f t="shared" si="63"/>
        <v>0</v>
      </c>
      <c r="AI76" t="str">
        <f t="shared" si="64"/>
        <v/>
      </c>
      <c r="AJ76" t="str">
        <f t="shared" si="65"/>
        <v/>
      </c>
      <c r="AK76">
        <f t="shared" si="66"/>
        <v>-1</v>
      </c>
      <c r="AL76" t="str">
        <f t="shared" si="56"/>
        <v/>
      </c>
      <c r="AM76" t="str">
        <f t="shared" si="57"/>
        <v/>
      </c>
    </row>
    <row r="77" spans="3:39" x14ac:dyDescent="0.35">
      <c r="AB77" s="4"/>
      <c r="AC77" s="4"/>
      <c r="AD77" s="4"/>
    </row>
    <row r="80" spans="3:39" x14ac:dyDescent="0.35">
      <c r="C80" t="s">
        <v>129</v>
      </c>
      <c r="H80" s="21" t="s">
        <v>107</v>
      </c>
      <c r="K80" s="22" t="s">
        <v>106</v>
      </c>
      <c r="N80" t="s">
        <v>108</v>
      </c>
    </row>
    <row r="81" spans="3:39" x14ac:dyDescent="0.35">
      <c r="G81" t="s">
        <v>103</v>
      </c>
      <c r="H81" t="s">
        <v>104</v>
      </c>
      <c r="I81" t="s">
        <v>105</v>
      </c>
      <c r="K81" t="s">
        <v>103</v>
      </c>
      <c r="L81" t="s">
        <v>104</v>
      </c>
      <c r="M81" t="s">
        <v>105</v>
      </c>
      <c r="N81" t="s">
        <v>103</v>
      </c>
      <c r="O81" t="s">
        <v>104</v>
      </c>
      <c r="P81" t="s">
        <v>105</v>
      </c>
      <c r="R81" t="s">
        <v>110</v>
      </c>
      <c r="V81" t="s">
        <v>112</v>
      </c>
      <c r="W81" t="s">
        <v>111</v>
      </c>
      <c r="X81" s="28" t="s">
        <v>114</v>
      </c>
      <c r="Z81" t="s">
        <v>113</v>
      </c>
      <c r="AA81" s="28" t="s">
        <v>116</v>
      </c>
      <c r="AB81" t="s">
        <v>166</v>
      </c>
      <c r="AC81" t="s">
        <v>167</v>
      </c>
      <c r="AD81" t="s">
        <v>168</v>
      </c>
      <c r="AK81" t="str">
        <f t="shared" ref="AK81:AK126" si="67">IF(AB81=1, K81, IF(AB81=0, -1,""))</f>
        <v/>
      </c>
      <c r="AL81" t="str">
        <f t="shared" ref="AL81:AL126" si="68">IF(AC81=1, L81, IF(AC81=0, -1,""))</f>
        <v/>
      </c>
      <c r="AM81" t="str">
        <f t="shared" ref="AM81:AM126" si="69">IF(AD81=1, M81, IF(AD81=0, -1,""))</f>
        <v/>
      </c>
    </row>
    <row r="82" spans="3:39" x14ac:dyDescent="0.35">
      <c r="D82" t="s">
        <v>38</v>
      </c>
      <c r="E82" t="s">
        <v>39</v>
      </c>
      <c r="G82" s="4">
        <v>0.20523408625950745</v>
      </c>
      <c r="H82" s="4">
        <v>0.27910210756643694</v>
      </c>
      <c r="I82" s="4">
        <v>0.51566380617405594</v>
      </c>
      <c r="K82">
        <v>3.44</v>
      </c>
      <c r="L82">
        <v>3.7</v>
      </c>
      <c r="M82">
        <v>2.2599999999999998</v>
      </c>
      <c r="N82" s="4">
        <v>0.29069767441860467</v>
      </c>
      <c r="O82" s="4">
        <v>0.27027027027027023</v>
      </c>
      <c r="P82" s="4">
        <v>0.44247787610619471</v>
      </c>
      <c r="R82" t="s">
        <v>103</v>
      </c>
      <c r="S82">
        <v>1</v>
      </c>
      <c r="T82">
        <v>0</v>
      </c>
      <c r="V82" t="s">
        <v>105</v>
      </c>
      <c r="W82">
        <v>0</v>
      </c>
      <c r="X82" s="28">
        <v>0.5</v>
      </c>
      <c r="Z82" t="s">
        <v>117</v>
      </c>
      <c r="AA82" s="28">
        <v>0.2</v>
      </c>
      <c r="AB82" t="str">
        <f>IF(V82=$G$5, IF(W82=$R$2, 1,0), "")</f>
        <v/>
      </c>
      <c r="AC82" t="str">
        <f>IF(V82=$H$5, IF(W82=$R$2, 1,0), "")</f>
        <v/>
      </c>
      <c r="AD82">
        <f>IF(V82=$I$5, IF(W82=$R$2, 1,0), "")</f>
        <v>0</v>
      </c>
      <c r="AE82" t="str">
        <f>IF(MAX(N82:P82)=N82,$N$5,IF(MAX(N82:P82)=O82,$O$5,$P$5))</f>
        <v>A</v>
      </c>
      <c r="AF82">
        <f>IF(AE82=R82, $R$2,$R$3)</f>
        <v>0</v>
      </c>
      <c r="AG82" s="28">
        <f>COUNTIF(AF82:AF91, $R$2)/COUNT(AF82:AF91)</f>
        <v>0.6</v>
      </c>
      <c r="AH82" t="str">
        <f>IF(AE82=$G$5, IF(AF82=$R$2, 1,0), "")</f>
        <v/>
      </c>
      <c r="AI82" t="str">
        <f>IF(AE82=$H$5, IF(AF82=$R$2, 1,0), "")</f>
        <v/>
      </c>
      <c r="AJ82">
        <f>IF(AE82=$I$5, IF(AF82=$R$2, 1,0), "")</f>
        <v>0</v>
      </c>
      <c r="AK82" t="str">
        <f>IF(AB82=1, K82-1, IF(AB82=0, -1,""))</f>
        <v/>
      </c>
      <c r="AL82" t="str">
        <f t="shared" ref="AL82:AL91" si="70">IF(AC82=1, L82-1, IF(AC82=0, -1,""))</f>
        <v/>
      </c>
      <c r="AM82">
        <f t="shared" ref="AM82:AM91" si="71">IF(AD82=1, M82-1, IF(AD82=0, -1,""))</f>
        <v>-1</v>
      </c>
    </row>
    <row r="83" spans="3:39" x14ac:dyDescent="0.35">
      <c r="D83" t="s">
        <v>51</v>
      </c>
      <c r="E83" t="s">
        <v>32</v>
      </c>
      <c r="G83" s="4">
        <v>0.2964493434820264</v>
      </c>
      <c r="H83" s="4">
        <v>0.37286903905154545</v>
      </c>
      <c r="I83" s="4">
        <v>0.33068161746642849</v>
      </c>
      <c r="K83">
        <v>2.34</v>
      </c>
      <c r="L83">
        <v>3.32</v>
      </c>
      <c r="M83">
        <v>3.6</v>
      </c>
      <c r="N83" s="4">
        <v>0.42735042735042739</v>
      </c>
      <c r="O83" s="4">
        <v>0.30120481927710846</v>
      </c>
      <c r="P83" s="4">
        <v>0.27777777777777779</v>
      </c>
      <c r="R83" t="s">
        <v>103</v>
      </c>
      <c r="S83">
        <v>3</v>
      </c>
      <c r="T83">
        <v>0</v>
      </c>
      <c r="V83" t="s">
        <v>104</v>
      </c>
      <c r="W83">
        <v>0</v>
      </c>
      <c r="Z83" t="s">
        <v>117</v>
      </c>
      <c r="AA83" s="29" t="s">
        <v>117</v>
      </c>
      <c r="AB83" t="str">
        <f t="shared" ref="AB83:AB91" si="72">IF(V83=$G$5, IF(W83=$R$2, 1,0), "")</f>
        <v/>
      </c>
      <c r="AC83">
        <f t="shared" ref="AC83:AC91" si="73">IF(V83=$H$5, IF(W83=$R$2, 1,0), "")</f>
        <v>0</v>
      </c>
      <c r="AD83" t="str">
        <f t="shared" ref="AD83:AD91" si="74">IF(V83=$I$5, IF(W83=$R$2, 1,0), "")</f>
        <v/>
      </c>
      <c r="AE83" t="str">
        <f t="shared" ref="AE83:AE91" si="75">IF(MAX(N83:P83)=N83,$N$5,IF(MAX(N83:P83)=O83,$O$5,$P$5))</f>
        <v>H</v>
      </c>
      <c r="AF83">
        <f t="shared" ref="AF83:AF91" si="76">IF(AE83=R83, $R$2,$R$3)</f>
        <v>1</v>
      </c>
      <c r="AH83">
        <f t="shared" ref="AH83:AH91" si="77">IF(AE83=$G$5, IF(AF83=$R$2, 1,0), "")</f>
        <v>1</v>
      </c>
      <c r="AI83" t="str">
        <f t="shared" ref="AI83:AI91" si="78">IF(AE83=$H$5, IF(AF83=$R$2, 1,0), "")</f>
        <v/>
      </c>
      <c r="AJ83" t="str">
        <f t="shared" ref="AJ83:AJ91" si="79">IF(AE83=$I$5, IF(AF83=$R$2, 1,0), "")</f>
        <v/>
      </c>
      <c r="AK83" t="str">
        <f t="shared" ref="AK83:AK91" si="80">IF(AB83=1, K83-1, IF(AB83=0, -1,""))</f>
        <v/>
      </c>
      <c r="AL83">
        <f t="shared" si="70"/>
        <v>-1</v>
      </c>
      <c r="AM83" t="str">
        <f t="shared" si="71"/>
        <v/>
      </c>
    </row>
    <row r="84" spans="3:39" x14ac:dyDescent="0.35">
      <c r="D84" t="s">
        <v>40</v>
      </c>
      <c r="E84" t="s">
        <v>49</v>
      </c>
      <c r="G84" s="4">
        <v>0.31155959711047254</v>
      </c>
      <c r="H84" s="4">
        <v>0.32339299492216772</v>
      </c>
      <c r="I84" s="4">
        <v>0.36504740796735985</v>
      </c>
      <c r="K84">
        <v>1.83</v>
      </c>
      <c r="L84">
        <v>4</v>
      </c>
      <c r="M84">
        <v>4.8499999999999996</v>
      </c>
      <c r="N84" s="4">
        <v>0.54644808743169393</v>
      </c>
      <c r="O84" s="4">
        <v>0.25</v>
      </c>
      <c r="P84" s="4">
        <v>0.2061855670103093</v>
      </c>
      <c r="R84" t="s">
        <v>104</v>
      </c>
      <c r="S84">
        <v>1</v>
      </c>
      <c r="T84">
        <v>1</v>
      </c>
      <c r="V84" t="s">
        <v>105</v>
      </c>
      <c r="W84">
        <v>0</v>
      </c>
      <c r="Z84" t="s">
        <v>117</v>
      </c>
      <c r="AB84" t="str">
        <f t="shared" si="72"/>
        <v/>
      </c>
      <c r="AC84" t="str">
        <f t="shared" si="73"/>
        <v/>
      </c>
      <c r="AD84">
        <f t="shared" si="74"/>
        <v>0</v>
      </c>
      <c r="AE84" t="str">
        <f t="shared" si="75"/>
        <v>H</v>
      </c>
      <c r="AF84">
        <f t="shared" si="76"/>
        <v>0</v>
      </c>
      <c r="AH84">
        <f t="shared" si="77"/>
        <v>0</v>
      </c>
      <c r="AI84" t="str">
        <f t="shared" si="78"/>
        <v/>
      </c>
      <c r="AJ84" t="str">
        <f t="shared" si="79"/>
        <v/>
      </c>
      <c r="AK84" t="str">
        <f t="shared" si="80"/>
        <v/>
      </c>
      <c r="AL84" t="str">
        <f t="shared" si="70"/>
        <v/>
      </c>
      <c r="AM84">
        <f t="shared" si="71"/>
        <v>-1</v>
      </c>
    </row>
    <row r="85" spans="3:39" x14ac:dyDescent="0.35">
      <c r="D85" t="s">
        <v>52</v>
      </c>
      <c r="E85" t="s">
        <v>41</v>
      </c>
      <c r="G85" s="4">
        <v>0.1659097148944943</v>
      </c>
      <c r="H85" s="4">
        <v>0.29910988037876524</v>
      </c>
      <c r="I85" s="4">
        <v>0.53498040472674024</v>
      </c>
      <c r="K85">
        <v>9.25</v>
      </c>
      <c r="L85">
        <v>5.7</v>
      </c>
      <c r="M85">
        <v>1.39</v>
      </c>
      <c r="N85" s="4">
        <v>0.10810810810810811</v>
      </c>
      <c r="O85" s="4">
        <v>0.17543859649122806</v>
      </c>
      <c r="P85" s="4">
        <v>0.71942446043165476</v>
      </c>
      <c r="R85" t="s">
        <v>105</v>
      </c>
      <c r="S85">
        <v>1</v>
      </c>
      <c r="T85">
        <v>2</v>
      </c>
      <c r="V85" t="s">
        <v>105</v>
      </c>
      <c r="W85">
        <v>1</v>
      </c>
      <c r="Z85">
        <v>0</v>
      </c>
      <c r="AB85" t="str">
        <f t="shared" si="72"/>
        <v/>
      </c>
      <c r="AC85" t="str">
        <f t="shared" si="73"/>
        <v/>
      </c>
      <c r="AD85">
        <f t="shared" si="74"/>
        <v>1</v>
      </c>
      <c r="AE85" t="str">
        <f t="shared" si="75"/>
        <v>A</v>
      </c>
      <c r="AF85">
        <f t="shared" si="76"/>
        <v>1</v>
      </c>
      <c r="AH85" t="str">
        <f t="shared" si="77"/>
        <v/>
      </c>
      <c r="AI85" t="str">
        <f t="shared" si="78"/>
        <v/>
      </c>
      <c r="AJ85">
        <f t="shared" si="79"/>
        <v>1</v>
      </c>
      <c r="AK85" t="str">
        <f t="shared" si="80"/>
        <v/>
      </c>
      <c r="AL85" t="str">
        <f t="shared" si="70"/>
        <v/>
      </c>
      <c r="AM85">
        <f t="shared" si="71"/>
        <v>0.3899999999999999</v>
      </c>
    </row>
    <row r="86" spans="3:39" x14ac:dyDescent="0.35">
      <c r="D86" t="s">
        <v>36</v>
      </c>
      <c r="E86" t="s">
        <v>34</v>
      </c>
      <c r="G86" s="4">
        <v>0.6824637590833027</v>
      </c>
      <c r="H86" s="4">
        <v>0.21238023645527787</v>
      </c>
      <c r="I86" s="4">
        <v>0.10515600446141948</v>
      </c>
      <c r="K86">
        <v>1.1100000000000001</v>
      </c>
      <c r="L86">
        <v>13.5</v>
      </c>
      <c r="M86">
        <v>41</v>
      </c>
      <c r="N86" s="4">
        <v>0.9009009009009008</v>
      </c>
      <c r="O86" s="4">
        <v>7.407407407407407E-2</v>
      </c>
      <c r="P86" s="4">
        <v>2.4390243902439025E-2</v>
      </c>
      <c r="R86" t="s">
        <v>103</v>
      </c>
      <c r="S86">
        <v>2</v>
      </c>
      <c r="T86">
        <v>1</v>
      </c>
      <c r="V86" t="s">
        <v>103</v>
      </c>
      <c r="W86">
        <v>1</v>
      </c>
      <c r="Z86">
        <v>0</v>
      </c>
      <c r="AB86">
        <f t="shared" si="72"/>
        <v>1</v>
      </c>
      <c r="AC86" t="str">
        <f t="shared" si="73"/>
        <v/>
      </c>
      <c r="AD86" t="str">
        <f t="shared" si="74"/>
        <v/>
      </c>
      <c r="AE86" t="str">
        <f t="shared" si="75"/>
        <v>H</v>
      </c>
      <c r="AF86">
        <f t="shared" si="76"/>
        <v>1</v>
      </c>
      <c r="AH86">
        <f t="shared" si="77"/>
        <v>1</v>
      </c>
      <c r="AI86" t="str">
        <f t="shared" si="78"/>
        <v/>
      </c>
      <c r="AJ86" t="str">
        <f t="shared" si="79"/>
        <v/>
      </c>
      <c r="AK86">
        <f t="shared" si="80"/>
        <v>0.1100000000000001</v>
      </c>
      <c r="AL86" t="str">
        <f t="shared" si="70"/>
        <v/>
      </c>
      <c r="AM86" t="str">
        <f t="shared" si="71"/>
        <v/>
      </c>
    </row>
    <row r="87" spans="3:39" x14ac:dyDescent="0.35">
      <c r="D87" t="s">
        <v>43</v>
      </c>
      <c r="E87" t="s">
        <v>46</v>
      </c>
      <c r="G87" s="4">
        <v>0.45418205453590982</v>
      </c>
      <c r="H87" s="4">
        <v>0.33184269952324585</v>
      </c>
      <c r="I87" s="4">
        <v>0.21397524594084416</v>
      </c>
      <c r="K87">
        <v>1.84</v>
      </c>
      <c r="L87">
        <v>3.95</v>
      </c>
      <c r="M87">
        <v>4.75</v>
      </c>
      <c r="N87" s="4">
        <v>0.54347826086956519</v>
      </c>
      <c r="O87" s="4">
        <v>0.25316455696202528</v>
      </c>
      <c r="P87" s="4">
        <v>0.21052631578947367</v>
      </c>
      <c r="R87" t="s">
        <v>105</v>
      </c>
      <c r="S87">
        <v>2</v>
      </c>
      <c r="T87">
        <v>3</v>
      </c>
      <c r="V87" t="s">
        <v>103</v>
      </c>
      <c r="W87">
        <v>0</v>
      </c>
      <c r="Z87" t="s">
        <v>117</v>
      </c>
      <c r="AB87">
        <f t="shared" si="72"/>
        <v>0</v>
      </c>
      <c r="AC87" t="str">
        <f t="shared" si="73"/>
        <v/>
      </c>
      <c r="AD87" t="str">
        <f t="shared" si="74"/>
        <v/>
      </c>
      <c r="AE87" t="str">
        <f t="shared" si="75"/>
        <v>H</v>
      </c>
      <c r="AF87">
        <f t="shared" si="76"/>
        <v>0</v>
      </c>
      <c r="AH87">
        <f t="shared" si="77"/>
        <v>0</v>
      </c>
      <c r="AI87" t="str">
        <f t="shared" si="78"/>
        <v/>
      </c>
      <c r="AJ87" t="str">
        <f t="shared" si="79"/>
        <v/>
      </c>
      <c r="AK87">
        <f t="shared" si="80"/>
        <v>-1</v>
      </c>
      <c r="AL87" t="str">
        <f t="shared" si="70"/>
        <v/>
      </c>
      <c r="AM87" t="str">
        <f t="shared" si="71"/>
        <v/>
      </c>
    </row>
    <row r="88" spans="3:39" x14ac:dyDescent="0.35">
      <c r="D88" t="s">
        <v>45</v>
      </c>
      <c r="E88" t="s">
        <v>50</v>
      </c>
      <c r="G88" s="4">
        <v>0.45679103199457616</v>
      </c>
      <c r="H88" s="4">
        <v>0.37866586078710052</v>
      </c>
      <c r="I88" s="4">
        <v>0.1645431072183238</v>
      </c>
      <c r="K88">
        <v>1.75</v>
      </c>
      <c r="L88">
        <v>4.4000000000000004</v>
      </c>
      <c r="M88">
        <v>5</v>
      </c>
      <c r="N88" s="4">
        <v>0.5714285714285714</v>
      </c>
      <c r="O88" s="4">
        <v>0.22727272727272727</v>
      </c>
      <c r="P88" s="4">
        <v>0.2</v>
      </c>
      <c r="R88" t="s">
        <v>103</v>
      </c>
      <c r="S88">
        <v>2</v>
      </c>
      <c r="T88">
        <v>0</v>
      </c>
      <c r="V88" t="s">
        <v>103</v>
      </c>
      <c r="W88">
        <v>1</v>
      </c>
      <c r="Z88">
        <v>0</v>
      </c>
      <c r="AB88">
        <f t="shared" si="72"/>
        <v>1</v>
      </c>
      <c r="AC88" t="str">
        <f t="shared" si="73"/>
        <v/>
      </c>
      <c r="AD88" t="str">
        <f t="shared" si="74"/>
        <v/>
      </c>
      <c r="AE88" t="str">
        <f t="shared" si="75"/>
        <v>H</v>
      </c>
      <c r="AF88">
        <f t="shared" si="76"/>
        <v>1</v>
      </c>
      <c r="AH88">
        <f t="shared" si="77"/>
        <v>1</v>
      </c>
      <c r="AI88" t="str">
        <f t="shared" si="78"/>
        <v/>
      </c>
      <c r="AJ88" t="str">
        <f t="shared" si="79"/>
        <v/>
      </c>
      <c r="AK88">
        <f t="shared" si="80"/>
        <v>0.75</v>
      </c>
      <c r="AL88" t="str">
        <f t="shared" si="70"/>
        <v/>
      </c>
      <c r="AM88" t="str">
        <f t="shared" si="71"/>
        <v/>
      </c>
    </row>
    <row r="89" spans="3:39" x14ac:dyDescent="0.35">
      <c r="D89" t="s">
        <v>35</v>
      </c>
      <c r="E89" t="s">
        <v>42</v>
      </c>
      <c r="G89" s="4">
        <v>0.18674753873543434</v>
      </c>
      <c r="H89" s="4">
        <v>0.25373182733646432</v>
      </c>
      <c r="I89" s="4">
        <v>0.55952063392810159</v>
      </c>
      <c r="K89">
        <v>5.25</v>
      </c>
      <c r="L89">
        <v>4.5</v>
      </c>
      <c r="M89">
        <v>1.7</v>
      </c>
      <c r="N89" s="4">
        <v>0.19047619047619047</v>
      </c>
      <c r="O89" s="4">
        <v>0.22222222222222221</v>
      </c>
      <c r="P89" s="4">
        <v>0.58823529411764708</v>
      </c>
      <c r="R89" t="s">
        <v>105</v>
      </c>
      <c r="S89">
        <v>1</v>
      </c>
      <c r="T89">
        <v>2</v>
      </c>
      <c r="V89" t="s">
        <v>105</v>
      </c>
      <c r="W89">
        <v>1</v>
      </c>
      <c r="Z89">
        <v>0</v>
      </c>
      <c r="AB89" t="str">
        <f t="shared" si="72"/>
        <v/>
      </c>
      <c r="AC89" t="str">
        <f t="shared" si="73"/>
        <v/>
      </c>
      <c r="AD89">
        <f t="shared" si="74"/>
        <v>1</v>
      </c>
      <c r="AE89" t="str">
        <f t="shared" si="75"/>
        <v>A</v>
      </c>
      <c r="AF89">
        <f t="shared" si="76"/>
        <v>1</v>
      </c>
      <c r="AH89" t="str">
        <f t="shared" si="77"/>
        <v/>
      </c>
      <c r="AI89" t="str">
        <f t="shared" si="78"/>
        <v/>
      </c>
      <c r="AJ89">
        <f t="shared" si="79"/>
        <v>1</v>
      </c>
      <c r="AK89" t="str">
        <f t="shared" si="80"/>
        <v/>
      </c>
      <c r="AL89" t="str">
        <f t="shared" si="70"/>
        <v/>
      </c>
      <c r="AM89">
        <f t="shared" si="71"/>
        <v>0.7</v>
      </c>
    </row>
    <row r="90" spans="3:39" x14ac:dyDescent="0.35">
      <c r="D90" t="s">
        <v>30</v>
      </c>
      <c r="E90" t="s">
        <v>25</v>
      </c>
      <c r="G90" s="4">
        <v>0.20246795505777435</v>
      </c>
      <c r="H90" s="4">
        <v>0.3182325410949064</v>
      </c>
      <c r="I90" s="4">
        <v>0.47929950384731945</v>
      </c>
      <c r="K90">
        <v>3.65</v>
      </c>
      <c r="L90">
        <v>3.5</v>
      </c>
      <c r="M90">
        <v>2.25</v>
      </c>
      <c r="N90" s="4">
        <v>0.27397260273972601</v>
      </c>
      <c r="O90" s="4">
        <v>0.2857142857142857</v>
      </c>
      <c r="P90" s="4">
        <v>0.44444444444444442</v>
      </c>
      <c r="R90" t="s">
        <v>105</v>
      </c>
      <c r="S90">
        <v>0</v>
      </c>
      <c r="T90">
        <v>2</v>
      </c>
      <c r="V90" t="s">
        <v>105</v>
      </c>
      <c r="W90">
        <v>1</v>
      </c>
      <c r="Z90">
        <v>1</v>
      </c>
      <c r="AB90" t="str">
        <f t="shared" si="72"/>
        <v/>
      </c>
      <c r="AC90" t="str">
        <f t="shared" si="73"/>
        <v/>
      </c>
      <c r="AD90">
        <f t="shared" si="74"/>
        <v>1</v>
      </c>
      <c r="AE90" t="str">
        <f t="shared" si="75"/>
        <v>A</v>
      </c>
      <c r="AF90">
        <f t="shared" si="76"/>
        <v>1</v>
      </c>
      <c r="AH90" t="str">
        <f t="shared" si="77"/>
        <v/>
      </c>
      <c r="AI90" t="str">
        <f t="shared" si="78"/>
        <v/>
      </c>
      <c r="AJ90">
        <f t="shared" si="79"/>
        <v>1</v>
      </c>
      <c r="AK90" t="str">
        <f t="shared" si="80"/>
        <v/>
      </c>
      <c r="AL90" t="str">
        <f t="shared" si="70"/>
        <v/>
      </c>
      <c r="AM90">
        <f t="shared" si="71"/>
        <v>1.25</v>
      </c>
    </row>
    <row r="91" spans="3:39" x14ac:dyDescent="0.35">
      <c r="D91" t="s">
        <v>28</v>
      </c>
      <c r="E91" t="s">
        <v>29</v>
      </c>
      <c r="G91" s="4">
        <v>0.3478460701629878</v>
      </c>
      <c r="H91" s="4">
        <v>0.30225362195127031</v>
      </c>
      <c r="I91" s="4">
        <v>0.349900307885742</v>
      </c>
      <c r="K91">
        <v>2.82</v>
      </c>
      <c r="L91">
        <v>3.6</v>
      </c>
      <c r="M91">
        <v>2.68</v>
      </c>
      <c r="N91" s="4">
        <v>0.3546099290780142</v>
      </c>
      <c r="O91" s="4">
        <v>0.27777777777777779</v>
      </c>
      <c r="P91" s="4">
        <v>0.37313432835820892</v>
      </c>
      <c r="R91" t="s">
        <v>104</v>
      </c>
      <c r="S91">
        <v>1</v>
      </c>
      <c r="T91">
        <v>1</v>
      </c>
      <c r="V91" t="s">
        <v>105</v>
      </c>
      <c r="W91">
        <v>0</v>
      </c>
      <c r="Z91" t="s">
        <v>117</v>
      </c>
      <c r="AB91" t="str">
        <f t="shared" si="72"/>
        <v/>
      </c>
      <c r="AC91" t="str">
        <f t="shared" si="73"/>
        <v/>
      </c>
      <c r="AD91">
        <f t="shared" si="74"/>
        <v>0</v>
      </c>
      <c r="AE91" t="str">
        <f t="shared" si="75"/>
        <v>A</v>
      </c>
      <c r="AF91">
        <f t="shared" si="76"/>
        <v>0</v>
      </c>
      <c r="AH91" t="str">
        <f t="shared" si="77"/>
        <v/>
      </c>
      <c r="AI91" t="str">
        <f t="shared" si="78"/>
        <v/>
      </c>
      <c r="AJ91">
        <f t="shared" si="79"/>
        <v>0</v>
      </c>
      <c r="AK91" t="str">
        <f t="shared" si="80"/>
        <v/>
      </c>
      <c r="AL91" t="str">
        <f t="shared" si="70"/>
        <v/>
      </c>
      <c r="AM91">
        <f t="shared" si="71"/>
        <v>-1</v>
      </c>
    </row>
    <row r="92" spans="3:39" x14ac:dyDescent="0.35">
      <c r="AB92" s="4"/>
      <c r="AC92" s="4"/>
      <c r="AD92" s="4"/>
    </row>
    <row r="95" spans="3:39" x14ac:dyDescent="0.35">
      <c r="C95" t="s">
        <v>130</v>
      </c>
      <c r="H95" s="21" t="s">
        <v>107</v>
      </c>
      <c r="K95" s="22" t="s">
        <v>106</v>
      </c>
      <c r="N95" t="s">
        <v>108</v>
      </c>
    </row>
    <row r="96" spans="3:39" x14ac:dyDescent="0.35">
      <c r="G96" t="s">
        <v>103</v>
      </c>
      <c r="H96" t="s">
        <v>104</v>
      </c>
      <c r="I96" t="s">
        <v>105</v>
      </c>
      <c r="K96" t="s">
        <v>103</v>
      </c>
      <c r="L96" t="s">
        <v>104</v>
      </c>
      <c r="M96" t="s">
        <v>105</v>
      </c>
      <c r="N96" t="s">
        <v>103</v>
      </c>
      <c r="O96" t="s">
        <v>104</v>
      </c>
      <c r="P96" t="s">
        <v>105</v>
      </c>
      <c r="R96" t="s">
        <v>110</v>
      </c>
      <c r="V96" t="s">
        <v>112</v>
      </c>
      <c r="W96" t="s">
        <v>111</v>
      </c>
      <c r="X96" s="28" t="s">
        <v>114</v>
      </c>
      <c r="Z96" t="s">
        <v>113</v>
      </c>
      <c r="AA96" s="28" t="s">
        <v>116</v>
      </c>
      <c r="AB96" t="s">
        <v>166</v>
      </c>
      <c r="AC96" t="s">
        <v>167</v>
      </c>
      <c r="AD96" t="s">
        <v>168</v>
      </c>
      <c r="AK96" t="str">
        <f t="shared" si="67"/>
        <v/>
      </c>
      <c r="AL96" t="str">
        <f t="shared" si="68"/>
        <v/>
      </c>
      <c r="AM96" t="str">
        <f t="shared" si="69"/>
        <v/>
      </c>
    </row>
    <row r="97" spans="3:39" x14ac:dyDescent="0.35">
      <c r="D97" t="s">
        <v>50</v>
      </c>
      <c r="E97" t="s">
        <v>35</v>
      </c>
      <c r="G97" s="4">
        <v>0.29274072335546997</v>
      </c>
      <c r="H97" s="4">
        <v>0.24281324357165782</v>
      </c>
      <c r="I97" s="4">
        <v>0.46444603307287219</v>
      </c>
      <c r="K97">
        <v>2.75</v>
      </c>
      <c r="L97">
        <v>3.65</v>
      </c>
      <c r="M97">
        <v>2.72</v>
      </c>
      <c r="N97" s="4">
        <v>0.36363636363636365</v>
      </c>
      <c r="O97" s="4">
        <v>0.27397260273972601</v>
      </c>
      <c r="P97" s="4">
        <v>0.36764705882352938</v>
      </c>
      <c r="R97" t="s">
        <v>105</v>
      </c>
      <c r="S97">
        <v>0</v>
      </c>
      <c r="T97">
        <v>2</v>
      </c>
      <c r="V97" t="s">
        <v>105</v>
      </c>
      <c r="W97">
        <v>1</v>
      </c>
      <c r="X97" s="28">
        <v>0.6</v>
      </c>
      <c r="Z97">
        <v>1</v>
      </c>
      <c r="AA97" s="28">
        <v>0.33333333333333331</v>
      </c>
      <c r="AB97" t="str">
        <f>IF(V97=$G$5, IF(W97=$R$2, 1,0), "")</f>
        <v/>
      </c>
      <c r="AC97" t="str">
        <f>IF(V97=$H$5, IF(W97=$R$2, 1,0), "")</f>
        <v/>
      </c>
      <c r="AD97">
        <f>IF(V97=$I$5, IF(W97=$R$2, 1,0), "")</f>
        <v>1</v>
      </c>
      <c r="AE97" t="str">
        <f>IF(MAX(N97:P97)=N97,$N$5,IF(MAX(N97:P97)=O97,$O$5,$P$5))</f>
        <v>A</v>
      </c>
      <c r="AF97">
        <f>IF(AE97=R97, $R$2,$R$3)</f>
        <v>1</v>
      </c>
      <c r="AG97" s="28">
        <f>COUNTIF(AF97:AF106, $R$2)/COUNT(AF97:AF106)</f>
        <v>0.9</v>
      </c>
      <c r="AH97" t="str">
        <f>IF(AE97=$G$5, IF(AF97=$R$2, 1,0), "")</f>
        <v/>
      </c>
      <c r="AI97" t="str">
        <f>IF(AE97=$H$5, IF(AF97=$R$2, 1,0), "")</f>
        <v/>
      </c>
      <c r="AJ97">
        <f>IF(AE97=$I$5, IF(AF97=$R$2, 1,0), "")</f>
        <v>1</v>
      </c>
      <c r="AK97" t="str">
        <f>IF(AB97=1, K97-1, IF(AB97=0, -1,""))</f>
        <v/>
      </c>
      <c r="AL97" t="str">
        <f t="shared" ref="AL97:AL106" si="81">IF(AC97=1, L97-1, IF(AC97=0, -1,""))</f>
        <v/>
      </c>
      <c r="AM97">
        <f t="shared" ref="AM97:AM106" si="82">IF(AD97=1, M97-1, IF(AD97=0, -1,""))</f>
        <v>1.7200000000000002</v>
      </c>
    </row>
    <row r="98" spans="3:39" x14ac:dyDescent="0.35">
      <c r="D98" t="s">
        <v>42</v>
      </c>
      <c r="E98" t="s">
        <v>30</v>
      </c>
      <c r="G98" s="4">
        <v>0.52361111943427741</v>
      </c>
      <c r="H98" s="4">
        <v>0.29890850823781306</v>
      </c>
      <c r="I98" s="4">
        <v>0.17748037232790981</v>
      </c>
      <c r="K98">
        <v>1.37</v>
      </c>
      <c r="L98">
        <v>5.6</v>
      </c>
      <c r="M98">
        <v>10.25</v>
      </c>
      <c r="N98" s="4">
        <v>0.72992700729927007</v>
      </c>
      <c r="O98" s="4">
        <v>0.17857142857142858</v>
      </c>
      <c r="P98" s="4">
        <v>9.7560975609756101E-2</v>
      </c>
      <c r="R98" t="s">
        <v>103</v>
      </c>
      <c r="S98">
        <v>2</v>
      </c>
      <c r="T98">
        <v>0</v>
      </c>
      <c r="V98" t="s">
        <v>103</v>
      </c>
      <c r="W98">
        <v>1</v>
      </c>
      <c r="Z98">
        <v>0</v>
      </c>
      <c r="AA98" s="29" t="s">
        <v>117</v>
      </c>
      <c r="AB98">
        <f t="shared" ref="AB98:AB106" si="83">IF(V98=$G$5, IF(W98=$R$2, 1,0), "")</f>
        <v>1</v>
      </c>
      <c r="AC98" t="str">
        <f t="shared" ref="AC98:AC106" si="84">IF(V98=$H$5, IF(W98=$R$2, 1,0), "")</f>
        <v/>
      </c>
      <c r="AD98" t="str">
        <f t="shared" ref="AD98:AD106" si="85">IF(V98=$I$5, IF(W98=$R$2, 1,0), "")</f>
        <v/>
      </c>
      <c r="AE98" t="str">
        <f t="shared" ref="AE98:AE106" si="86">IF(MAX(N98:P98)=N98,$N$5,IF(MAX(N98:P98)=O98,$O$5,$P$5))</f>
        <v>H</v>
      </c>
      <c r="AF98">
        <f t="shared" ref="AF98:AF106" si="87">IF(AE98=R98, $R$2,$R$3)</f>
        <v>1</v>
      </c>
      <c r="AH98">
        <f t="shared" ref="AH98:AH106" si="88">IF(AE98=$G$5, IF(AF98=$R$2, 1,0), "")</f>
        <v>1</v>
      </c>
      <c r="AI98" t="str">
        <f t="shared" ref="AI98:AI106" si="89">IF(AE98=$H$5, IF(AF98=$R$2, 1,0), "")</f>
        <v/>
      </c>
      <c r="AJ98" t="str">
        <f t="shared" ref="AJ98:AJ106" si="90">IF(AE98=$I$5, IF(AF98=$R$2, 1,0), "")</f>
        <v/>
      </c>
      <c r="AK98">
        <f t="shared" ref="AK98:AK106" si="91">IF(AB98=1, K98-1, IF(AB98=0, -1,""))</f>
        <v>0.37000000000000011</v>
      </c>
      <c r="AL98" t="str">
        <f t="shared" si="81"/>
        <v/>
      </c>
      <c r="AM98" t="str">
        <f t="shared" si="82"/>
        <v/>
      </c>
    </row>
    <row r="99" spans="3:39" x14ac:dyDescent="0.35">
      <c r="D99" t="s">
        <v>34</v>
      </c>
      <c r="E99" t="s">
        <v>28</v>
      </c>
      <c r="G99" s="4">
        <v>0.16599008090469236</v>
      </c>
      <c r="H99" s="4">
        <v>0.2779682000489761</v>
      </c>
      <c r="I99" s="4">
        <v>0.55604171904633193</v>
      </c>
      <c r="K99">
        <v>3.11</v>
      </c>
      <c r="L99">
        <v>3.53</v>
      </c>
      <c r="M99">
        <v>2.58</v>
      </c>
      <c r="N99" s="4">
        <v>0.32154340836012862</v>
      </c>
      <c r="O99" s="4">
        <v>0.28328611898016998</v>
      </c>
      <c r="P99" s="4">
        <v>0.38759689922480617</v>
      </c>
      <c r="R99" t="s">
        <v>105</v>
      </c>
      <c r="S99">
        <v>1</v>
      </c>
      <c r="T99">
        <v>2</v>
      </c>
      <c r="V99" t="s">
        <v>105</v>
      </c>
      <c r="W99">
        <v>1</v>
      </c>
      <c r="Z99">
        <v>1</v>
      </c>
      <c r="AB99" t="str">
        <f t="shared" si="83"/>
        <v/>
      </c>
      <c r="AC99" t="str">
        <f t="shared" si="84"/>
        <v/>
      </c>
      <c r="AD99">
        <f t="shared" si="85"/>
        <v>1</v>
      </c>
      <c r="AE99" t="str">
        <f t="shared" si="86"/>
        <v>A</v>
      </c>
      <c r="AF99">
        <f t="shared" si="87"/>
        <v>1</v>
      </c>
      <c r="AH99" t="str">
        <f t="shared" si="88"/>
        <v/>
      </c>
      <c r="AI99" t="str">
        <f t="shared" si="89"/>
        <v/>
      </c>
      <c r="AJ99">
        <f t="shared" si="90"/>
        <v>1</v>
      </c>
      <c r="AK99" t="str">
        <f t="shared" si="91"/>
        <v/>
      </c>
      <c r="AL99" t="str">
        <f t="shared" si="81"/>
        <v/>
      </c>
      <c r="AM99">
        <f t="shared" si="82"/>
        <v>1.58</v>
      </c>
    </row>
    <row r="100" spans="3:39" x14ac:dyDescent="0.35">
      <c r="D100" t="s">
        <v>46</v>
      </c>
      <c r="E100" t="s">
        <v>38</v>
      </c>
      <c r="G100" s="4">
        <v>0.254669324047617</v>
      </c>
      <c r="H100" s="4">
        <v>0.35743083980919788</v>
      </c>
      <c r="I100" s="4">
        <v>0.38789983614318513</v>
      </c>
      <c r="K100">
        <v>2.72</v>
      </c>
      <c r="L100">
        <v>3.5</v>
      </c>
      <c r="M100">
        <v>2.95</v>
      </c>
      <c r="N100" s="4">
        <v>0.36764705882352938</v>
      </c>
      <c r="O100" s="4">
        <v>0.2857142857142857</v>
      </c>
      <c r="P100" s="4">
        <v>0.33898305084745761</v>
      </c>
      <c r="R100" t="s">
        <v>103</v>
      </c>
      <c r="S100">
        <v>2</v>
      </c>
      <c r="T100">
        <v>1</v>
      </c>
      <c r="V100" t="s">
        <v>105</v>
      </c>
      <c r="W100">
        <v>0</v>
      </c>
      <c r="Z100" t="s">
        <v>117</v>
      </c>
      <c r="AB100" t="str">
        <f t="shared" si="83"/>
        <v/>
      </c>
      <c r="AC100" t="str">
        <f t="shared" si="84"/>
        <v/>
      </c>
      <c r="AD100">
        <f t="shared" si="85"/>
        <v>0</v>
      </c>
      <c r="AE100" t="str">
        <f t="shared" si="86"/>
        <v>H</v>
      </c>
      <c r="AF100">
        <f t="shared" si="87"/>
        <v>1</v>
      </c>
      <c r="AH100">
        <f t="shared" si="88"/>
        <v>1</v>
      </c>
      <c r="AI100" t="str">
        <f t="shared" si="89"/>
        <v/>
      </c>
      <c r="AJ100" t="str">
        <f t="shared" si="90"/>
        <v/>
      </c>
      <c r="AK100" t="str">
        <f t="shared" si="91"/>
        <v/>
      </c>
      <c r="AL100" t="str">
        <f t="shared" si="81"/>
        <v/>
      </c>
      <c r="AM100">
        <f t="shared" si="82"/>
        <v>-1</v>
      </c>
    </row>
    <row r="101" spans="3:39" x14ac:dyDescent="0.35">
      <c r="D101" t="s">
        <v>32</v>
      </c>
      <c r="E101" t="s">
        <v>43</v>
      </c>
      <c r="G101" s="4">
        <v>0.33527909239800063</v>
      </c>
      <c r="H101" s="4">
        <v>0.31519332563159325</v>
      </c>
      <c r="I101" s="4">
        <v>0.3495275819704059</v>
      </c>
      <c r="K101">
        <v>2.33</v>
      </c>
      <c r="L101">
        <v>3.73</v>
      </c>
      <c r="M101">
        <v>3.3</v>
      </c>
      <c r="N101" s="4">
        <v>0.42918454935622319</v>
      </c>
      <c r="O101" s="4">
        <v>0.26809651474530832</v>
      </c>
      <c r="P101" s="4">
        <v>0.30303030303030304</v>
      </c>
      <c r="R101" t="s">
        <v>103</v>
      </c>
      <c r="S101">
        <v>3</v>
      </c>
      <c r="T101">
        <v>0</v>
      </c>
      <c r="V101" t="s">
        <v>105</v>
      </c>
      <c r="W101">
        <v>0</v>
      </c>
      <c r="Z101" t="s">
        <v>117</v>
      </c>
      <c r="AB101" t="str">
        <f t="shared" si="83"/>
        <v/>
      </c>
      <c r="AC101" t="str">
        <f t="shared" si="84"/>
        <v/>
      </c>
      <c r="AD101">
        <f t="shared" si="85"/>
        <v>0</v>
      </c>
      <c r="AE101" t="str">
        <f t="shared" si="86"/>
        <v>H</v>
      </c>
      <c r="AF101">
        <f t="shared" si="87"/>
        <v>1</v>
      </c>
      <c r="AH101">
        <f t="shared" si="88"/>
        <v>1</v>
      </c>
      <c r="AI101" t="str">
        <f t="shared" si="89"/>
        <v/>
      </c>
      <c r="AJ101" t="str">
        <f t="shared" si="90"/>
        <v/>
      </c>
      <c r="AK101" t="str">
        <f t="shared" si="91"/>
        <v/>
      </c>
      <c r="AL101" t="str">
        <f t="shared" si="81"/>
        <v/>
      </c>
      <c r="AM101">
        <f t="shared" si="82"/>
        <v>-1</v>
      </c>
    </row>
    <row r="102" spans="3:39" x14ac:dyDescent="0.35">
      <c r="D102" t="s">
        <v>29</v>
      </c>
      <c r="E102" t="s">
        <v>51</v>
      </c>
      <c r="G102" s="4">
        <v>0.46522709486651681</v>
      </c>
      <c r="H102" s="4">
        <v>0.33972951065557916</v>
      </c>
      <c r="I102" s="4">
        <v>0.1950433944779042</v>
      </c>
      <c r="K102">
        <v>1.63</v>
      </c>
      <c r="L102">
        <v>4.34</v>
      </c>
      <c r="M102">
        <v>6.5</v>
      </c>
      <c r="N102" s="4">
        <v>0.61349693251533743</v>
      </c>
      <c r="O102" s="4">
        <v>0.2304147465437788</v>
      </c>
      <c r="P102" s="4">
        <v>0.15384615384615385</v>
      </c>
      <c r="R102" t="s">
        <v>104</v>
      </c>
      <c r="S102">
        <v>1</v>
      </c>
      <c r="T102">
        <v>1</v>
      </c>
      <c r="V102" t="s">
        <v>103</v>
      </c>
      <c r="W102">
        <v>0</v>
      </c>
      <c r="Z102" t="s">
        <v>117</v>
      </c>
      <c r="AB102">
        <f t="shared" si="83"/>
        <v>0</v>
      </c>
      <c r="AC102" t="str">
        <f t="shared" si="84"/>
        <v/>
      </c>
      <c r="AD102" t="str">
        <f t="shared" si="85"/>
        <v/>
      </c>
      <c r="AE102" t="str">
        <f t="shared" si="86"/>
        <v>H</v>
      </c>
      <c r="AF102">
        <f t="shared" si="87"/>
        <v>0</v>
      </c>
      <c r="AH102">
        <f t="shared" si="88"/>
        <v>0</v>
      </c>
      <c r="AI102" t="str">
        <f t="shared" si="89"/>
        <v/>
      </c>
      <c r="AJ102" t="str">
        <f t="shared" si="90"/>
        <v/>
      </c>
      <c r="AK102">
        <f t="shared" si="91"/>
        <v>-1</v>
      </c>
      <c r="AL102" t="str">
        <f t="shared" si="81"/>
        <v/>
      </c>
      <c r="AM102" t="str">
        <f t="shared" si="82"/>
        <v/>
      </c>
    </row>
    <row r="103" spans="3:39" x14ac:dyDescent="0.35">
      <c r="D103" t="s">
        <v>25</v>
      </c>
      <c r="E103" t="s">
        <v>40</v>
      </c>
      <c r="G103" s="4">
        <v>0.39748720491813705</v>
      </c>
      <c r="H103" s="4">
        <v>0.34207313329563416</v>
      </c>
      <c r="I103" s="4">
        <v>0.26043966178622863</v>
      </c>
      <c r="K103">
        <v>2.08</v>
      </c>
      <c r="L103">
        <v>3.98</v>
      </c>
      <c r="M103">
        <v>3.8</v>
      </c>
      <c r="N103" s="4">
        <v>0.48076923076923073</v>
      </c>
      <c r="O103" s="4">
        <v>0.25125628140703515</v>
      </c>
      <c r="P103" s="4">
        <v>0.26315789473684209</v>
      </c>
      <c r="R103" t="s">
        <v>103</v>
      </c>
      <c r="S103">
        <v>2</v>
      </c>
      <c r="T103">
        <v>0</v>
      </c>
      <c r="V103" t="s">
        <v>103</v>
      </c>
      <c r="W103">
        <v>1</v>
      </c>
      <c r="Z103">
        <v>0</v>
      </c>
      <c r="AB103">
        <f t="shared" si="83"/>
        <v>1</v>
      </c>
      <c r="AC103" t="str">
        <f t="shared" si="84"/>
        <v/>
      </c>
      <c r="AD103" t="str">
        <f t="shared" si="85"/>
        <v/>
      </c>
      <c r="AE103" t="str">
        <f t="shared" si="86"/>
        <v>H</v>
      </c>
      <c r="AF103">
        <f t="shared" si="87"/>
        <v>1</v>
      </c>
      <c r="AH103">
        <f t="shared" si="88"/>
        <v>1</v>
      </c>
      <c r="AI103" t="str">
        <f t="shared" si="89"/>
        <v/>
      </c>
      <c r="AJ103" t="str">
        <f t="shared" si="90"/>
        <v/>
      </c>
      <c r="AK103">
        <f t="shared" si="91"/>
        <v>1.08</v>
      </c>
      <c r="AL103" t="str">
        <f t="shared" si="81"/>
        <v/>
      </c>
      <c r="AM103" t="str">
        <f t="shared" si="82"/>
        <v/>
      </c>
    </row>
    <row r="104" spans="3:39" x14ac:dyDescent="0.35">
      <c r="D104" t="s">
        <v>49</v>
      </c>
      <c r="E104" t="s">
        <v>52</v>
      </c>
      <c r="G104" s="4">
        <v>0.37147391851307293</v>
      </c>
      <c r="H104" s="4">
        <v>0.27048562522963032</v>
      </c>
      <c r="I104" s="4">
        <v>0.35804045625729691</v>
      </c>
      <c r="K104">
        <v>1.96</v>
      </c>
      <c r="L104">
        <v>3.8</v>
      </c>
      <c r="M104">
        <v>4.4000000000000004</v>
      </c>
      <c r="N104" s="4">
        <v>0.51020408163265307</v>
      </c>
      <c r="O104" s="4">
        <v>0.26315789473684209</v>
      </c>
      <c r="P104" s="4">
        <v>0.22727272727272727</v>
      </c>
      <c r="R104" t="s">
        <v>103</v>
      </c>
      <c r="S104">
        <v>2</v>
      </c>
      <c r="T104">
        <v>1</v>
      </c>
      <c r="V104" t="s">
        <v>103</v>
      </c>
      <c r="W104">
        <v>1</v>
      </c>
      <c r="Z104">
        <v>0</v>
      </c>
      <c r="AB104">
        <f t="shared" si="83"/>
        <v>1</v>
      </c>
      <c r="AC104" t="str">
        <f t="shared" si="84"/>
        <v/>
      </c>
      <c r="AD104" t="str">
        <f t="shared" si="85"/>
        <v/>
      </c>
      <c r="AE104" t="str">
        <f t="shared" si="86"/>
        <v>H</v>
      </c>
      <c r="AF104">
        <f t="shared" si="87"/>
        <v>1</v>
      </c>
      <c r="AH104">
        <f t="shared" si="88"/>
        <v>1</v>
      </c>
      <c r="AI104" t="str">
        <f t="shared" si="89"/>
        <v/>
      </c>
      <c r="AJ104" t="str">
        <f t="shared" si="90"/>
        <v/>
      </c>
      <c r="AK104">
        <f t="shared" si="91"/>
        <v>0.96</v>
      </c>
      <c r="AL104" t="str">
        <f t="shared" si="81"/>
        <v/>
      </c>
      <c r="AM104" t="str">
        <f t="shared" si="82"/>
        <v/>
      </c>
    </row>
    <row r="105" spans="3:39" x14ac:dyDescent="0.35">
      <c r="D105" t="s">
        <v>39</v>
      </c>
      <c r="E105" t="s">
        <v>45</v>
      </c>
      <c r="G105" s="4">
        <v>0.52605719936371464</v>
      </c>
      <c r="H105" s="4">
        <v>0.29404936966615974</v>
      </c>
      <c r="I105" s="4">
        <v>0.17989343097012533</v>
      </c>
      <c r="K105">
        <v>1.72</v>
      </c>
      <c r="L105">
        <v>3.8</v>
      </c>
      <c r="M105">
        <v>6.5</v>
      </c>
      <c r="N105" s="4">
        <v>0.58139534883720934</v>
      </c>
      <c r="O105" s="4">
        <v>0.26315789473684209</v>
      </c>
      <c r="P105" s="4">
        <v>0.15384615384615385</v>
      </c>
      <c r="R105" t="s">
        <v>103</v>
      </c>
      <c r="S105">
        <v>3</v>
      </c>
      <c r="T105">
        <v>1</v>
      </c>
      <c r="V105" t="s">
        <v>103</v>
      </c>
      <c r="W105">
        <v>1</v>
      </c>
      <c r="Z105">
        <v>0</v>
      </c>
      <c r="AB105">
        <f t="shared" si="83"/>
        <v>1</v>
      </c>
      <c r="AC105" t="str">
        <f t="shared" si="84"/>
        <v/>
      </c>
      <c r="AD105" t="str">
        <f t="shared" si="85"/>
        <v/>
      </c>
      <c r="AE105" t="str">
        <f t="shared" si="86"/>
        <v>H</v>
      </c>
      <c r="AF105">
        <f t="shared" si="87"/>
        <v>1</v>
      </c>
      <c r="AH105">
        <f t="shared" si="88"/>
        <v>1</v>
      </c>
      <c r="AI105" t="str">
        <f t="shared" si="89"/>
        <v/>
      </c>
      <c r="AJ105" t="str">
        <f t="shared" si="90"/>
        <v/>
      </c>
      <c r="AK105">
        <f t="shared" si="91"/>
        <v>0.72</v>
      </c>
      <c r="AL105" t="str">
        <f t="shared" si="81"/>
        <v/>
      </c>
      <c r="AM105" t="str">
        <f t="shared" si="82"/>
        <v/>
      </c>
    </row>
    <row r="106" spans="3:39" x14ac:dyDescent="0.35">
      <c r="D106" t="s">
        <v>41</v>
      </c>
      <c r="E106" t="s">
        <v>36</v>
      </c>
      <c r="G106" s="4">
        <v>0.33385675965388856</v>
      </c>
      <c r="H106" s="4">
        <v>0.29394850492715058</v>
      </c>
      <c r="I106" s="4">
        <v>0.37219473541896086</v>
      </c>
      <c r="K106">
        <v>2.7</v>
      </c>
      <c r="L106">
        <v>3.75</v>
      </c>
      <c r="M106">
        <v>2.78</v>
      </c>
      <c r="N106" s="4">
        <v>0.37037037037037035</v>
      </c>
      <c r="O106" s="4">
        <v>0.26666666666666666</v>
      </c>
      <c r="P106" s="4">
        <v>0.35971223021582738</v>
      </c>
      <c r="R106" t="s">
        <v>103</v>
      </c>
      <c r="S106">
        <v>3</v>
      </c>
      <c r="T106">
        <v>1</v>
      </c>
      <c r="V106" t="s">
        <v>105</v>
      </c>
      <c r="W106">
        <v>0</v>
      </c>
      <c r="Z106" t="s">
        <v>117</v>
      </c>
      <c r="AB106" t="str">
        <f t="shared" si="83"/>
        <v/>
      </c>
      <c r="AC106" t="str">
        <f t="shared" si="84"/>
        <v/>
      </c>
      <c r="AD106">
        <f t="shared" si="85"/>
        <v>0</v>
      </c>
      <c r="AE106" t="str">
        <f t="shared" si="86"/>
        <v>H</v>
      </c>
      <c r="AF106">
        <f t="shared" si="87"/>
        <v>1</v>
      </c>
      <c r="AH106">
        <f t="shared" si="88"/>
        <v>1</v>
      </c>
      <c r="AI106" t="str">
        <f t="shared" si="89"/>
        <v/>
      </c>
      <c r="AJ106" t="str">
        <f t="shared" si="90"/>
        <v/>
      </c>
      <c r="AK106" t="str">
        <f t="shared" si="91"/>
        <v/>
      </c>
      <c r="AL106" t="str">
        <f t="shared" si="81"/>
        <v/>
      </c>
      <c r="AM106">
        <f t="shared" si="82"/>
        <v>-1</v>
      </c>
    </row>
    <row r="107" spans="3:39" x14ac:dyDescent="0.35">
      <c r="AB107" s="4"/>
      <c r="AC107" s="4"/>
      <c r="AD107" s="4"/>
    </row>
    <row r="110" spans="3:39" x14ac:dyDescent="0.35">
      <c r="C110" t="s">
        <v>131</v>
      </c>
      <c r="H110" s="21" t="s">
        <v>107</v>
      </c>
      <c r="K110" s="22" t="s">
        <v>106</v>
      </c>
      <c r="N110" t="s">
        <v>108</v>
      </c>
    </row>
    <row r="111" spans="3:39" x14ac:dyDescent="0.35">
      <c r="G111" t="s">
        <v>103</v>
      </c>
      <c r="H111" t="s">
        <v>104</v>
      </c>
      <c r="I111" t="s">
        <v>105</v>
      </c>
      <c r="K111" t="s">
        <v>103</v>
      </c>
      <c r="L111" t="s">
        <v>104</v>
      </c>
      <c r="M111" t="s">
        <v>105</v>
      </c>
      <c r="N111" t="s">
        <v>103</v>
      </c>
      <c r="O111" t="s">
        <v>104</v>
      </c>
      <c r="P111" t="s">
        <v>105</v>
      </c>
      <c r="R111" t="s">
        <v>110</v>
      </c>
      <c r="V111" t="s">
        <v>112</v>
      </c>
      <c r="W111" t="s">
        <v>111</v>
      </c>
      <c r="X111" s="28" t="s">
        <v>114</v>
      </c>
      <c r="Z111" t="s">
        <v>113</v>
      </c>
      <c r="AA111" s="28" t="s">
        <v>116</v>
      </c>
      <c r="AB111" t="s">
        <v>166</v>
      </c>
      <c r="AC111" t="s">
        <v>167</v>
      </c>
      <c r="AD111" t="s">
        <v>168</v>
      </c>
      <c r="AK111" t="str">
        <f t="shared" si="67"/>
        <v/>
      </c>
      <c r="AL111" t="str">
        <f t="shared" si="68"/>
        <v/>
      </c>
      <c r="AM111" t="str">
        <f t="shared" si="69"/>
        <v/>
      </c>
    </row>
    <row r="112" spans="3:39" x14ac:dyDescent="0.35">
      <c r="D112" t="s">
        <v>43</v>
      </c>
      <c r="E112" t="s">
        <v>29</v>
      </c>
      <c r="G112" s="4">
        <v>0.28545447428270593</v>
      </c>
      <c r="H112" s="4">
        <v>0.2877556302377276</v>
      </c>
      <c r="I112" s="4">
        <v>0.42678989547956631</v>
      </c>
      <c r="K112">
        <v>4.45</v>
      </c>
      <c r="L112">
        <v>4.3600000000000003</v>
      </c>
      <c r="M112">
        <v>1.82</v>
      </c>
      <c r="N112" s="4">
        <v>0.2247191011235955</v>
      </c>
      <c r="O112" s="4">
        <v>0.2293577981651376</v>
      </c>
      <c r="P112" s="4">
        <v>0.54945054945054939</v>
      </c>
      <c r="R112" t="s">
        <v>105</v>
      </c>
      <c r="S112">
        <v>2</v>
      </c>
      <c r="T112">
        <v>3</v>
      </c>
      <c r="V112" t="s">
        <v>105</v>
      </c>
      <c r="W112">
        <v>1</v>
      </c>
      <c r="X112" s="28">
        <v>0.7</v>
      </c>
      <c r="Z112">
        <v>0</v>
      </c>
      <c r="AA112" s="28">
        <v>0.2857142857142857</v>
      </c>
      <c r="AB112" t="str">
        <f>IF(V112=$G$5, IF(W112=$R$2, 1,0), "")</f>
        <v/>
      </c>
      <c r="AC112" t="str">
        <f>IF(V112=$H$5, IF(W112=$R$2, 1,0), "")</f>
        <v/>
      </c>
      <c r="AD112">
        <f>IF(V112=$I$5, IF(W112=$R$2, 1,0), "")</f>
        <v>1</v>
      </c>
      <c r="AE112" t="str">
        <f>IF(MAX(N112:P112)=N112,$N$5,IF(MAX(N112:P112)=O112,$O$5,$P$5))</f>
        <v>A</v>
      </c>
      <c r="AF112">
        <f>IF(AE112=R112, $R$2,$R$3)</f>
        <v>1</v>
      </c>
      <c r="AG112" s="28">
        <f>COUNTIF(AF112:AF121, $R$2)/COUNT(AF112:AF121)</f>
        <v>0.6</v>
      </c>
      <c r="AH112" t="str">
        <f>IF(AE112=$G$5, IF(AF112=$R$2, 1,0), "")</f>
        <v/>
      </c>
      <c r="AI112" t="str">
        <f>IF(AE112=$H$5, IF(AF112=$R$2, 1,0), "")</f>
        <v/>
      </c>
      <c r="AJ112">
        <f>IF(AE112=$I$5, IF(AF112=$R$2, 1,0), "")</f>
        <v>1</v>
      </c>
      <c r="AK112" t="str">
        <f>IF(AB112=1, K112-1, IF(AB112=0, -1,""))</f>
        <v/>
      </c>
      <c r="AL112" t="str">
        <f t="shared" ref="AL112:AL121" si="92">IF(AC112=1, L112-1, IF(AC112=0, -1,""))</f>
        <v/>
      </c>
      <c r="AM112">
        <f t="shared" ref="AM112:AM121" si="93">IF(AD112=1, M112-1, IF(AD112=0, -1,""))</f>
        <v>0.82000000000000006</v>
      </c>
    </row>
    <row r="113" spans="3:39" x14ac:dyDescent="0.35">
      <c r="D113" t="s">
        <v>45</v>
      </c>
      <c r="E113" t="s">
        <v>25</v>
      </c>
      <c r="G113" s="4">
        <v>0.24245714772939311</v>
      </c>
      <c r="H113" s="4">
        <v>0.32705882486880578</v>
      </c>
      <c r="I113" s="4">
        <v>0.43048402740180075</v>
      </c>
      <c r="K113">
        <v>3.85</v>
      </c>
      <c r="L113">
        <v>3.7</v>
      </c>
      <c r="M113">
        <v>2.1</v>
      </c>
      <c r="N113" s="4">
        <v>0.25974025974025972</v>
      </c>
      <c r="O113" s="4">
        <v>0.27027027027027023</v>
      </c>
      <c r="P113" s="4">
        <v>0.47619047619047616</v>
      </c>
      <c r="R113" t="s">
        <v>105</v>
      </c>
      <c r="S113">
        <v>0</v>
      </c>
      <c r="T113">
        <v>2</v>
      </c>
      <c r="V113" t="s">
        <v>105</v>
      </c>
      <c r="W113">
        <v>1</v>
      </c>
      <c r="Z113">
        <v>0</v>
      </c>
      <c r="AA113" s="29" t="s">
        <v>117</v>
      </c>
      <c r="AB113" t="str">
        <f t="shared" ref="AB113:AB121" si="94">IF(V113=$G$5, IF(W113=$R$2, 1,0), "")</f>
        <v/>
      </c>
      <c r="AC113" t="str">
        <f t="shared" ref="AC113:AC121" si="95">IF(V113=$H$5, IF(W113=$R$2, 1,0), "")</f>
        <v/>
      </c>
      <c r="AD113">
        <f t="shared" ref="AD113:AD121" si="96">IF(V113=$I$5, IF(W113=$R$2, 1,0), "")</f>
        <v>1</v>
      </c>
      <c r="AE113" t="str">
        <f t="shared" ref="AE113:AE121" si="97">IF(MAX(N113:P113)=N113,$N$5,IF(MAX(N113:P113)=O113,$O$5,$P$5))</f>
        <v>A</v>
      </c>
      <c r="AF113">
        <f t="shared" ref="AF113:AF121" si="98">IF(AE113=R113, $R$2,$R$3)</f>
        <v>1</v>
      </c>
      <c r="AH113" t="str">
        <f t="shared" ref="AH113:AH121" si="99">IF(AE113=$G$5, IF(AF113=$R$2, 1,0), "")</f>
        <v/>
      </c>
      <c r="AI113" t="str">
        <f t="shared" ref="AI113:AI121" si="100">IF(AE113=$H$5, IF(AF113=$R$2, 1,0), "")</f>
        <v/>
      </c>
      <c r="AJ113">
        <f t="shared" ref="AJ113:AJ121" si="101">IF(AE113=$I$5, IF(AF113=$R$2, 1,0), "")</f>
        <v>1</v>
      </c>
      <c r="AK113" t="str">
        <f t="shared" ref="AK113:AK121" si="102">IF(AB113=1, K113-1, IF(AB113=0, -1,""))</f>
        <v/>
      </c>
      <c r="AL113" t="str">
        <f t="shared" si="92"/>
        <v/>
      </c>
      <c r="AM113">
        <f t="shared" si="93"/>
        <v>1.1000000000000001</v>
      </c>
    </row>
    <row r="114" spans="3:39" x14ac:dyDescent="0.35">
      <c r="D114" t="s">
        <v>28</v>
      </c>
      <c r="E114" t="s">
        <v>50</v>
      </c>
      <c r="G114" s="4">
        <v>0.52606947039649776</v>
      </c>
      <c r="H114" s="4">
        <v>0.33442216893853893</v>
      </c>
      <c r="I114" s="4">
        <v>0.13950836066496347</v>
      </c>
      <c r="K114">
        <v>1.45</v>
      </c>
      <c r="L114">
        <v>5.25</v>
      </c>
      <c r="M114">
        <v>9</v>
      </c>
      <c r="N114" s="4">
        <v>0.68965517241379315</v>
      </c>
      <c r="O114" s="4">
        <v>0.19047619047619047</v>
      </c>
      <c r="P114" s="4">
        <v>0.1111111111111111</v>
      </c>
      <c r="R114" t="s">
        <v>105</v>
      </c>
      <c r="S114">
        <v>0</v>
      </c>
      <c r="T114">
        <v>2</v>
      </c>
      <c r="V114" t="s">
        <v>103</v>
      </c>
      <c r="W114">
        <v>0</v>
      </c>
      <c r="Z114" t="s">
        <v>117</v>
      </c>
      <c r="AB114">
        <f t="shared" si="94"/>
        <v>0</v>
      </c>
      <c r="AC114" t="str">
        <f t="shared" si="95"/>
        <v/>
      </c>
      <c r="AD114" t="str">
        <f t="shared" si="96"/>
        <v/>
      </c>
      <c r="AE114" t="str">
        <f t="shared" si="97"/>
        <v>H</v>
      </c>
      <c r="AF114">
        <f t="shared" si="98"/>
        <v>0</v>
      </c>
      <c r="AH114">
        <f t="shared" si="99"/>
        <v>0</v>
      </c>
      <c r="AI114" t="str">
        <f t="shared" si="100"/>
        <v/>
      </c>
      <c r="AJ114" t="str">
        <f t="shared" si="101"/>
        <v/>
      </c>
      <c r="AK114">
        <f t="shared" si="102"/>
        <v>-1</v>
      </c>
      <c r="AL114" t="str">
        <f t="shared" si="92"/>
        <v/>
      </c>
      <c r="AM114" t="str">
        <f t="shared" si="93"/>
        <v/>
      </c>
    </row>
    <row r="115" spans="3:39" x14ac:dyDescent="0.35">
      <c r="D115" t="s">
        <v>30</v>
      </c>
      <c r="E115" t="s">
        <v>41</v>
      </c>
      <c r="G115" s="4">
        <v>9.9930231404761538E-2</v>
      </c>
      <c r="H115" s="4">
        <v>0.26807975275721219</v>
      </c>
      <c r="I115" s="4">
        <v>0.63199001583802639</v>
      </c>
      <c r="K115">
        <v>8</v>
      </c>
      <c r="L115">
        <v>4.84</v>
      </c>
      <c r="M115">
        <v>1.48</v>
      </c>
      <c r="N115" s="4">
        <v>0.125</v>
      </c>
      <c r="O115" s="4">
        <v>0.20661157024793389</v>
      </c>
      <c r="P115" s="4">
        <v>0.67567567567567566</v>
      </c>
      <c r="R115" t="s">
        <v>105</v>
      </c>
      <c r="S115">
        <v>1</v>
      </c>
      <c r="T115">
        <v>2</v>
      </c>
      <c r="V115" t="s">
        <v>105</v>
      </c>
      <c r="W115">
        <v>1</v>
      </c>
      <c r="Z115">
        <v>0</v>
      </c>
      <c r="AB115" t="str">
        <f t="shared" si="94"/>
        <v/>
      </c>
      <c r="AC115" t="str">
        <f t="shared" si="95"/>
        <v/>
      </c>
      <c r="AD115">
        <f t="shared" si="96"/>
        <v>1</v>
      </c>
      <c r="AE115" t="str">
        <f t="shared" si="97"/>
        <v>A</v>
      </c>
      <c r="AF115">
        <f t="shared" si="98"/>
        <v>1</v>
      </c>
      <c r="AH115" t="str">
        <f t="shared" si="99"/>
        <v/>
      </c>
      <c r="AI115" t="str">
        <f t="shared" si="100"/>
        <v/>
      </c>
      <c r="AJ115">
        <f t="shared" si="101"/>
        <v>1</v>
      </c>
      <c r="AK115" t="str">
        <f t="shared" si="102"/>
        <v/>
      </c>
      <c r="AL115" t="str">
        <f t="shared" si="92"/>
        <v/>
      </c>
      <c r="AM115">
        <f t="shared" si="93"/>
        <v>0.48</v>
      </c>
    </row>
    <row r="116" spans="3:39" x14ac:dyDescent="0.35">
      <c r="D116" t="s">
        <v>38</v>
      </c>
      <c r="E116" t="s">
        <v>49</v>
      </c>
      <c r="G116" s="4">
        <v>0.24688687716513208</v>
      </c>
      <c r="H116" s="4">
        <v>0.33036885952563533</v>
      </c>
      <c r="I116" s="4">
        <v>0.42274426330923248</v>
      </c>
      <c r="K116">
        <v>2.9</v>
      </c>
      <c r="L116">
        <v>3.41</v>
      </c>
      <c r="M116">
        <v>2.7</v>
      </c>
      <c r="N116" s="4">
        <v>0.34482758620689657</v>
      </c>
      <c r="O116" s="4">
        <v>0.29325513196480935</v>
      </c>
      <c r="P116" s="4">
        <v>0.37037037037037035</v>
      </c>
      <c r="R116" t="s">
        <v>105</v>
      </c>
      <c r="S116">
        <v>1</v>
      </c>
      <c r="T116">
        <v>2</v>
      </c>
      <c r="V116" t="s">
        <v>105</v>
      </c>
      <c r="W116">
        <v>1</v>
      </c>
      <c r="Z116">
        <v>1</v>
      </c>
      <c r="AB116" t="str">
        <f t="shared" si="94"/>
        <v/>
      </c>
      <c r="AC116" t="str">
        <f t="shared" si="95"/>
        <v/>
      </c>
      <c r="AD116">
        <f t="shared" si="96"/>
        <v>1</v>
      </c>
      <c r="AE116" t="str">
        <f t="shared" si="97"/>
        <v>A</v>
      </c>
      <c r="AF116">
        <f t="shared" si="98"/>
        <v>1</v>
      </c>
      <c r="AH116" t="str">
        <f t="shared" si="99"/>
        <v/>
      </c>
      <c r="AI116" t="str">
        <f t="shared" si="100"/>
        <v/>
      </c>
      <c r="AJ116">
        <f t="shared" si="101"/>
        <v>1</v>
      </c>
      <c r="AK116" t="str">
        <f t="shared" si="102"/>
        <v/>
      </c>
      <c r="AL116" t="str">
        <f t="shared" si="92"/>
        <v/>
      </c>
      <c r="AM116">
        <f t="shared" si="93"/>
        <v>1.7000000000000002</v>
      </c>
    </row>
    <row r="117" spans="3:39" x14ac:dyDescent="0.35">
      <c r="D117" t="s">
        <v>40</v>
      </c>
      <c r="E117" t="s">
        <v>34</v>
      </c>
      <c r="G117" s="4">
        <v>0.39074004006084312</v>
      </c>
      <c r="H117" s="4">
        <v>0.29986652519249812</v>
      </c>
      <c r="I117" s="4">
        <v>0.30939343474665881</v>
      </c>
      <c r="K117">
        <v>1.52</v>
      </c>
      <c r="L117">
        <v>5</v>
      </c>
      <c r="M117">
        <v>7</v>
      </c>
      <c r="N117" s="4">
        <v>0.65789473684210531</v>
      </c>
      <c r="O117" s="4">
        <v>0.2</v>
      </c>
      <c r="P117" s="4">
        <v>0.14285714285714285</v>
      </c>
      <c r="R117" t="s">
        <v>104</v>
      </c>
      <c r="S117">
        <v>2</v>
      </c>
      <c r="T117">
        <v>2</v>
      </c>
      <c r="V117" t="s">
        <v>103</v>
      </c>
      <c r="W117">
        <v>0</v>
      </c>
      <c r="Z117" t="s">
        <v>117</v>
      </c>
      <c r="AB117">
        <f t="shared" si="94"/>
        <v>0</v>
      </c>
      <c r="AC117" t="str">
        <f t="shared" si="95"/>
        <v/>
      </c>
      <c r="AD117" t="str">
        <f t="shared" si="96"/>
        <v/>
      </c>
      <c r="AE117" t="str">
        <f t="shared" si="97"/>
        <v>H</v>
      </c>
      <c r="AF117">
        <f t="shared" si="98"/>
        <v>0</v>
      </c>
      <c r="AH117">
        <f t="shared" si="99"/>
        <v>0</v>
      </c>
      <c r="AI117" t="str">
        <f t="shared" si="100"/>
        <v/>
      </c>
      <c r="AJ117" t="str">
        <f t="shared" si="101"/>
        <v/>
      </c>
      <c r="AK117">
        <f t="shared" si="102"/>
        <v>-1</v>
      </c>
      <c r="AL117" t="str">
        <f t="shared" si="92"/>
        <v/>
      </c>
      <c r="AM117" t="str">
        <f t="shared" si="93"/>
        <v/>
      </c>
    </row>
    <row r="118" spans="3:39" x14ac:dyDescent="0.35">
      <c r="D118" t="s">
        <v>35</v>
      </c>
      <c r="E118" t="s">
        <v>32</v>
      </c>
      <c r="G118" s="4">
        <v>0.29158927730109174</v>
      </c>
      <c r="H118" s="4">
        <v>0.31784906571748844</v>
      </c>
      <c r="I118" s="4">
        <v>0.39056165698142026</v>
      </c>
      <c r="K118">
        <v>2.4</v>
      </c>
      <c r="L118">
        <v>3.51</v>
      </c>
      <c r="M118">
        <v>3.35</v>
      </c>
      <c r="N118" s="4">
        <v>0.41666666666666669</v>
      </c>
      <c r="O118" s="4">
        <v>0.28490028490028491</v>
      </c>
      <c r="P118" s="4">
        <v>0.29850746268656714</v>
      </c>
      <c r="R118" t="s">
        <v>105</v>
      </c>
      <c r="S118">
        <v>0</v>
      </c>
      <c r="T118">
        <v>3</v>
      </c>
      <c r="V118" t="s">
        <v>105</v>
      </c>
      <c r="W118">
        <v>1</v>
      </c>
      <c r="Z118">
        <v>1</v>
      </c>
      <c r="AB118" t="str">
        <f t="shared" si="94"/>
        <v/>
      </c>
      <c r="AC118" t="str">
        <f t="shared" si="95"/>
        <v/>
      </c>
      <c r="AD118">
        <f t="shared" si="96"/>
        <v>1</v>
      </c>
      <c r="AE118" t="str">
        <f t="shared" si="97"/>
        <v>H</v>
      </c>
      <c r="AF118">
        <f t="shared" si="98"/>
        <v>0</v>
      </c>
      <c r="AH118">
        <f t="shared" si="99"/>
        <v>0</v>
      </c>
      <c r="AI118" t="str">
        <f t="shared" si="100"/>
        <v/>
      </c>
      <c r="AJ118" t="str">
        <f t="shared" si="101"/>
        <v/>
      </c>
      <c r="AK118" t="str">
        <f t="shared" si="102"/>
        <v/>
      </c>
      <c r="AL118" t="str">
        <f t="shared" si="92"/>
        <v/>
      </c>
      <c r="AM118">
        <f t="shared" si="93"/>
        <v>2.35</v>
      </c>
    </row>
    <row r="119" spans="3:39" x14ac:dyDescent="0.35">
      <c r="D119" t="s">
        <v>36</v>
      </c>
      <c r="E119" t="s">
        <v>42</v>
      </c>
      <c r="G119" s="4">
        <v>0.60981978600332598</v>
      </c>
      <c r="H119" s="4">
        <v>0.22263773600795331</v>
      </c>
      <c r="I119" s="4">
        <v>0.16754247798872049</v>
      </c>
      <c r="K119">
        <v>1.48</v>
      </c>
      <c r="L119">
        <v>5.3</v>
      </c>
      <c r="M119">
        <v>7.1</v>
      </c>
      <c r="N119" s="4">
        <v>0.67567567567567566</v>
      </c>
      <c r="O119" s="4">
        <v>0.18867924528301888</v>
      </c>
      <c r="P119" s="4">
        <v>0.14084507042253522</v>
      </c>
      <c r="R119" t="s">
        <v>103</v>
      </c>
      <c r="S119">
        <v>2</v>
      </c>
      <c r="T119">
        <v>1</v>
      </c>
      <c r="V119" t="s">
        <v>103</v>
      </c>
      <c r="W119">
        <v>1</v>
      </c>
      <c r="Z119">
        <v>0</v>
      </c>
      <c r="AB119">
        <f t="shared" si="94"/>
        <v>1</v>
      </c>
      <c r="AC119" t="str">
        <f t="shared" si="95"/>
        <v/>
      </c>
      <c r="AD119" t="str">
        <f t="shared" si="96"/>
        <v/>
      </c>
      <c r="AE119" t="str">
        <f t="shared" si="97"/>
        <v>H</v>
      </c>
      <c r="AF119">
        <f t="shared" si="98"/>
        <v>1</v>
      </c>
      <c r="AH119">
        <f t="shared" si="99"/>
        <v>1</v>
      </c>
      <c r="AI119" t="str">
        <f t="shared" si="100"/>
        <v/>
      </c>
      <c r="AJ119" t="str">
        <f t="shared" si="101"/>
        <v/>
      </c>
      <c r="AK119">
        <f t="shared" si="102"/>
        <v>0.48</v>
      </c>
      <c r="AL119" t="str">
        <f t="shared" si="92"/>
        <v/>
      </c>
      <c r="AM119" t="str">
        <f t="shared" si="93"/>
        <v/>
      </c>
    </row>
    <row r="120" spans="3:39" x14ac:dyDescent="0.35">
      <c r="D120" t="s">
        <v>51</v>
      </c>
      <c r="E120" t="s">
        <v>39</v>
      </c>
      <c r="G120" s="4">
        <v>0.2472418756942722</v>
      </c>
      <c r="H120" s="4">
        <v>0.35201029885712026</v>
      </c>
      <c r="I120" s="4">
        <v>0.40074782544860749</v>
      </c>
      <c r="K120">
        <v>3.68</v>
      </c>
      <c r="L120">
        <v>3.4</v>
      </c>
      <c r="M120">
        <v>2.25</v>
      </c>
      <c r="N120" s="4">
        <v>0.27173913043478259</v>
      </c>
      <c r="O120" s="4">
        <v>0.29411764705882354</v>
      </c>
      <c r="P120" s="4">
        <v>0.44444444444444442</v>
      </c>
      <c r="R120" t="s">
        <v>104</v>
      </c>
      <c r="S120">
        <v>3</v>
      </c>
      <c r="T120">
        <v>3</v>
      </c>
      <c r="V120" t="s">
        <v>105</v>
      </c>
      <c r="W120">
        <v>0</v>
      </c>
      <c r="Z120" t="s">
        <v>117</v>
      </c>
      <c r="AB120" t="str">
        <f t="shared" si="94"/>
        <v/>
      </c>
      <c r="AC120" t="str">
        <f t="shared" si="95"/>
        <v/>
      </c>
      <c r="AD120">
        <f t="shared" si="96"/>
        <v>0</v>
      </c>
      <c r="AE120" t="str">
        <f t="shared" si="97"/>
        <v>A</v>
      </c>
      <c r="AF120">
        <f t="shared" si="98"/>
        <v>0</v>
      </c>
      <c r="AH120" t="str">
        <f t="shared" si="99"/>
        <v/>
      </c>
      <c r="AI120" t="str">
        <f t="shared" si="100"/>
        <v/>
      </c>
      <c r="AJ120">
        <f t="shared" si="101"/>
        <v>0</v>
      </c>
      <c r="AK120" t="str">
        <f t="shared" si="102"/>
        <v/>
      </c>
      <c r="AL120" t="str">
        <f t="shared" si="92"/>
        <v/>
      </c>
      <c r="AM120">
        <f t="shared" si="93"/>
        <v>-1</v>
      </c>
    </row>
    <row r="121" spans="3:39" x14ac:dyDescent="0.35">
      <c r="D121" t="s">
        <v>52</v>
      </c>
      <c r="E121" t="s">
        <v>46</v>
      </c>
      <c r="G121" s="4">
        <v>0.42156880355356141</v>
      </c>
      <c r="H121" s="4">
        <v>0.32806891234236141</v>
      </c>
      <c r="I121" s="4">
        <v>0.25036228410407696</v>
      </c>
      <c r="K121">
        <v>2.2000000000000002</v>
      </c>
      <c r="L121">
        <v>3.6</v>
      </c>
      <c r="M121">
        <v>3.75</v>
      </c>
      <c r="N121" s="4">
        <v>0.45454545454545453</v>
      </c>
      <c r="O121" s="4">
        <v>0.27777777777777779</v>
      </c>
      <c r="P121" s="4">
        <v>0.26666666666666666</v>
      </c>
      <c r="R121" t="s">
        <v>103</v>
      </c>
      <c r="S121">
        <v>2</v>
      </c>
      <c r="T121">
        <v>0</v>
      </c>
      <c r="V121" t="s">
        <v>103</v>
      </c>
      <c r="W121">
        <v>1</v>
      </c>
      <c r="Z121">
        <v>0</v>
      </c>
      <c r="AB121">
        <f t="shared" si="94"/>
        <v>1</v>
      </c>
      <c r="AC121" t="str">
        <f t="shared" si="95"/>
        <v/>
      </c>
      <c r="AD121" t="str">
        <f t="shared" si="96"/>
        <v/>
      </c>
      <c r="AE121" t="str">
        <f t="shared" si="97"/>
        <v>H</v>
      </c>
      <c r="AF121">
        <f t="shared" si="98"/>
        <v>1</v>
      </c>
      <c r="AH121">
        <f t="shared" si="99"/>
        <v>1</v>
      </c>
      <c r="AI121" t="str">
        <f t="shared" si="100"/>
        <v/>
      </c>
      <c r="AJ121" t="str">
        <f t="shared" si="101"/>
        <v/>
      </c>
      <c r="AK121">
        <f t="shared" si="102"/>
        <v>1.2000000000000002</v>
      </c>
      <c r="AL121" t="str">
        <f t="shared" si="92"/>
        <v/>
      </c>
      <c r="AM121" t="str">
        <f t="shared" si="93"/>
        <v/>
      </c>
    </row>
    <row r="122" spans="3:39" x14ac:dyDescent="0.35">
      <c r="AB122" s="4"/>
      <c r="AC122" s="4"/>
      <c r="AD122" s="4"/>
    </row>
    <row r="125" spans="3:39" x14ac:dyDescent="0.35">
      <c r="C125" t="s">
        <v>132</v>
      </c>
      <c r="H125" s="21" t="s">
        <v>107</v>
      </c>
      <c r="K125" s="22" t="s">
        <v>106</v>
      </c>
      <c r="N125" t="s">
        <v>108</v>
      </c>
    </row>
    <row r="126" spans="3:39" x14ac:dyDescent="0.35">
      <c r="G126" t="s">
        <v>103</v>
      </c>
      <c r="H126" t="s">
        <v>104</v>
      </c>
      <c r="I126" t="s">
        <v>105</v>
      </c>
      <c r="K126" t="s">
        <v>103</v>
      </c>
      <c r="L126" t="s">
        <v>104</v>
      </c>
      <c r="M126" t="s">
        <v>105</v>
      </c>
      <c r="N126" t="s">
        <v>103</v>
      </c>
      <c r="O126" t="s">
        <v>104</v>
      </c>
      <c r="P126" t="s">
        <v>105</v>
      </c>
      <c r="R126" t="s">
        <v>110</v>
      </c>
      <c r="V126" t="s">
        <v>112</v>
      </c>
      <c r="W126" t="s">
        <v>111</v>
      </c>
      <c r="X126" s="28" t="s">
        <v>114</v>
      </c>
      <c r="Z126" t="s">
        <v>113</v>
      </c>
      <c r="AA126" s="28" t="s">
        <v>116</v>
      </c>
      <c r="AB126" t="s">
        <v>166</v>
      </c>
      <c r="AC126" t="s">
        <v>167</v>
      </c>
      <c r="AD126" t="s">
        <v>168</v>
      </c>
      <c r="AK126" t="str">
        <f t="shared" si="67"/>
        <v/>
      </c>
      <c r="AL126" t="str">
        <f t="shared" si="68"/>
        <v/>
      </c>
      <c r="AM126" t="str">
        <f t="shared" si="69"/>
        <v/>
      </c>
    </row>
    <row r="127" spans="3:39" x14ac:dyDescent="0.35">
      <c r="D127" t="s">
        <v>46</v>
      </c>
      <c r="E127" t="s">
        <v>36</v>
      </c>
      <c r="G127" s="4">
        <v>9.0466838421558199E-2</v>
      </c>
      <c r="H127" s="4">
        <v>0.21771361201379774</v>
      </c>
      <c r="I127" s="4">
        <v>0.69181954956464409</v>
      </c>
      <c r="K127">
        <v>18</v>
      </c>
      <c r="L127">
        <v>8.3000000000000007</v>
      </c>
      <c r="M127">
        <v>1.21</v>
      </c>
      <c r="N127" s="4">
        <v>5.5555555555555552E-2</v>
      </c>
      <c r="O127" s="4">
        <v>0.12048192771084336</v>
      </c>
      <c r="P127" s="4">
        <v>0.82644628099173556</v>
      </c>
      <c r="R127" t="s">
        <v>104</v>
      </c>
      <c r="S127">
        <v>2</v>
      </c>
      <c r="T127">
        <v>2</v>
      </c>
      <c r="V127" t="s">
        <v>105</v>
      </c>
      <c r="W127">
        <v>0</v>
      </c>
      <c r="X127" s="28">
        <v>0.3</v>
      </c>
      <c r="Z127" t="s">
        <v>117</v>
      </c>
      <c r="AA127" s="28">
        <v>0.33333333333333331</v>
      </c>
      <c r="AB127" t="str">
        <f>IF(V127=$G$5, IF(W127=$R$2, 1,0), "")</f>
        <v/>
      </c>
      <c r="AC127" t="str">
        <f>IF(V127=$H$5, IF(W127=$R$2, 1,0), "")</f>
        <v/>
      </c>
      <c r="AD127">
        <f>IF(V127=$I$5, IF(W127=$R$2, 1,0), "")</f>
        <v>0</v>
      </c>
      <c r="AE127" t="str">
        <f>IF(MAX(N127:P127)=N127,$N$5,IF(MAX(N127:P127)=O127,$O$5,$P$5))</f>
        <v>A</v>
      </c>
      <c r="AF127">
        <f>IF(AE127=R127, $R$2,$R$3)</f>
        <v>0</v>
      </c>
      <c r="AG127" s="28">
        <f>COUNTIF(AF127:AF136, $R$2)/COUNT(AF127:AF136)</f>
        <v>0.4</v>
      </c>
      <c r="AH127" t="str">
        <f>IF(AE127=$G$5, IF(AF127=$R$2, 1,0), "")</f>
        <v/>
      </c>
      <c r="AI127" t="str">
        <f>IF(AE127=$H$5, IF(AF127=$R$2, 1,0), "")</f>
        <v/>
      </c>
      <c r="AJ127">
        <f>IF(AE127=$I$5, IF(AF127=$R$2, 1,0), "")</f>
        <v>0</v>
      </c>
      <c r="AK127" t="str">
        <f>IF(AB127=1, K127-1, IF(AB127=0, -1,""))</f>
        <v/>
      </c>
      <c r="AL127" t="str">
        <f t="shared" ref="AL127:AL136" si="103">IF(AC127=1, L127-1, IF(AC127=0, -1,""))</f>
        <v/>
      </c>
      <c r="AM127">
        <f t="shared" ref="AM127:AM136" si="104">IF(AD127=1, M127-1, IF(AD127=0, -1,""))</f>
        <v>-1</v>
      </c>
    </row>
    <row r="128" spans="3:39" x14ac:dyDescent="0.35">
      <c r="D128" t="s">
        <v>41</v>
      </c>
      <c r="E128" t="s">
        <v>45</v>
      </c>
      <c r="G128" s="4">
        <v>0.76879769219385263</v>
      </c>
      <c r="H128" s="4">
        <v>0.16811327883871591</v>
      </c>
      <c r="I128" s="4">
        <v>6.3089028967431446E-2</v>
      </c>
      <c r="K128">
        <v>1.23</v>
      </c>
      <c r="L128">
        <v>7.25</v>
      </c>
      <c r="M128">
        <v>17.25</v>
      </c>
      <c r="N128" s="4">
        <v>0.81300813008130079</v>
      </c>
      <c r="O128" s="4">
        <v>0.13793103448275862</v>
      </c>
      <c r="P128" s="4">
        <v>5.7971014492753624E-2</v>
      </c>
      <c r="R128" t="s">
        <v>103</v>
      </c>
      <c r="S128">
        <v>2</v>
      </c>
      <c r="T128">
        <v>1</v>
      </c>
      <c r="V128" t="s">
        <v>103</v>
      </c>
      <c r="W128">
        <v>1</v>
      </c>
      <c r="Z128">
        <v>0</v>
      </c>
      <c r="AA128" s="29" t="s">
        <v>117</v>
      </c>
      <c r="AB128">
        <f t="shared" ref="AB128:AB136" si="105">IF(V128=$G$5, IF(W128=$R$2, 1,0), "")</f>
        <v>1</v>
      </c>
      <c r="AC128" t="str">
        <f t="shared" ref="AC128:AC136" si="106">IF(V128=$H$5, IF(W128=$R$2, 1,0), "")</f>
        <v/>
      </c>
      <c r="AD128" t="str">
        <f t="shared" ref="AD128:AD136" si="107">IF(V128=$I$5, IF(W128=$R$2, 1,0), "")</f>
        <v/>
      </c>
      <c r="AE128" t="str">
        <f t="shared" ref="AE128:AE136" si="108">IF(MAX(N128:P128)=N128,$N$5,IF(MAX(N128:P128)=O128,$O$5,$P$5))</f>
        <v>H</v>
      </c>
      <c r="AF128">
        <f t="shared" ref="AF128:AF136" si="109">IF(AE128=R128, $R$2,$R$3)</f>
        <v>1</v>
      </c>
      <c r="AH128">
        <f t="shared" ref="AH128:AH136" si="110">IF(AE128=$G$5, IF(AF128=$R$2, 1,0), "")</f>
        <v>1</v>
      </c>
      <c r="AI128" t="str">
        <f t="shared" ref="AI128:AI136" si="111">IF(AE128=$H$5, IF(AF128=$R$2, 1,0), "")</f>
        <v/>
      </c>
      <c r="AJ128" t="str">
        <f t="shared" ref="AJ128:AJ136" si="112">IF(AE128=$I$5, IF(AF128=$R$2, 1,0), "")</f>
        <v/>
      </c>
      <c r="AK128">
        <f t="shared" ref="AK128:AK136" si="113">IF(AB128=1, K128-1, IF(AB128=0, -1,""))</f>
        <v>0.22999999999999998</v>
      </c>
      <c r="AL128" t="str">
        <f t="shared" si="103"/>
        <v/>
      </c>
      <c r="AM128" t="str">
        <f t="shared" si="104"/>
        <v/>
      </c>
    </row>
    <row r="129" spans="3:39" x14ac:dyDescent="0.35">
      <c r="D129" t="s">
        <v>29</v>
      </c>
      <c r="E129" t="s">
        <v>38</v>
      </c>
      <c r="G129" s="4">
        <v>0.46960048948215311</v>
      </c>
      <c r="H129" s="4">
        <v>0.30179241919431499</v>
      </c>
      <c r="I129" s="4">
        <v>0.22860709132353177</v>
      </c>
      <c r="K129">
        <v>1.41</v>
      </c>
      <c r="L129">
        <v>5.5</v>
      </c>
      <c r="M129">
        <v>8.5</v>
      </c>
      <c r="N129" s="4">
        <v>0.70921985815602839</v>
      </c>
      <c r="O129" s="4">
        <v>0.18181818181818182</v>
      </c>
      <c r="P129" s="4">
        <v>0.11764705882352941</v>
      </c>
      <c r="R129" t="s">
        <v>103</v>
      </c>
      <c r="S129">
        <v>3</v>
      </c>
      <c r="T129">
        <v>2</v>
      </c>
      <c r="V129" t="s">
        <v>103</v>
      </c>
      <c r="W129">
        <v>1</v>
      </c>
      <c r="Z129">
        <v>0</v>
      </c>
      <c r="AB129">
        <f t="shared" si="105"/>
        <v>1</v>
      </c>
      <c r="AC129" t="str">
        <f t="shared" si="106"/>
        <v/>
      </c>
      <c r="AD129" t="str">
        <f t="shared" si="107"/>
        <v/>
      </c>
      <c r="AE129" t="str">
        <f t="shared" si="108"/>
        <v>H</v>
      </c>
      <c r="AF129">
        <f t="shared" si="109"/>
        <v>1</v>
      </c>
      <c r="AH129">
        <f t="shared" si="110"/>
        <v>1</v>
      </c>
      <c r="AI129" t="str">
        <f t="shared" si="111"/>
        <v/>
      </c>
      <c r="AJ129" t="str">
        <f t="shared" si="112"/>
        <v/>
      </c>
      <c r="AK129">
        <f t="shared" si="113"/>
        <v>0.40999999999999992</v>
      </c>
      <c r="AL129" t="str">
        <f t="shared" si="103"/>
        <v/>
      </c>
      <c r="AM129" t="str">
        <f t="shared" si="104"/>
        <v/>
      </c>
    </row>
    <row r="130" spans="3:39" x14ac:dyDescent="0.35">
      <c r="D130" t="s">
        <v>32</v>
      </c>
      <c r="E130" t="s">
        <v>30</v>
      </c>
      <c r="G130" s="4">
        <v>0.37476426539022223</v>
      </c>
      <c r="H130" s="4">
        <v>0.32512376515473668</v>
      </c>
      <c r="I130" s="4">
        <v>0.30011196945504121</v>
      </c>
      <c r="K130">
        <v>2.38</v>
      </c>
      <c r="L130">
        <v>3.35</v>
      </c>
      <c r="M130">
        <v>3.5</v>
      </c>
      <c r="N130" s="4">
        <v>0.42016806722689076</v>
      </c>
      <c r="O130" s="4">
        <v>0.29850746268656714</v>
      </c>
      <c r="P130" s="4">
        <v>0.2857142857142857</v>
      </c>
      <c r="R130" t="s">
        <v>105</v>
      </c>
      <c r="S130">
        <v>0</v>
      </c>
      <c r="T130">
        <v>2</v>
      </c>
      <c r="V130" t="s">
        <v>103</v>
      </c>
      <c r="W130">
        <v>0</v>
      </c>
      <c r="Z130" t="s">
        <v>117</v>
      </c>
      <c r="AB130">
        <f t="shared" si="105"/>
        <v>0</v>
      </c>
      <c r="AC130" t="str">
        <f t="shared" si="106"/>
        <v/>
      </c>
      <c r="AD130" t="str">
        <f t="shared" si="107"/>
        <v/>
      </c>
      <c r="AE130" t="str">
        <f t="shared" si="108"/>
        <v>H</v>
      </c>
      <c r="AF130">
        <f t="shared" si="109"/>
        <v>0</v>
      </c>
      <c r="AH130">
        <f t="shared" si="110"/>
        <v>0</v>
      </c>
      <c r="AI130" t="str">
        <f t="shared" si="111"/>
        <v/>
      </c>
      <c r="AJ130" t="str">
        <f t="shared" si="112"/>
        <v/>
      </c>
      <c r="AK130">
        <f t="shared" si="113"/>
        <v>-1</v>
      </c>
      <c r="AL130" t="str">
        <f t="shared" si="103"/>
        <v/>
      </c>
      <c r="AM130" t="str">
        <f t="shared" si="104"/>
        <v/>
      </c>
    </row>
    <row r="131" spans="3:39" x14ac:dyDescent="0.35">
      <c r="D131" t="s">
        <v>42</v>
      </c>
      <c r="E131" t="s">
        <v>43</v>
      </c>
      <c r="G131" s="4">
        <v>0.63643976339502495</v>
      </c>
      <c r="H131" s="4">
        <v>0.24688074171118909</v>
      </c>
      <c r="I131" s="4">
        <v>0.11667949489378608</v>
      </c>
      <c r="K131">
        <v>1.33</v>
      </c>
      <c r="L131">
        <v>6.35</v>
      </c>
      <c r="M131">
        <v>10.53</v>
      </c>
      <c r="N131" s="4">
        <v>0.75187969924812026</v>
      </c>
      <c r="O131" s="4">
        <v>0.15748031496062992</v>
      </c>
      <c r="P131" s="4">
        <v>9.4966761633428307E-2</v>
      </c>
      <c r="R131" t="s">
        <v>105</v>
      </c>
      <c r="S131">
        <v>0</v>
      </c>
      <c r="T131">
        <v>1</v>
      </c>
      <c r="V131" t="s">
        <v>103</v>
      </c>
      <c r="W131">
        <v>0</v>
      </c>
      <c r="Z131" t="s">
        <v>117</v>
      </c>
      <c r="AB131">
        <f t="shared" si="105"/>
        <v>0</v>
      </c>
      <c r="AC131" t="str">
        <f t="shared" si="106"/>
        <v/>
      </c>
      <c r="AD131" t="str">
        <f t="shared" si="107"/>
        <v/>
      </c>
      <c r="AE131" t="str">
        <f t="shared" si="108"/>
        <v>H</v>
      </c>
      <c r="AF131">
        <f t="shared" si="109"/>
        <v>0</v>
      </c>
      <c r="AH131">
        <f t="shared" si="110"/>
        <v>0</v>
      </c>
      <c r="AI131" t="str">
        <f t="shared" si="111"/>
        <v/>
      </c>
      <c r="AJ131" t="str">
        <f t="shared" si="112"/>
        <v/>
      </c>
      <c r="AK131">
        <f t="shared" si="113"/>
        <v>-1</v>
      </c>
      <c r="AL131" t="str">
        <f t="shared" si="103"/>
        <v/>
      </c>
      <c r="AM131" t="str">
        <f t="shared" si="104"/>
        <v/>
      </c>
    </row>
    <row r="132" spans="3:39" x14ac:dyDescent="0.35">
      <c r="D132" t="s">
        <v>34</v>
      </c>
      <c r="E132" t="s">
        <v>35</v>
      </c>
      <c r="G132" s="4">
        <v>0.26100852779339889</v>
      </c>
      <c r="H132" s="4">
        <v>0.2858920201337905</v>
      </c>
      <c r="I132" s="4">
        <v>0.45309945207281072</v>
      </c>
      <c r="K132">
        <v>2.2000000000000002</v>
      </c>
      <c r="L132">
        <v>3.62</v>
      </c>
      <c r="M132">
        <v>3.64</v>
      </c>
      <c r="N132" s="4">
        <v>0.45454545454545453</v>
      </c>
      <c r="O132" s="4">
        <v>0.27624309392265195</v>
      </c>
      <c r="P132" s="4">
        <v>0.27472527472527469</v>
      </c>
      <c r="R132" t="s">
        <v>103</v>
      </c>
      <c r="S132">
        <v>2</v>
      </c>
      <c r="T132">
        <v>1</v>
      </c>
      <c r="V132" t="s">
        <v>105</v>
      </c>
      <c r="W132">
        <v>0</v>
      </c>
      <c r="Z132" t="s">
        <v>117</v>
      </c>
      <c r="AB132" t="str">
        <f t="shared" si="105"/>
        <v/>
      </c>
      <c r="AC132" t="str">
        <f t="shared" si="106"/>
        <v/>
      </c>
      <c r="AD132">
        <f t="shared" si="107"/>
        <v>0</v>
      </c>
      <c r="AE132" t="str">
        <f t="shared" si="108"/>
        <v>H</v>
      </c>
      <c r="AF132">
        <f t="shared" si="109"/>
        <v>1</v>
      </c>
      <c r="AH132">
        <f t="shared" si="110"/>
        <v>1</v>
      </c>
      <c r="AI132" t="str">
        <f t="shared" si="111"/>
        <v/>
      </c>
      <c r="AJ132" t="str">
        <f t="shared" si="112"/>
        <v/>
      </c>
      <c r="AK132" t="str">
        <f t="shared" si="113"/>
        <v/>
      </c>
      <c r="AL132" t="str">
        <f t="shared" si="103"/>
        <v/>
      </c>
      <c r="AM132">
        <f t="shared" si="104"/>
        <v>-1</v>
      </c>
    </row>
    <row r="133" spans="3:39" x14ac:dyDescent="0.35">
      <c r="D133" t="s">
        <v>49</v>
      </c>
      <c r="E133" t="s">
        <v>51</v>
      </c>
      <c r="G133" s="4">
        <v>0.355702048184173</v>
      </c>
      <c r="H133" s="4">
        <v>0.36151195690332327</v>
      </c>
      <c r="I133" s="4">
        <v>0.28278599491250372</v>
      </c>
      <c r="K133">
        <v>2</v>
      </c>
      <c r="L133">
        <v>3.55</v>
      </c>
      <c r="M133">
        <v>4.5999999999999996</v>
      </c>
      <c r="N133" s="4">
        <v>0.5</v>
      </c>
      <c r="O133" s="4">
        <v>0.28169014084507044</v>
      </c>
      <c r="P133" s="4">
        <v>0.21739130434782611</v>
      </c>
      <c r="R133" t="s">
        <v>104</v>
      </c>
      <c r="S133">
        <v>1</v>
      </c>
      <c r="T133">
        <v>1</v>
      </c>
      <c r="V133" t="s">
        <v>104</v>
      </c>
      <c r="W133">
        <v>1</v>
      </c>
      <c r="Z133">
        <v>1</v>
      </c>
      <c r="AB133" t="str">
        <f t="shared" si="105"/>
        <v/>
      </c>
      <c r="AC133">
        <f t="shared" si="106"/>
        <v>1</v>
      </c>
      <c r="AD133" t="str">
        <f t="shared" si="107"/>
        <v/>
      </c>
      <c r="AE133" t="str">
        <f t="shared" si="108"/>
        <v>H</v>
      </c>
      <c r="AF133">
        <f t="shared" si="109"/>
        <v>0</v>
      </c>
      <c r="AH133">
        <f t="shared" si="110"/>
        <v>0</v>
      </c>
      <c r="AI133" t="str">
        <f t="shared" si="111"/>
        <v/>
      </c>
      <c r="AJ133" t="str">
        <f t="shared" si="112"/>
        <v/>
      </c>
      <c r="AK133" t="str">
        <f t="shared" si="113"/>
        <v/>
      </c>
      <c r="AL133">
        <f t="shared" si="103"/>
        <v>2.5499999999999998</v>
      </c>
      <c r="AM133" t="str">
        <f t="shared" si="104"/>
        <v/>
      </c>
    </row>
    <row r="134" spans="3:39" x14ac:dyDescent="0.35">
      <c r="D134" t="s">
        <v>50</v>
      </c>
      <c r="E134" t="s">
        <v>40</v>
      </c>
      <c r="G134" s="4">
        <v>0.19136205919095153</v>
      </c>
      <c r="H134" s="4">
        <v>0.23578683170614964</v>
      </c>
      <c r="I134" s="4">
        <v>0.57285110910289871</v>
      </c>
      <c r="K134">
        <v>4.33</v>
      </c>
      <c r="L134">
        <v>4.4000000000000004</v>
      </c>
      <c r="M134">
        <v>1.86</v>
      </c>
      <c r="N134" s="4">
        <v>0.23094688221709006</v>
      </c>
      <c r="O134" s="4">
        <v>0.22727272727272727</v>
      </c>
      <c r="P134" s="4">
        <v>0.5376344086021505</v>
      </c>
      <c r="R134" t="s">
        <v>104</v>
      </c>
      <c r="S134">
        <v>2</v>
      </c>
      <c r="T134">
        <v>2</v>
      </c>
      <c r="V134" t="s">
        <v>105</v>
      </c>
      <c r="W134">
        <v>0</v>
      </c>
      <c r="Z134" t="s">
        <v>117</v>
      </c>
      <c r="AB134" t="str">
        <f t="shared" si="105"/>
        <v/>
      </c>
      <c r="AC134" t="str">
        <f t="shared" si="106"/>
        <v/>
      </c>
      <c r="AD134">
        <f t="shared" si="107"/>
        <v>0</v>
      </c>
      <c r="AE134" t="str">
        <f t="shared" si="108"/>
        <v>A</v>
      </c>
      <c r="AF134">
        <f t="shared" si="109"/>
        <v>0</v>
      </c>
      <c r="AH134" t="str">
        <f t="shared" si="110"/>
        <v/>
      </c>
      <c r="AI134" t="str">
        <f t="shared" si="111"/>
        <v/>
      </c>
      <c r="AJ134">
        <f t="shared" si="112"/>
        <v>0</v>
      </c>
      <c r="AK134" t="str">
        <f t="shared" si="113"/>
        <v/>
      </c>
      <c r="AL134" t="str">
        <f t="shared" si="103"/>
        <v/>
      </c>
      <c r="AM134">
        <f t="shared" si="104"/>
        <v>-1</v>
      </c>
    </row>
    <row r="135" spans="3:39" x14ac:dyDescent="0.35">
      <c r="D135" t="s">
        <v>39</v>
      </c>
      <c r="E135" t="s">
        <v>52</v>
      </c>
      <c r="G135" s="4">
        <v>0.53703313950597742</v>
      </c>
      <c r="H135" s="4">
        <v>0.2470165839548891</v>
      </c>
      <c r="I135" s="4">
        <v>0.21595027653913385</v>
      </c>
      <c r="K135">
        <v>1.55</v>
      </c>
      <c r="L135">
        <v>4.6900000000000004</v>
      </c>
      <c r="M135">
        <v>8</v>
      </c>
      <c r="N135" s="4">
        <v>0.64516129032258063</v>
      </c>
      <c r="O135" s="4">
        <v>0.21321961620469082</v>
      </c>
      <c r="P135" s="4">
        <v>0.125</v>
      </c>
      <c r="R135" t="s">
        <v>104</v>
      </c>
      <c r="S135">
        <v>2</v>
      </c>
      <c r="T135">
        <v>2</v>
      </c>
      <c r="V135" t="s">
        <v>103</v>
      </c>
      <c r="W135">
        <v>0</v>
      </c>
      <c r="Z135" t="s">
        <v>117</v>
      </c>
      <c r="AB135">
        <f t="shared" si="105"/>
        <v>0</v>
      </c>
      <c r="AC135" t="str">
        <f t="shared" si="106"/>
        <v/>
      </c>
      <c r="AD135" t="str">
        <f t="shared" si="107"/>
        <v/>
      </c>
      <c r="AE135" t="str">
        <f t="shared" si="108"/>
        <v>H</v>
      </c>
      <c r="AF135">
        <f t="shared" si="109"/>
        <v>0</v>
      </c>
      <c r="AH135">
        <f t="shared" si="110"/>
        <v>0</v>
      </c>
      <c r="AI135" t="str">
        <f t="shared" si="111"/>
        <v/>
      </c>
      <c r="AJ135" t="str">
        <f t="shared" si="112"/>
        <v/>
      </c>
      <c r="AK135">
        <f t="shared" si="113"/>
        <v>-1</v>
      </c>
      <c r="AL135" t="str">
        <f t="shared" si="103"/>
        <v/>
      </c>
      <c r="AM135" t="str">
        <f t="shared" si="104"/>
        <v/>
      </c>
    </row>
    <row r="136" spans="3:39" x14ac:dyDescent="0.35">
      <c r="D136" t="s">
        <v>25</v>
      </c>
      <c r="E136" t="s">
        <v>28</v>
      </c>
      <c r="G136" s="4">
        <v>0.32113660976789576</v>
      </c>
      <c r="H136" s="4">
        <v>0.37878098521983239</v>
      </c>
      <c r="I136" s="4">
        <v>0.30008240501227168</v>
      </c>
      <c r="K136">
        <v>1.68</v>
      </c>
      <c r="L136">
        <v>4.25</v>
      </c>
      <c r="M136">
        <v>5.6</v>
      </c>
      <c r="N136" s="4">
        <v>0.59523809523809523</v>
      </c>
      <c r="O136" s="4">
        <v>0.23529411764705882</v>
      </c>
      <c r="P136" s="4">
        <v>0.17857142857142858</v>
      </c>
      <c r="R136" t="s">
        <v>103</v>
      </c>
      <c r="S136">
        <v>2</v>
      </c>
      <c r="T136">
        <v>1</v>
      </c>
      <c r="V136" t="s">
        <v>104</v>
      </c>
      <c r="W136">
        <v>0</v>
      </c>
      <c r="Z136" t="s">
        <v>117</v>
      </c>
      <c r="AB136" t="str">
        <f t="shared" si="105"/>
        <v/>
      </c>
      <c r="AC136">
        <f t="shared" si="106"/>
        <v>0</v>
      </c>
      <c r="AD136" t="str">
        <f t="shared" si="107"/>
        <v/>
      </c>
      <c r="AE136" t="str">
        <f t="shared" si="108"/>
        <v>H</v>
      </c>
      <c r="AF136">
        <f t="shared" si="109"/>
        <v>1</v>
      </c>
      <c r="AH136">
        <f t="shared" si="110"/>
        <v>1</v>
      </c>
      <c r="AI136" t="str">
        <f t="shared" si="111"/>
        <v/>
      </c>
      <c r="AJ136" t="str">
        <f t="shared" si="112"/>
        <v/>
      </c>
      <c r="AK136" t="str">
        <f t="shared" si="113"/>
        <v/>
      </c>
      <c r="AL136">
        <f t="shared" si="103"/>
        <v>-1</v>
      </c>
      <c r="AM136" t="str">
        <f t="shared" si="104"/>
        <v/>
      </c>
    </row>
    <row r="137" spans="3:39" x14ac:dyDescent="0.35">
      <c r="AB137" s="4"/>
      <c r="AC137" s="4"/>
      <c r="AD137" s="4"/>
    </row>
    <row r="141" spans="3:39" x14ac:dyDescent="0.35">
      <c r="C141" t="s">
        <v>133</v>
      </c>
      <c r="H141" s="21" t="s">
        <v>107</v>
      </c>
      <c r="K141" s="22" t="s">
        <v>106</v>
      </c>
      <c r="N141" t="s">
        <v>108</v>
      </c>
    </row>
    <row r="142" spans="3:39" x14ac:dyDescent="0.35">
      <c r="G142" t="s">
        <v>103</v>
      </c>
      <c r="H142" t="s">
        <v>104</v>
      </c>
      <c r="I142" t="s">
        <v>105</v>
      </c>
      <c r="K142" t="s">
        <v>103</v>
      </c>
      <c r="L142" t="s">
        <v>104</v>
      </c>
      <c r="M142" t="s">
        <v>105</v>
      </c>
      <c r="N142" t="s">
        <v>103</v>
      </c>
      <c r="O142" t="s">
        <v>104</v>
      </c>
      <c r="P142" t="s">
        <v>105</v>
      </c>
      <c r="R142" t="s">
        <v>110</v>
      </c>
      <c r="V142" t="s">
        <v>112</v>
      </c>
      <c r="W142" t="s">
        <v>111</v>
      </c>
      <c r="X142" s="28" t="s">
        <v>114</v>
      </c>
      <c r="Z142" t="s">
        <v>113</v>
      </c>
      <c r="AA142" s="28" t="s">
        <v>116</v>
      </c>
      <c r="AB142" t="s">
        <v>166</v>
      </c>
      <c r="AC142" t="s">
        <v>167</v>
      </c>
      <c r="AD142" t="s">
        <v>168</v>
      </c>
      <c r="AK142" t="str">
        <f t="shared" ref="AK142:AK187" si="114">IF(AB142=1, K142, IF(AB142=0, -1,""))</f>
        <v/>
      </c>
      <c r="AL142" t="str">
        <f t="shared" ref="AL142:AL187" si="115">IF(AC142=1, L142, IF(AC142=0, -1,""))</f>
        <v/>
      </c>
      <c r="AM142" t="str">
        <f t="shared" ref="AM142:AM187" si="116">IF(AD142=1, M142, IF(AD142=0, -1,""))</f>
        <v/>
      </c>
    </row>
    <row r="143" spans="3:39" x14ac:dyDescent="0.35">
      <c r="D143" t="s">
        <v>30</v>
      </c>
      <c r="E143" t="s">
        <v>38</v>
      </c>
      <c r="G143" s="4">
        <v>0.27726224344615541</v>
      </c>
      <c r="H143" s="4">
        <v>0.33121597140630638</v>
      </c>
      <c r="I143" s="4">
        <v>0.39152178514753805</v>
      </c>
      <c r="K143">
        <v>2.34</v>
      </c>
      <c r="L143">
        <v>3.52</v>
      </c>
      <c r="M143">
        <v>3.45</v>
      </c>
      <c r="N143" s="4">
        <v>0.42735042735042739</v>
      </c>
      <c r="O143" s="4">
        <v>0.28409090909090912</v>
      </c>
      <c r="P143" s="4">
        <v>0.28985507246376813</v>
      </c>
      <c r="R143" t="s">
        <v>103</v>
      </c>
      <c r="S143">
        <v>1</v>
      </c>
      <c r="T143">
        <v>0</v>
      </c>
      <c r="V143" t="s">
        <v>105</v>
      </c>
      <c r="W143">
        <v>0</v>
      </c>
      <c r="X143" s="28">
        <v>0.6</v>
      </c>
      <c r="Z143" t="s">
        <v>117</v>
      </c>
      <c r="AA143" s="28">
        <v>0.16666666666666666</v>
      </c>
      <c r="AB143" t="str">
        <f>IF(V143=$G$5, IF(W143=$R$2, 1,0), "")</f>
        <v/>
      </c>
      <c r="AC143" t="str">
        <f>IF(V143=$H$5, IF(W143=$R$2, 1,0), "")</f>
        <v/>
      </c>
      <c r="AD143">
        <f>IF(V143=$I$5, IF(W143=$R$2, 1,0), "")</f>
        <v>0</v>
      </c>
      <c r="AE143" t="str">
        <f>IF(MAX(N143:P143)=N143,$N$5,IF(MAX(N143:P143)=O143,$O$5,$P$5))</f>
        <v>H</v>
      </c>
      <c r="AF143">
        <f>IF(AE143=R143, $R$2,$R$3)</f>
        <v>1</v>
      </c>
      <c r="AG143" s="28">
        <f>COUNTIF(AF143:AF152, $R$2)/COUNT(AF143:AF152)</f>
        <v>0.7</v>
      </c>
      <c r="AH143">
        <f>IF(AE143=$G$5, IF(AF143=$R$2, 1,0), "")</f>
        <v>1</v>
      </c>
      <c r="AI143" t="str">
        <f>IF(AE143=$H$5, IF(AF143=$R$2, 1,0), "")</f>
        <v/>
      </c>
      <c r="AJ143" t="str">
        <f>IF(AE143=$I$5, IF(AF143=$R$2, 1,0), "")</f>
        <v/>
      </c>
      <c r="AK143" t="str">
        <f>IF(AB143=1, K143-1, IF(AB143=0, -1,""))</f>
        <v/>
      </c>
      <c r="AL143" t="str">
        <f t="shared" ref="AL143:AL152" si="117">IF(AC143=1, L143-1, IF(AC143=0, -1,""))</f>
        <v/>
      </c>
      <c r="AM143">
        <f t="shared" ref="AM143:AM152" si="118">IF(AD143=1, M143-1, IF(AD143=0, -1,""))</f>
        <v>-1</v>
      </c>
    </row>
    <row r="144" spans="3:39" x14ac:dyDescent="0.35">
      <c r="D144" t="s">
        <v>32</v>
      </c>
      <c r="E144" t="s">
        <v>36</v>
      </c>
      <c r="G144" s="4">
        <v>0.11797251091372826</v>
      </c>
      <c r="H144" s="4">
        <v>0.22047448560392124</v>
      </c>
      <c r="I144" s="4">
        <v>0.66155300348235047</v>
      </c>
      <c r="K144">
        <v>13</v>
      </c>
      <c r="L144">
        <v>7</v>
      </c>
      <c r="M144">
        <v>1.28</v>
      </c>
      <c r="N144" s="4">
        <v>7.6923076923076927E-2</v>
      </c>
      <c r="O144" s="4">
        <v>0.14285714285714285</v>
      </c>
      <c r="P144" s="4">
        <v>0.78125</v>
      </c>
      <c r="R144" t="s">
        <v>105</v>
      </c>
      <c r="S144">
        <v>1</v>
      </c>
      <c r="T144">
        <v>4</v>
      </c>
      <c r="V144" t="s">
        <v>105</v>
      </c>
      <c r="W144">
        <v>1</v>
      </c>
      <c r="Z144">
        <v>0</v>
      </c>
      <c r="AA144" s="29" t="s">
        <v>117</v>
      </c>
      <c r="AB144" t="str">
        <f t="shared" ref="AB144:AB152" si="119">IF(V144=$G$5, IF(W144=$R$2, 1,0), "")</f>
        <v/>
      </c>
      <c r="AC144" t="str">
        <f t="shared" ref="AC144:AC152" si="120">IF(V144=$H$5, IF(W144=$R$2, 1,0), "")</f>
        <v/>
      </c>
      <c r="AD144">
        <f t="shared" ref="AD144:AD152" si="121">IF(V144=$I$5, IF(W144=$R$2, 1,0), "")</f>
        <v>1</v>
      </c>
      <c r="AE144" t="str">
        <f t="shared" ref="AE144:AE152" si="122">IF(MAX(N144:P144)=N144,$N$5,IF(MAX(N144:P144)=O144,$O$5,$P$5))</f>
        <v>A</v>
      </c>
      <c r="AF144">
        <f t="shared" ref="AF144:AF152" si="123">IF(AE144=R144, $R$2,$R$3)</f>
        <v>1</v>
      </c>
      <c r="AH144" t="str">
        <f t="shared" ref="AH144:AH152" si="124">IF(AE144=$G$5, IF(AF144=$R$2, 1,0), "")</f>
        <v/>
      </c>
      <c r="AI144" t="str">
        <f t="shared" ref="AI144:AI152" si="125">IF(AE144=$H$5, IF(AF144=$R$2, 1,0), "")</f>
        <v/>
      </c>
      <c r="AJ144">
        <f t="shared" ref="AJ144:AJ152" si="126">IF(AE144=$I$5, IF(AF144=$R$2, 1,0), "")</f>
        <v>1</v>
      </c>
      <c r="AK144" t="str">
        <f t="shared" ref="AK144:AK152" si="127">IF(AB144=1, K144-1, IF(AB144=0, -1,""))</f>
        <v/>
      </c>
      <c r="AL144" t="str">
        <f t="shared" si="117"/>
        <v/>
      </c>
      <c r="AM144">
        <f t="shared" si="118"/>
        <v>0.28000000000000003</v>
      </c>
    </row>
    <row r="145" spans="3:39" x14ac:dyDescent="0.35">
      <c r="D145" t="s">
        <v>49</v>
      </c>
      <c r="E145" t="s">
        <v>43</v>
      </c>
      <c r="G145" s="4">
        <v>0.39967406528264338</v>
      </c>
      <c r="H145" s="4">
        <v>0.32295621858967571</v>
      </c>
      <c r="I145" s="4">
        <v>0.27736971612768119</v>
      </c>
      <c r="K145">
        <v>1.82</v>
      </c>
      <c r="L145">
        <v>3.85</v>
      </c>
      <c r="M145">
        <v>5.05</v>
      </c>
      <c r="N145" s="4">
        <v>0.54945054945054939</v>
      </c>
      <c r="O145" s="4">
        <v>0.25974025974025972</v>
      </c>
      <c r="P145" s="4">
        <v>0.19801980198019803</v>
      </c>
      <c r="R145" t="s">
        <v>103</v>
      </c>
      <c r="S145">
        <v>2</v>
      </c>
      <c r="T145">
        <v>0</v>
      </c>
      <c r="V145" t="s">
        <v>103</v>
      </c>
      <c r="W145">
        <v>1</v>
      </c>
      <c r="Z145">
        <v>0</v>
      </c>
      <c r="AB145">
        <f t="shared" si="119"/>
        <v>1</v>
      </c>
      <c r="AC145" t="str">
        <f t="shared" si="120"/>
        <v/>
      </c>
      <c r="AD145" t="str">
        <f t="shared" si="121"/>
        <v/>
      </c>
      <c r="AE145" t="str">
        <f t="shared" si="122"/>
        <v>H</v>
      </c>
      <c r="AF145">
        <f t="shared" si="123"/>
        <v>1</v>
      </c>
      <c r="AH145">
        <f t="shared" si="124"/>
        <v>1</v>
      </c>
      <c r="AI145" t="str">
        <f t="shared" si="125"/>
        <v/>
      </c>
      <c r="AJ145" t="str">
        <f t="shared" si="126"/>
        <v/>
      </c>
      <c r="AK145">
        <f t="shared" si="127"/>
        <v>0.82000000000000006</v>
      </c>
      <c r="AL145" t="str">
        <f t="shared" si="117"/>
        <v/>
      </c>
      <c r="AM145" t="str">
        <f t="shared" si="118"/>
        <v/>
      </c>
    </row>
    <row r="146" spans="3:39" x14ac:dyDescent="0.35">
      <c r="D146" t="s">
        <v>25</v>
      </c>
      <c r="E146" t="s">
        <v>35</v>
      </c>
      <c r="G146" s="4">
        <v>0.50335123789382041</v>
      </c>
      <c r="H146" s="4">
        <v>0.31426765606434653</v>
      </c>
      <c r="I146" s="4">
        <v>0.18238110604183286</v>
      </c>
      <c r="K146">
        <v>1.4</v>
      </c>
      <c r="L146">
        <v>5.6</v>
      </c>
      <c r="M146">
        <v>10.5</v>
      </c>
      <c r="N146" s="4">
        <v>0.7142857142857143</v>
      </c>
      <c r="O146" s="4">
        <v>0.17857142857142858</v>
      </c>
      <c r="P146" s="4">
        <v>9.5238095238095233E-2</v>
      </c>
      <c r="R146" t="s">
        <v>103</v>
      </c>
      <c r="S146">
        <v>2</v>
      </c>
      <c r="T146">
        <v>0</v>
      </c>
      <c r="V146" t="s">
        <v>103</v>
      </c>
      <c r="W146">
        <v>1</v>
      </c>
      <c r="Z146">
        <v>0</v>
      </c>
      <c r="AB146">
        <f t="shared" si="119"/>
        <v>1</v>
      </c>
      <c r="AC146" t="str">
        <f t="shared" si="120"/>
        <v/>
      </c>
      <c r="AD146" t="str">
        <f t="shared" si="121"/>
        <v/>
      </c>
      <c r="AE146" t="str">
        <f t="shared" si="122"/>
        <v>H</v>
      </c>
      <c r="AF146">
        <f t="shared" si="123"/>
        <v>1</v>
      </c>
      <c r="AH146">
        <f t="shared" si="124"/>
        <v>1</v>
      </c>
      <c r="AI146" t="str">
        <f t="shared" si="125"/>
        <v/>
      </c>
      <c r="AJ146" t="str">
        <f t="shared" si="126"/>
        <v/>
      </c>
      <c r="AK146">
        <f t="shared" si="127"/>
        <v>0.39999999999999991</v>
      </c>
      <c r="AL146" t="str">
        <f t="shared" si="117"/>
        <v/>
      </c>
      <c r="AM146" t="str">
        <f t="shared" si="118"/>
        <v/>
      </c>
    </row>
    <row r="147" spans="3:39" x14ac:dyDescent="0.35">
      <c r="D147" t="s">
        <v>39</v>
      </c>
      <c r="E147" t="s">
        <v>29</v>
      </c>
      <c r="G147" s="4">
        <v>0.42152927212805147</v>
      </c>
      <c r="H147" s="4">
        <v>0.29596834329738669</v>
      </c>
      <c r="I147" s="4">
        <v>0.28250238457456167</v>
      </c>
      <c r="K147">
        <v>2.77</v>
      </c>
      <c r="L147">
        <v>3.6</v>
      </c>
      <c r="M147">
        <v>2.7</v>
      </c>
      <c r="N147" s="4">
        <v>0.36101083032490977</v>
      </c>
      <c r="O147" s="4">
        <v>0.27777777777777779</v>
      </c>
      <c r="P147" s="4">
        <v>0.37037037037037035</v>
      </c>
      <c r="R147" t="s">
        <v>103</v>
      </c>
      <c r="S147">
        <v>2</v>
      </c>
      <c r="T147">
        <v>1</v>
      </c>
      <c r="V147" t="s">
        <v>103</v>
      </c>
      <c r="W147">
        <v>1</v>
      </c>
      <c r="Z147">
        <v>1</v>
      </c>
      <c r="AB147">
        <f t="shared" si="119"/>
        <v>1</v>
      </c>
      <c r="AC147" t="str">
        <f t="shared" si="120"/>
        <v/>
      </c>
      <c r="AD147" t="str">
        <f t="shared" si="121"/>
        <v/>
      </c>
      <c r="AE147" t="str">
        <f t="shared" si="122"/>
        <v>A</v>
      </c>
      <c r="AF147">
        <f t="shared" si="123"/>
        <v>0</v>
      </c>
      <c r="AH147" t="str">
        <f t="shared" si="124"/>
        <v/>
      </c>
      <c r="AI147" t="str">
        <f t="shared" si="125"/>
        <v/>
      </c>
      <c r="AJ147">
        <f t="shared" si="126"/>
        <v>0</v>
      </c>
      <c r="AK147">
        <f t="shared" si="127"/>
        <v>1.77</v>
      </c>
      <c r="AL147" t="str">
        <f t="shared" si="117"/>
        <v/>
      </c>
      <c r="AM147" t="str">
        <f t="shared" si="118"/>
        <v/>
      </c>
    </row>
    <row r="148" spans="3:39" x14ac:dyDescent="0.35">
      <c r="D148" t="s">
        <v>42</v>
      </c>
      <c r="E148" t="s">
        <v>52</v>
      </c>
      <c r="G148" s="4">
        <v>0.65184926408284838</v>
      </c>
      <c r="H148" s="4">
        <v>0.21851323240483522</v>
      </c>
      <c r="I148" s="4">
        <v>0.12963750351231651</v>
      </c>
      <c r="K148">
        <v>1.33</v>
      </c>
      <c r="L148">
        <v>6.2</v>
      </c>
      <c r="M148">
        <v>11.25</v>
      </c>
      <c r="N148" s="4">
        <v>0.75187969924812026</v>
      </c>
      <c r="O148" s="4">
        <v>0.16129032258064516</v>
      </c>
      <c r="P148" s="4">
        <v>8.8888888888888892E-2</v>
      </c>
      <c r="R148" t="s">
        <v>103</v>
      </c>
      <c r="S148">
        <v>2</v>
      </c>
      <c r="T148">
        <v>1</v>
      </c>
      <c r="V148" t="s">
        <v>103</v>
      </c>
      <c r="W148">
        <v>1</v>
      </c>
      <c r="Z148">
        <v>0</v>
      </c>
      <c r="AB148">
        <f t="shared" si="119"/>
        <v>1</v>
      </c>
      <c r="AC148" t="str">
        <f t="shared" si="120"/>
        <v/>
      </c>
      <c r="AD148" t="str">
        <f t="shared" si="121"/>
        <v/>
      </c>
      <c r="AE148" t="str">
        <f t="shared" si="122"/>
        <v>H</v>
      </c>
      <c r="AF148">
        <f t="shared" si="123"/>
        <v>1</v>
      </c>
      <c r="AH148">
        <f t="shared" si="124"/>
        <v>1</v>
      </c>
      <c r="AI148" t="str">
        <f t="shared" si="125"/>
        <v/>
      </c>
      <c r="AJ148" t="str">
        <f t="shared" si="126"/>
        <v/>
      </c>
      <c r="AK148">
        <f t="shared" si="127"/>
        <v>0.33000000000000007</v>
      </c>
      <c r="AL148" t="str">
        <f t="shared" si="117"/>
        <v/>
      </c>
      <c r="AM148" t="str">
        <f t="shared" si="118"/>
        <v/>
      </c>
    </row>
    <row r="149" spans="3:39" x14ac:dyDescent="0.35">
      <c r="D149" t="s">
        <v>34</v>
      </c>
      <c r="E149" t="s">
        <v>50</v>
      </c>
      <c r="G149" s="4">
        <v>0.34119271689523528</v>
      </c>
      <c r="H149" s="4">
        <v>0.34725751370778224</v>
      </c>
      <c r="I149" s="4">
        <v>0.31154976939698231</v>
      </c>
      <c r="K149">
        <v>1.85</v>
      </c>
      <c r="L149">
        <v>4.1500000000000004</v>
      </c>
      <c r="M149">
        <v>4.5999999999999996</v>
      </c>
      <c r="N149" s="4">
        <v>0.54054054054054046</v>
      </c>
      <c r="O149" s="4">
        <v>0.24096385542168672</v>
      </c>
      <c r="P149" s="4">
        <v>0.21739130434782611</v>
      </c>
      <c r="R149" t="s">
        <v>103</v>
      </c>
      <c r="S149">
        <v>2</v>
      </c>
      <c r="T149">
        <v>1</v>
      </c>
      <c r="V149" t="s">
        <v>104</v>
      </c>
      <c r="W149">
        <v>0</v>
      </c>
      <c r="Z149" t="s">
        <v>117</v>
      </c>
      <c r="AB149" t="str">
        <f t="shared" si="119"/>
        <v/>
      </c>
      <c r="AC149">
        <f t="shared" si="120"/>
        <v>0</v>
      </c>
      <c r="AD149" t="str">
        <f t="shared" si="121"/>
        <v/>
      </c>
      <c r="AE149" t="str">
        <f t="shared" si="122"/>
        <v>H</v>
      </c>
      <c r="AF149">
        <f t="shared" si="123"/>
        <v>1</v>
      </c>
      <c r="AH149">
        <f t="shared" si="124"/>
        <v>1</v>
      </c>
      <c r="AI149" t="str">
        <f t="shared" si="125"/>
        <v/>
      </c>
      <c r="AJ149" t="str">
        <f t="shared" si="126"/>
        <v/>
      </c>
      <c r="AK149" t="str">
        <f t="shared" si="127"/>
        <v/>
      </c>
      <c r="AL149">
        <f t="shared" si="117"/>
        <v>-1</v>
      </c>
      <c r="AM149" t="str">
        <f t="shared" si="118"/>
        <v/>
      </c>
    </row>
    <row r="150" spans="3:39" x14ac:dyDescent="0.35">
      <c r="D150" t="s">
        <v>41</v>
      </c>
      <c r="E150" t="s">
        <v>28</v>
      </c>
      <c r="G150" s="4">
        <v>0.54374295272473894</v>
      </c>
      <c r="H150" s="4">
        <v>0.2896263561176336</v>
      </c>
      <c r="I150" s="4">
        <v>0.16663069115762774</v>
      </c>
      <c r="K150">
        <v>1.42</v>
      </c>
      <c r="L150">
        <v>5.25</v>
      </c>
      <c r="M150">
        <v>9.15</v>
      </c>
      <c r="N150" s="4">
        <v>0.70422535211267612</v>
      </c>
      <c r="O150" s="4">
        <v>0.19047619047619047</v>
      </c>
      <c r="P150" s="4">
        <v>0.10928961748633879</v>
      </c>
      <c r="R150" t="s">
        <v>103</v>
      </c>
      <c r="S150">
        <v>5</v>
      </c>
      <c r="T150">
        <v>2</v>
      </c>
      <c r="V150" t="s">
        <v>103</v>
      </c>
      <c r="W150">
        <v>1</v>
      </c>
      <c r="Z150">
        <v>0</v>
      </c>
      <c r="AB150">
        <f t="shared" si="119"/>
        <v>1</v>
      </c>
      <c r="AC150" t="str">
        <f t="shared" si="120"/>
        <v/>
      </c>
      <c r="AD150" t="str">
        <f t="shared" si="121"/>
        <v/>
      </c>
      <c r="AE150" t="str">
        <f t="shared" si="122"/>
        <v>H</v>
      </c>
      <c r="AF150">
        <f t="shared" si="123"/>
        <v>1</v>
      </c>
      <c r="AH150">
        <f t="shared" si="124"/>
        <v>1</v>
      </c>
      <c r="AI150" t="str">
        <f t="shared" si="125"/>
        <v/>
      </c>
      <c r="AJ150" t="str">
        <f t="shared" si="126"/>
        <v/>
      </c>
      <c r="AK150">
        <f t="shared" si="127"/>
        <v>0.41999999999999993</v>
      </c>
      <c r="AL150" t="str">
        <f t="shared" si="117"/>
        <v/>
      </c>
      <c r="AM150" t="str">
        <f t="shared" si="118"/>
        <v/>
      </c>
    </row>
    <row r="151" spans="3:39" x14ac:dyDescent="0.35">
      <c r="D151" t="s">
        <v>51</v>
      </c>
      <c r="E151" t="s">
        <v>46</v>
      </c>
      <c r="G151" s="4">
        <v>0.49998535673247974</v>
      </c>
      <c r="H151" s="4">
        <v>0.32977084779694615</v>
      </c>
      <c r="I151" s="4">
        <v>0.17024379547057431</v>
      </c>
      <c r="K151">
        <v>1.95</v>
      </c>
      <c r="L151">
        <v>3.56</v>
      </c>
      <c r="M151">
        <v>4.8499999999999996</v>
      </c>
      <c r="N151" s="4">
        <v>0.51282051282051289</v>
      </c>
      <c r="O151" s="4">
        <v>0.2808988764044944</v>
      </c>
      <c r="P151" s="4">
        <v>0.2061855670103093</v>
      </c>
      <c r="R151" t="s">
        <v>105</v>
      </c>
      <c r="S151">
        <v>0</v>
      </c>
      <c r="T151">
        <v>2</v>
      </c>
      <c r="V151" t="s">
        <v>103</v>
      </c>
      <c r="W151">
        <v>0</v>
      </c>
      <c r="Z151" t="s">
        <v>117</v>
      </c>
      <c r="AB151">
        <f t="shared" si="119"/>
        <v>0</v>
      </c>
      <c r="AC151" t="str">
        <f t="shared" si="120"/>
        <v/>
      </c>
      <c r="AD151" t="str">
        <f t="shared" si="121"/>
        <v/>
      </c>
      <c r="AE151" t="str">
        <f t="shared" si="122"/>
        <v>H</v>
      </c>
      <c r="AF151">
        <f t="shared" si="123"/>
        <v>0</v>
      </c>
      <c r="AH151">
        <f t="shared" si="124"/>
        <v>0</v>
      </c>
      <c r="AI151" t="str">
        <f t="shared" si="125"/>
        <v/>
      </c>
      <c r="AJ151" t="str">
        <f t="shared" si="126"/>
        <v/>
      </c>
      <c r="AK151">
        <f t="shared" si="127"/>
        <v>-1</v>
      </c>
      <c r="AL151" t="str">
        <f t="shared" si="117"/>
        <v/>
      </c>
      <c r="AM151" t="str">
        <f t="shared" si="118"/>
        <v/>
      </c>
    </row>
    <row r="152" spans="3:39" x14ac:dyDescent="0.35">
      <c r="D152" t="s">
        <v>40</v>
      </c>
      <c r="E152" t="s">
        <v>45</v>
      </c>
      <c r="G152" s="4">
        <v>0.52228768706449979</v>
      </c>
      <c r="H152" s="4">
        <v>0.2723560201351527</v>
      </c>
      <c r="I152" s="4">
        <v>0.20535629280034792</v>
      </c>
      <c r="K152">
        <v>1.63</v>
      </c>
      <c r="L152">
        <v>4.3499999999999996</v>
      </c>
      <c r="M152">
        <v>5.85</v>
      </c>
      <c r="N152" s="4">
        <v>0.61349693251533743</v>
      </c>
      <c r="O152" s="4">
        <v>0.22988505747126439</v>
      </c>
      <c r="P152" s="4">
        <v>0.17094017094017094</v>
      </c>
      <c r="R152" t="s">
        <v>105</v>
      </c>
      <c r="S152">
        <v>1</v>
      </c>
      <c r="T152">
        <v>2</v>
      </c>
      <c r="V152" t="s">
        <v>103</v>
      </c>
      <c r="W152">
        <v>0</v>
      </c>
      <c r="Z152" t="s">
        <v>117</v>
      </c>
      <c r="AB152">
        <f t="shared" si="119"/>
        <v>0</v>
      </c>
      <c r="AC152" t="str">
        <f t="shared" si="120"/>
        <v/>
      </c>
      <c r="AD152" t="str">
        <f t="shared" si="121"/>
        <v/>
      </c>
      <c r="AE152" t="str">
        <f t="shared" si="122"/>
        <v>H</v>
      </c>
      <c r="AF152">
        <f t="shared" si="123"/>
        <v>0</v>
      </c>
      <c r="AH152">
        <f t="shared" si="124"/>
        <v>0</v>
      </c>
      <c r="AI152" t="str">
        <f t="shared" si="125"/>
        <v/>
      </c>
      <c r="AJ152" t="str">
        <f t="shared" si="126"/>
        <v/>
      </c>
      <c r="AK152">
        <f t="shared" si="127"/>
        <v>-1</v>
      </c>
      <c r="AL152" t="str">
        <f t="shared" si="117"/>
        <v/>
      </c>
      <c r="AM152" t="str">
        <f t="shared" si="118"/>
        <v/>
      </c>
    </row>
    <row r="153" spans="3:39" x14ac:dyDescent="0.35">
      <c r="AB153" s="4"/>
      <c r="AC153" s="4"/>
      <c r="AD153" s="4"/>
    </row>
    <row r="156" spans="3:39" x14ac:dyDescent="0.35">
      <c r="C156" t="s">
        <v>134</v>
      </c>
      <c r="H156" s="21" t="s">
        <v>107</v>
      </c>
      <c r="K156" s="22" t="s">
        <v>106</v>
      </c>
      <c r="N156" t="s">
        <v>108</v>
      </c>
    </row>
    <row r="157" spans="3:39" x14ac:dyDescent="0.35">
      <c r="G157" t="s">
        <v>103</v>
      </c>
      <c r="H157" t="s">
        <v>104</v>
      </c>
      <c r="I157" t="s">
        <v>105</v>
      </c>
      <c r="K157" t="s">
        <v>103</v>
      </c>
      <c r="L157" t="s">
        <v>104</v>
      </c>
      <c r="M157" t="s">
        <v>105</v>
      </c>
      <c r="N157" t="s">
        <v>103</v>
      </c>
      <c r="O157" t="s">
        <v>104</v>
      </c>
      <c r="P157" t="s">
        <v>105</v>
      </c>
      <c r="R157" t="s">
        <v>110</v>
      </c>
      <c r="V157" t="s">
        <v>112</v>
      </c>
      <c r="W157" t="s">
        <v>111</v>
      </c>
      <c r="X157" s="28" t="s">
        <v>114</v>
      </c>
      <c r="Z157" t="s">
        <v>113</v>
      </c>
      <c r="AA157" s="28" t="s">
        <v>116</v>
      </c>
      <c r="AB157" t="s">
        <v>166</v>
      </c>
      <c r="AC157" t="s">
        <v>167</v>
      </c>
      <c r="AD157" t="s">
        <v>168</v>
      </c>
      <c r="AK157" t="str">
        <f t="shared" si="114"/>
        <v/>
      </c>
      <c r="AL157" t="str">
        <f t="shared" si="115"/>
        <v/>
      </c>
      <c r="AM157" t="str">
        <f t="shared" si="116"/>
        <v/>
      </c>
    </row>
    <row r="158" spans="3:39" x14ac:dyDescent="0.35">
      <c r="D158" t="s">
        <v>28</v>
      </c>
      <c r="E158" t="s">
        <v>42</v>
      </c>
      <c r="G158" s="4">
        <v>0.24392658436304376</v>
      </c>
      <c r="H158" s="4">
        <v>0.28560248334743604</v>
      </c>
      <c r="I158" s="4">
        <v>0.47047093228952047</v>
      </c>
      <c r="K158">
        <v>3.65</v>
      </c>
      <c r="L158">
        <v>3.95</v>
      </c>
      <c r="M158">
        <v>2.08</v>
      </c>
      <c r="N158" s="4">
        <v>0.27397260273972601</v>
      </c>
      <c r="O158" s="4">
        <v>0.25316455696202528</v>
      </c>
      <c r="P158" s="4">
        <v>0.48076923076923073</v>
      </c>
      <c r="R158" t="s">
        <v>103</v>
      </c>
      <c r="S158">
        <v>3</v>
      </c>
      <c r="T158">
        <v>1</v>
      </c>
      <c r="V158" t="s">
        <v>105</v>
      </c>
      <c r="W158">
        <v>0</v>
      </c>
      <c r="X158" s="28">
        <v>0.5</v>
      </c>
      <c r="Z158" t="s">
        <v>117</v>
      </c>
      <c r="AA158" s="28">
        <v>0.2</v>
      </c>
      <c r="AB158" t="str">
        <f>IF(V158=$G$5, IF(W158=$R$2, 1,0), "")</f>
        <v/>
      </c>
      <c r="AC158" t="str">
        <f>IF(V158=$H$5, IF(W158=$R$2, 1,0), "")</f>
        <v/>
      </c>
      <c r="AD158">
        <f>IF(V158=$I$5, IF(W158=$R$2, 1,0), "")</f>
        <v>0</v>
      </c>
      <c r="AE158" t="str">
        <f>IF(MAX(N158:P158)=N158,$N$5,IF(MAX(N158:P158)=O158,$O$5,$P$5))</f>
        <v>A</v>
      </c>
      <c r="AF158">
        <f>IF(AE158=R158, $R$2,$R$3)</f>
        <v>0</v>
      </c>
      <c r="AG158" s="28">
        <f>COUNTIF(AF158:AF167, $R$2)/COUNT(AF158:AF167)</f>
        <v>0.6</v>
      </c>
      <c r="AH158" t="str">
        <f>IF(AE158=$G$5, IF(AF158=$R$2, 1,0), "")</f>
        <v/>
      </c>
      <c r="AI158" t="str">
        <f>IF(AE158=$H$5, IF(AF158=$R$2, 1,0), "")</f>
        <v/>
      </c>
      <c r="AJ158">
        <f>IF(AE158=$I$5, IF(AF158=$R$2, 1,0), "")</f>
        <v>0</v>
      </c>
      <c r="AK158" t="str">
        <f>IF(AB158=1, K158-1, IF(AB158=0, -1,""))</f>
        <v/>
      </c>
      <c r="AL158" t="str">
        <f t="shared" ref="AL158:AL167" si="128">IF(AC158=1, L158-1, IF(AC158=0, -1,""))</f>
        <v/>
      </c>
      <c r="AM158">
        <f t="shared" ref="AM158:AM167" si="129">IF(AD158=1, M158-1, IF(AD158=0, -1,""))</f>
        <v>-1</v>
      </c>
    </row>
    <row r="159" spans="3:39" x14ac:dyDescent="0.35">
      <c r="D159" t="s">
        <v>38</v>
      </c>
      <c r="E159" t="s">
        <v>41</v>
      </c>
      <c r="G159" s="4">
        <v>0.1452676255839031</v>
      </c>
      <c r="H159" s="4">
        <v>0.26917650731402293</v>
      </c>
      <c r="I159" s="4">
        <v>0.58555586710207419</v>
      </c>
      <c r="K159">
        <v>8</v>
      </c>
      <c r="L159">
        <v>5.3</v>
      </c>
      <c r="M159">
        <v>1.47</v>
      </c>
      <c r="N159" s="4">
        <v>0.125</v>
      </c>
      <c r="O159" s="4">
        <v>0.18867924528301888</v>
      </c>
      <c r="P159" s="4">
        <v>0.68027210884353739</v>
      </c>
      <c r="R159" t="s">
        <v>105</v>
      </c>
      <c r="S159">
        <v>0</v>
      </c>
      <c r="T159">
        <v>3</v>
      </c>
      <c r="V159" t="s">
        <v>105</v>
      </c>
      <c r="W159">
        <v>1</v>
      </c>
      <c r="Z159">
        <v>0</v>
      </c>
      <c r="AA159" s="29" t="s">
        <v>117</v>
      </c>
      <c r="AB159" t="str">
        <f t="shared" ref="AB159:AB167" si="130">IF(V159=$G$5, IF(W159=$R$2, 1,0), "")</f>
        <v/>
      </c>
      <c r="AC159" t="str">
        <f t="shared" ref="AC159:AC167" si="131">IF(V159=$H$5, IF(W159=$R$2, 1,0), "")</f>
        <v/>
      </c>
      <c r="AD159">
        <f t="shared" ref="AD159:AD167" si="132">IF(V159=$I$5, IF(W159=$R$2, 1,0), "")</f>
        <v>1</v>
      </c>
      <c r="AE159" t="str">
        <f t="shared" ref="AE159:AE167" si="133">IF(MAX(N159:P159)=N159,$N$5,IF(MAX(N159:P159)=O159,$O$5,$P$5))</f>
        <v>A</v>
      </c>
      <c r="AF159">
        <f t="shared" ref="AF159:AF167" si="134">IF(AE159=R159, $R$2,$R$3)</f>
        <v>1</v>
      </c>
      <c r="AH159" t="str">
        <f t="shared" ref="AH159:AH167" si="135">IF(AE159=$G$5, IF(AF159=$R$2, 1,0), "")</f>
        <v/>
      </c>
      <c r="AI159" t="str">
        <f t="shared" ref="AI159:AI167" si="136">IF(AE159=$H$5, IF(AF159=$R$2, 1,0), "")</f>
        <v/>
      </c>
      <c r="AJ159">
        <f t="shared" ref="AJ159:AJ167" si="137">IF(AE159=$I$5, IF(AF159=$R$2, 1,0), "")</f>
        <v>1</v>
      </c>
      <c r="AK159" t="str">
        <f t="shared" ref="AK159:AK167" si="138">IF(AB159=1, K159-1, IF(AB159=0, -1,""))</f>
        <v/>
      </c>
      <c r="AL159" t="str">
        <f t="shared" si="128"/>
        <v/>
      </c>
      <c r="AM159">
        <f t="shared" si="129"/>
        <v>0.47</v>
      </c>
    </row>
    <row r="160" spans="3:39" x14ac:dyDescent="0.35">
      <c r="D160" t="s">
        <v>29</v>
      </c>
      <c r="E160" t="s">
        <v>32</v>
      </c>
      <c r="G160" s="4">
        <v>0.46101432188152108</v>
      </c>
      <c r="H160" s="4">
        <v>0.3016988744391873</v>
      </c>
      <c r="I160" s="4">
        <v>0.23728680367929175</v>
      </c>
      <c r="K160">
        <v>1.45</v>
      </c>
      <c r="L160">
        <v>5</v>
      </c>
      <c r="M160">
        <v>9.1</v>
      </c>
      <c r="N160" s="4">
        <v>0.68965517241379315</v>
      </c>
      <c r="O160" s="4">
        <v>0.2</v>
      </c>
      <c r="P160" s="4">
        <v>0.10989010989010989</v>
      </c>
      <c r="R160" t="s">
        <v>103</v>
      </c>
      <c r="S160">
        <v>5</v>
      </c>
      <c r="T160">
        <v>0</v>
      </c>
      <c r="V160" t="s">
        <v>103</v>
      </c>
      <c r="W160">
        <v>1</v>
      </c>
      <c r="Z160">
        <v>0</v>
      </c>
      <c r="AB160">
        <f t="shared" si="130"/>
        <v>1</v>
      </c>
      <c r="AC160" t="str">
        <f t="shared" si="131"/>
        <v/>
      </c>
      <c r="AD160" t="str">
        <f t="shared" si="132"/>
        <v/>
      </c>
      <c r="AE160" t="str">
        <f t="shared" si="133"/>
        <v>H</v>
      </c>
      <c r="AF160">
        <f t="shared" si="134"/>
        <v>1</v>
      </c>
      <c r="AH160">
        <f t="shared" si="135"/>
        <v>1</v>
      </c>
      <c r="AI160" t="str">
        <f t="shared" si="136"/>
        <v/>
      </c>
      <c r="AJ160" t="str">
        <f t="shared" si="137"/>
        <v/>
      </c>
      <c r="AK160">
        <f t="shared" si="138"/>
        <v>0.44999999999999996</v>
      </c>
      <c r="AL160" t="str">
        <f t="shared" si="128"/>
        <v/>
      </c>
      <c r="AM160" t="str">
        <f t="shared" si="129"/>
        <v/>
      </c>
    </row>
    <row r="161" spans="3:39" x14ac:dyDescent="0.35">
      <c r="D161" t="s">
        <v>35</v>
      </c>
      <c r="E161" t="s">
        <v>30</v>
      </c>
      <c r="G161" s="4">
        <v>0.28265352372857139</v>
      </c>
      <c r="H161" s="4">
        <v>0.31477741014118304</v>
      </c>
      <c r="I161" s="4">
        <v>0.40256906613024573</v>
      </c>
      <c r="K161">
        <v>2.5</v>
      </c>
      <c r="L161">
        <v>3.45</v>
      </c>
      <c r="M161">
        <v>3.22</v>
      </c>
      <c r="N161" s="4">
        <v>0.4</v>
      </c>
      <c r="O161" s="4">
        <v>0.28985507246376813</v>
      </c>
      <c r="P161" s="4">
        <v>0.3105590062111801</v>
      </c>
      <c r="R161" t="s">
        <v>104</v>
      </c>
      <c r="S161">
        <v>0</v>
      </c>
      <c r="T161">
        <v>0</v>
      </c>
      <c r="V161" t="s">
        <v>105</v>
      </c>
      <c r="W161">
        <v>0</v>
      </c>
      <c r="Z161" t="s">
        <v>117</v>
      </c>
      <c r="AB161" t="str">
        <f t="shared" si="130"/>
        <v/>
      </c>
      <c r="AC161" t="str">
        <f t="shared" si="131"/>
        <v/>
      </c>
      <c r="AD161">
        <f t="shared" si="132"/>
        <v>0</v>
      </c>
      <c r="AE161" t="str">
        <f t="shared" si="133"/>
        <v>H</v>
      </c>
      <c r="AF161">
        <f t="shared" si="134"/>
        <v>0</v>
      </c>
      <c r="AH161">
        <f t="shared" si="135"/>
        <v>0</v>
      </c>
      <c r="AI161" t="str">
        <f t="shared" si="136"/>
        <v/>
      </c>
      <c r="AJ161" t="str">
        <f t="shared" si="137"/>
        <v/>
      </c>
      <c r="AK161" t="str">
        <f t="shared" si="138"/>
        <v/>
      </c>
      <c r="AL161" t="str">
        <f t="shared" si="128"/>
        <v/>
      </c>
      <c r="AM161">
        <f t="shared" si="129"/>
        <v>-1</v>
      </c>
    </row>
    <row r="162" spans="3:39" x14ac:dyDescent="0.35">
      <c r="D162" t="s">
        <v>36</v>
      </c>
      <c r="E162" t="s">
        <v>39</v>
      </c>
      <c r="G162" s="4">
        <v>0.57419400329023207</v>
      </c>
      <c r="H162" s="4">
        <v>0.2572967781656173</v>
      </c>
      <c r="I162" s="4">
        <v>0.16850921854415044</v>
      </c>
      <c r="K162">
        <v>1.35</v>
      </c>
      <c r="L162">
        <v>6.05</v>
      </c>
      <c r="M162">
        <v>11</v>
      </c>
      <c r="N162" s="4">
        <v>0.7407407407407407</v>
      </c>
      <c r="O162" s="4">
        <v>0.16528925619834711</v>
      </c>
      <c r="P162" s="4">
        <v>9.0909090909090912E-2</v>
      </c>
      <c r="R162" t="s">
        <v>105</v>
      </c>
      <c r="S162">
        <v>1</v>
      </c>
      <c r="T162">
        <v>2</v>
      </c>
      <c r="V162" t="s">
        <v>103</v>
      </c>
      <c r="W162">
        <v>0</v>
      </c>
      <c r="Z162" t="s">
        <v>117</v>
      </c>
      <c r="AB162">
        <f t="shared" si="130"/>
        <v>0</v>
      </c>
      <c r="AC162" t="str">
        <f t="shared" si="131"/>
        <v/>
      </c>
      <c r="AD162" t="str">
        <f t="shared" si="132"/>
        <v/>
      </c>
      <c r="AE162" t="str">
        <f t="shared" si="133"/>
        <v>H</v>
      </c>
      <c r="AF162">
        <f t="shared" si="134"/>
        <v>0</v>
      </c>
      <c r="AH162">
        <f t="shared" si="135"/>
        <v>0</v>
      </c>
      <c r="AI162" t="str">
        <f t="shared" si="136"/>
        <v/>
      </c>
      <c r="AJ162" t="str">
        <f t="shared" si="137"/>
        <v/>
      </c>
      <c r="AK162">
        <f t="shared" si="138"/>
        <v>-1</v>
      </c>
      <c r="AL162" t="str">
        <f t="shared" si="128"/>
        <v/>
      </c>
      <c r="AM162" t="str">
        <f t="shared" si="129"/>
        <v/>
      </c>
    </row>
    <row r="163" spans="3:39" x14ac:dyDescent="0.35">
      <c r="D163" t="s">
        <v>50</v>
      </c>
      <c r="E163" t="s">
        <v>51</v>
      </c>
      <c r="G163" s="4">
        <v>0.20715658275200935</v>
      </c>
      <c r="H163" s="4">
        <v>0.27643809204205416</v>
      </c>
      <c r="I163" s="4">
        <v>0.51640532520593641</v>
      </c>
      <c r="K163">
        <v>3.3</v>
      </c>
      <c r="L163">
        <v>3.58</v>
      </c>
      <c r="M163">
        <v>2.6</v>
      </c>
      <c r="N163" s="4">
        <v>0.30303030303030304</v>
      </c>
      <c r="O163" s="4">
        <v>0.27932960893854747</v>
      </c>
      <c r="P163" s="4">
        <v>0.38461538461538458</v>
      </c>
      <c r="R163" t="s">
        <v>105</v>
      </c>
      <c r="S163">
        <v>1</v>
      </c>
      <c r="T163">
        <v>2</v>
      </c>
      <c r="V163" t="s">
        <v>105</v>
      </c>
      <c r="W163">
        <v>1</v>
      </c>
      <c r="Z163">
        <v>1</v>
      </c>
      <c r="AB163" t="str">
        <f t="shared" si="130"/>
        <v/>
      </c>
      <c r="AC163" t="str">
        <f t="shared" si="131"/>
        <v/>
      </c>
      <c r="AD163">
        <f t="shared" si="132"/>
        <v>1</v>
      </c>
      <c r="AE163" t="str">
        <f t="shared" si="133"/>
        <v>A</v>
      </c>
      <c r="AF163">
        <f t="shared" si="134"/>
        <v>1</v>
      </c>
      <c r="AH163" t="str">
        <f t="shared" si="135"/>
        <v/>
      </c>
      <c r="AI163" t="str">
        <f t="shared" si="136"/>
        <v/>
      </c>
      <c r="AJ163">
        <f t="shared" si="137"/>
        <v>1</v>
      </c>
      <c r="AK163" t="str">
        <f t="shared" si="138"/>
        <v/>
      </c>
      <c r="AL163" t="str">
        <f t="shared" si="128"/>
        <v/>
      </c>
      <c r="AM163">
        <f t="shared" si="129"/>
        <v>1.6</v>
      </c>
    </row>
    <row r="164" spans="3:39" x14ac:dyDescent="0.35">
      <c r="D164" t="s">
        <v>46</v>
      </c>
      <c r="E164" t="s">
        <v>34</v>
      </c>
      <c r="G164" s="4">
        <v>0.22836613073831324</v>
      </c>
      <c r="H164" s="4">
        <v>0.32734766702930301</v>
      </c>
      <c r="I164" s="4">
        <v>0.4442862022323838</v>
      </c>
      <c r="K164">
        <v>2.7</v>
      </c>
      <c r="L164">
        <v>3.32</v>
      </c>
      <c r="M164">
        <v>3.1</v>
      </c>
      <c r="N164" s="4">
        <v>0.37037037037037035</v>
      </c>
      <c r="O164" s="4">
        <v>0.30120481927710846</v>
      </c>
      <c r="P164" s="4">
        <v>0.32258064516129031</v>
      </c>
      <c r="R164" t="s">
        <v>103</v>
      </c>
      <c r="S164">
        <v>2</v>
      </c>
      <c r="T164">
        <v>1</v>
      </c>
      <c r="V164" t="s">
        <v>105</v>
      </c>
      <c r="W164">
        <v>0</v>
      </c>
      <c r="Z164" t="s">
        <v>117</v>
      </c>
      <c r="AB164" t="str">
        <f t="shared" si="130"/>
        <v/>
      </c>
      <c r="AC164" t="str">
        <f t="shared" si="131"/>
        <v/>
      </c>
      <c r="AD164">
        <f t="shared" si="132"/>
        <v>0</v>
      </c>
      <c r="AE164" t="str">
        <f t="shared" si="133"/>
        <v>H</v>
      </c>
      <c r="AF164">
        <f t="shared" si="134"/>
        <v>1</v>
      </c>
      <c r="AH164">
        <f t="shared" si="135"/>
        <v>1</v>
      </c>
      <c r="AI164" t="str">
        <f t="shared" si="136"/>
        <v/>
      </c>
      <c r="AJ164" t="str">
        <f t="shared" si="137"/>
        <v/>
      </c>
      <c r="AK164" t="str">
        <f t="shared" si="138"/>
        <v/>
      </c>
      <c r="AL164" t="str">
        <f t="shared" si="128"/>
        <v/>
      </c>
      <c r="AM164">
        <f t="shared" si="129"/>
        <v>-1</v>
      </c>
    </row>
    <row r="165" spans="3:39" x14ac:dyDescent="0.35">
      <c r="D165" t="s">
        <v>52</v>
      </c>
      <c r="E165" t="s">
        <v>25</v>
      </c>
      <c r="G165" s="4">
        <v>0.20971167439734201</v>
      </c>
      <c r="H165" s="4">
        <v>0.28972547282421607</v>
      </c>
      <c r="I165" s="4">
        <v>0.50056285277844215</v>
      </c>
      <c r="K165">
        <v>4.5</v>
      </c>
      <c r="L165">
        <v>4.07</v>
      </c>
      <c r="M165">
        <v>1.9</v>
      </c>
      <c r="N165" s="4">
        <v>0.22222222222222221</v>
      </c>
      <c r="O165" s="4">
        <v>0.24570024570024568</v>
      </c>
      <c r="P165" s="4">
        <v>0.52631578947368418</v>
      </c>
      <c r="R165" t="s">
        <v>105</v>
      </c>
      <c r="S165">
        <v>1</v>
      </c>
      <c r="T165">
        <v>4</v>
      </c>
      <c r="V165" t="s">
        <v>105</v>
      </c>
      <c r="W165">
        <v>1</v>
      </c>
      <c r="Z165">
        <v>0</v>
      </c>
      <c r="AB165" t="str">
        <f t="shared" si="130"/>
        <v/>
      </c>
      <c r="AC165" t="str">
        <f t="shared" si="131"/>
        <v/>
      </c>
      <c r="AD165">
        <f t="shared" si="132"/>
        <v>1</v>
      </c>
      <c r="AE165" t="str">
        <f t="shared" si="133"/>
        <v>A</v>
      </c>
      <c r="AF165">
        <f t="shared" si="134"/>
        <v>1</v>
      </c>
      <c r="AH165" t="str">
        <f t="shared" si="135"/>
        <v/>
      </c>
      <c r="AI165" t="str">
        <f t="shared" si="136"/>
        <v/>
      </c>
      <c r="AJ165">
        <f t="shared" si="137"/>
        <v>1</v>
      </c>
      <c r="AK165" t="str">
        <f t="shared" si="138"/>
        <v/>
      </c>
      <c r="AL165" t="str">
        <f t="shared" si="128"/>
        <v/>
      </c>
      <c r="AM165">
        <f t="shared" si="129"/>
        <v>0.89999999999999991</v>
      </c>
    </row>
    <row r="166" spans="3:39" x14ac:dyDescent="0.35">
      <c r="D166" t="s">
        <v>45</v>
      </c>
      <c r="E166" t="s">
        <v>49</v>
      </c>
      <c r="G166" s="4">
        <v>0.23411323917449472</v>
      </c>
      <c r="H166" s="4">
        <v>0.35360808253894743</v>
      </c>
      <c r="I166" s="4">
        <v>0.41227867828655818</v>
      </c>
      <c r="K166">
        <v>2.8</v>
      </c>
      <c r="L166">
        <v>3.25</v>
      </c>
      <c r="M166">
        <v>2.95</v>
      </c>
      <c r="N166" s="4">
        <v>0.35714285714285715</v>
      </c>
      <c r="O166" s="4">
        <v>0.30769230769230771</v>
      </c>
      <c r="P166" s="4">
        <v>0.33898305084745761</v>
      </c>
      <c r="R166" t="s">
        <v>104</v>
      </c>
      <c r="S166">
        <v>2</v>
      </c>
      <c r="T166">
        <v>2</v>
      </c>
      <c r="V166" t="s">
        <v>105</v>
      </c>
      <c r="W166">
        <v>0</v>
      </c>
      <c r="Z166" t="s">
        <v>117</v>
      </c>
      <c r="AB166" t="str">
        <f t="shared" si="130"/>
        <v/>
      </c>
      <c r="AC166" t="str">
        <f t="shared" si="131"/>
        <v/>
      </c>
      <c r="AD166">
        <f t="shared" si="132"/>
        <v>0</v>
      </c>
      <c r="AE166" t="str">
        <f t="shared" si="133"/>
        <v>H</v>
      </c>
      <c r="AF166">
        <f t="shared" si="134"/>
        <v>0</v>
      </c>
      <c r="AH166">
        <f t="shared" si="135"/>
        <v>0</v>
      </c>
      <c r="AI166" t="str">
        <f t="shared" si="136"/>
        <v/>
      </c>
      <c r="AJ166" t="str">
        <f t="shared" si="137"/>
        <v/>
      </c>
      <c r="AK166" t="str">
        <f t="shared" si="138"/>
        <v/>
      </c>
      <c r="AL166" t="str">
        <f t="shared" si="128"/>
        <v/>
      </c>
      <c r="AM166">
        <f t="shared" si="129"/>
        <v>-1</v>
      </c>
    </row>
    <row r="167" spans="3:39" x14ac:dyDescent="0.35">
      <c r="D167" t="s">
        <v>43</v>
      </c>
      <c r="E167" t="s">
        <v>40</v>
      </c>
      <c r="G167" s="4">
        <v>0.26559872268179036</v>
      </c>
      <c r="H167" s="4">
        <v>0.28818186611752289</v>
      </c>
      <c r="I167" s="4">
        <v>0.44621941120068653</v>
      </c>
      <c r="K167">
        <v>3.6</v>
      </c>
      <c r="L167">
        <v>4.25</v>
      </c>
      <c r="M167">
        <v>2.08</v>
      </c>
      <c r="N167" s="4">
        <v>0.27777777777777779</v>
      </c>
      <c r="O167" s="4">
        <v>0.23529411764705882</v>
      </c>
      <c r="P167" s="4">
        <v>0.48076923076923073</v>
      </c>
      <c r="R167" t="s">
        <v>105</v>
      </c>
      <c r="S167">
        <v>1</v>
      </c>
      <c r="T167">
        <v>3</v>
      </c>
      <c r="V167" t="s">
        <v>105</v>
      </c>
      <c r="W167">
        <v>1</v>
      </c>
      <c r="Z167">
        <v>0</v>
      </c>
      <c r="AB167" t="str">
        <f t="shared" si="130"/>
        <v/>
      </c>
      <c r="AC167" t="str">
        <f t="shared" si="131"/>
        <v/>
      </c>
      <c r="AD167">
        <f t="shared" si="132"/>
        <v>1</v>
      </c>
      <c r="AE167" t="str">
        <f t="shared" si="133"/>
        <v>A</v>
      </c>
      <c r="AF167">
        <f t="shared" si="134"/>
        <v>1</v>
      </c>
      <c r="AH167" t="str">
        <f t="shared" si="135"/>
        <v/>
      </c>
      <c r="AI167" t="str">
        <f t="shared" si="136"/>
        <v/>
      </c>
      <c r="AJ167">
        <f t="shared" si="137"/>
        <v>1</v>
      </c>
      <c r="AK167" t="str">
        <f t="shared" si="138"/>
        <v/>
      </c>
      <c r="AL167" t="str">
        <f t="shared" si="128"/>
        <v/>
      </c>
      <c r="AM167">
        <f t="shared" si="129"/>
        <v>1.08</v>
      </c>
    </row>
    <row r="168" spans="3:39" x14ac:dyDescent="0.35">
      <c r="AB168" s="4"/>
      <c r="AC168" s="4"/>
      <c r="AD168" s="4"/>
    </row>
    <row r="171" spans="3:39" x14ac:dyDescent="0.35">
      <c r="C171" t="s">
        <v>135</v>
      </c>
      <c r="H171" s="21" t="s">
        <v>107</v>
      </c>
      <c r="K171" s="22" t="s">
        <v>106</v>
      </c>
      <c r="N171" t="s">
        <v>108</v>
      </c>
    </row>
    <row r="172" spans="3:39" x14ac:dyDescent="0.35">
      <c r="G172" t="s">
        <v>103</v>
      </c>
      <c r="H172" t="s">
        <v>104</v>
      </c>
      <c r="I172" t="s">
        <v>105</v>
      </c>
      <c r="K172" t="s">
        <v>103</v>
      </c>
      <c r="L172" t="s">
        <v>104</v>
      </c>
      <c r="M172" t="s">
        <v>105</v>
      </c>
      <c r="N172" t="s">
        <v>103</v>
      </c>
      <c r="O172" t="s">
        <v>104</v>
      </c>
      <c r="P172" t="s">
        <v>105</v>
      </c>
      <c r="R172" t="s">
        <v>110</v>
      </c>
      <c r="V172" t="s">
        <v>112</v>
      </c>
      <c r="W172" t="s">
        <v>111</v>
      </c>
      <c r="X172" s="28" t="s">
        <v>114</v>
      </c>
      <c r="Z172" t="s">
        <v>113</v>
      </c>
      <c r="AA172" s="28" t="s">
        <v>116</v>
      </c>
      <c r="AB172" t="s">
        <v>166</v>
      </c>
      <c r="AC172" t="s">
        <v>167</v>
      </c>
      <c r="AD172" t="s">
        <v>168</v>
      </c>
      <c r="AK172" t="str">
        <f t="shared" si="114"/>
        <v/>
      </c>
      <c r="AL172" t="str">
        <f t="shared" si="115"/>
        <v/>
      </c>
      <c r="AM172" t="str">
        <f t="shared" si="116"/>
        <v/>
      </c>
    </row>
    <row r="173" spans="3:39" x14ac:dyDescent="0.35">
      <c r="D173" t="s">
        <v>41</v>
      </c>
      <c r="E173" t="s">
        <v>35</v>
      </c>
      <c r="G173" s="4">
        <v>0.72831456395251548</v>
      </c>
      <c r="H173" s="4">
        <v>0.19043473932875504</v>
      </c>
      <c r="I173" s="4">
        <v>8.1250696718729351E-2</v>
      </c>
      <c r="K173">
        <v>1.2</v>
      </c>
      <c r="L173">
        <v>8.1999999999999993</v>
      </c>
      <c r="M173">
        <v>21</v>
      </c>
      <c r="N173" s="4">
        <v>0.83333333333333337</v>
      </c>
      <c r="O173" s="4">
        <v>0.12195121951219513</v>
      </c>
      <c r="P173" s="4">
        <v>4.7619047619047616E-2</v>
      </c>
      <c r="R173" t="s">
        <v>103</v>
      </c>
      <c r="S173">
        <v>2</v>
      </c>
      <c r="T173">
        <v>0</v>
      </c>
      <c r="V173" t="s">
        <v>103</v>
      </c>
      <c r="W173">
        <v>1</v>
      </c>
      <c r="X173" s="28">
        <v>0.6</v>
      </c>
      <c r="Z173">
        <v>0</v>
      </c>
      <c r="AA173" s="28">
        <v>0.5</v>
      </c>
      <c r="AB173">
        <f>IF(V173=$G$5, IF(W173=$R$2, 1,0), "")</f>
        <v>1</v>
      </c>
      <c r="AC173" t="str">
        <f>IF(V173=$H$5, IF(W173=$R$2, 1,0), "")</f>
        <v/>
      </c>
      <c r="AD173" t="str">
        <f>IF(V173=$I$5, IF(W173=$R$2, 1,0), "")</f>
        <v/>
      </c>
      <c r="AE173" t="str">
        <f>IF(MAX(N173:P173)=N173,$N$5,IF(MAX(N173:P173)=O173,$O$5,$P$5))</f>
        <v>H</v>
      </c>
      <c r="AF173">
        <f>IF(AE173=R173, $R$2,$R$3)</f>
        <v>1</v>
      </c>
      <c r="AG173" s="28">
        <f>COUNTIF(AF173:AF182, $R$2)/COUNT(AF173:AF182)</f>
        <v>0.5</v>
      </c>
      <c r="AH173">
        <f>IF(AE173=$G$5, IF(AF173=$R$2, 1,0), "")</f>
        <v>1</v>
      </c>
      <c r="AI173" t="str">
        <f>IF(AE173=$H$5, IF(AF173=$R$2, 1,0), "")</f>
        <v/>
      </c>
      <c r="AJ173" t="str">
        <f>IF(AE173=$I$5, IF(AF173=$R$2, 1,0), "")</f>
        <v/>
      </c>
      <c r="AK173">
        <f t="shared" si="114"/>
        <v>1.2</v>
      </c>
      <c r="AL173" t="str">
        <f t="shared" si="115"/>
        <v/>
      </c>
      <c r="AM173" t="str">
        <f t="shared" si="116"/>
        <v/>
      </c>
    </row>
    <row r="174" spans="3:39" x14ac:dyDescent="0.35">
      <c r="D174" t="s">
        <v>32</v>
      </c>
      <c r="E174" t="s">
        <v>46</v>
      </c>
      <c r="G174" s="4">
        <v>0.42836918899232523</v>
      </c>
      <c r="H174" s="4">
        <v>0.33892718887833823</v>
      </c>
      <c r="I174" s="4">
        <v>0.23270362212933657</v>
      </c>
      <c r="K174">
        <v>2.02</v>
      </c>
      <c r="L174">
        <v>3.62</v>
      </c>
      <c r="M174">
        <v>4.3</v>
      </c>
      <c r="N174" s="4">
        <v>0.49504950495049505</v>
      </c>
      <c r="O174" s="4">
        <v>0.27624309392265195</v>
      </c>
      <c r="P174" s="4">
        <v>0.23255813953488372</v>
      </c>
      <c r="R174" t="s">
        <v>103</v>
      </c>
      <c r="S174">
        <v>1</v>
      </c>
      <c r="T174">
        <v>0</v>
      </c>
      <c r="V174" t="s">
        <v>103</v>
      </c>
      <c r="W174">
        <v>1</v>
      </c>
      <c r="Z174">
        <v>0</v>
      </c>
      <c r="AA174" s="29" t="s">
        <v>117</v>
      </c>
      <c r="AB174">
        <f t="shared" ref="AB174:AB182" si="139">IF(V174=$G$5, IF(W174=$R$2, 1,0), "")</f>
        <v>1</v>
      </c>
      <c r="AC174" t="str">
        <f t="shared" ref="AC174:AC182" si="140">IF(V174=$H$5, IF(W174=$R$2, 1,0), "")</f>
        <v/>
      </c>
      <c r="AD174" t="str">
        <f t="shared" ref="AD174:AD182" si="141">IF(V174=$I$5, IF(W174=$R$2, 1,0), "")</f>
        <v/>
      </c>
      <c r="AE174" t="str">
        <f t="shared" ref="AE174:AE182" si="142">IF(MAX(N174:P174)=N174,$N$5,IF(MAX(N174:P174)=O174,$O$5,$P$5))</f>
        <v>H</v>
      </c>
      <c r="AF174">
        <f t="shared" ref="AF174:AF182" si="143">IF(AE174=R174, $R$2,$R$3)</f>
        <v>1</v>
      </c>
      <c r="AH174">
        <f t="shared" ref="AH174:AH182" si="144">IF(AE174=$G$5, IF(AF174=$R$2, 1,0), "")</f>
        <v>1</v>
      </c>
      <c r="AI174" t="str">
        <f t="shared" ref="AI174:AI182" si="145">IF(AE174=$H$5, IF(AF174=$R$2, 1,0), "")</f>
        <v/>
      </c>
      <c r="AJ174" t="str">
        <f t="shared" ref="AJ174:AJ182" si="146">IF(AE174=$I$5, IF(AF174=$R$2, 1,0), "")</f>
        <v/>
      </c>
      <c r="AK174">
        <f t="shared" si="114"/>
        <v>2.02</v>
      </c>
      <c r="AL174" t="str">
        <f t="shared" si="115"/>
        <v/>
      </c>
      <c r="AM174" t="str">
        <f t="shared" si="116"/>
        <v/>
      </c>
    </row>
    <row r="175" spans="3:39" x14ac:dyDescent="0.35">
      <c r="D175" t="s">
        <v>25</v>
      </c>
      <c r="E175" t="s">
        <v>50</v>
      </c>
      <c r="G175" s="4">
        <v>0.5412687715678931</v>
      </c>
      <c r="H175" s="4">
        <v>0.32652665465141117</v>
      </c>
      <c r="I175" s="4">
        <v>0.1322045737806955</v>
      </c>
      <c r="K175">
        <v>1.25</v>
      </c>
      <c r="L175">
        <v>7.35</v>
      </c>
      <c r="M175">
        <v>15</v>
      </c>
      <c r="N175" s="4">
        <v>0.8</v>
      </c>
      <c r="O175" s="4">
        <v>0.1360544217687075</v>
      </c>
      <c r="P175" s="4">
        <v>6.6666666666666666E-2</v>
      </c>
      <c r="R175" t="s">
        <v>104</v>
      </c>
      <c r="S175">
        <v>1</v>
      </c>
      <c r="T175">
        <v>1</v>
      </c>
      <c r="V175" t="s">
        <v>103</v>
      </c>
      <c r="W175">
        <v>0</v>
      </c>
      <c r="Z175" t="s">
        <v>117</v>
      </c>
      <c r="AB175">
        <f t="shared" si="139"/>
        <v>0</v>
      </c>
      <c r="AC175" t="str">
        <f t="shared" si="140"/>
        <v/>
      </c>
      <c r="AD175" t="str">
        <f t="shared" si="141"/>
        <v/>
      </c>
      <c r="AE175" t="str">
        <f t="shared" si="142"/>
        <v>H</v>
      </c>
      <c r="AF175">
        <f t="shared" si="143"/>
        <v>0</v>
      </c>
      <c r="AH175">
        <f t="shared" si="144"/>
        <v>0</v>
      </c>
      <c r="AI175" t="str">
        <f t="shared" si="145"/>
        <v/>
      </c>
      <c r="AJ175" t="str">
        <f t="shared" si="146"/>
        <v/>
      </c>
      <c r="AK175">
        <f t="shared" si="114"/>
        <v>-1</v>
      </c>
      <c r="AL175" t="str">
        <f t="shared" si="115"/>
        <v/>
      </c>
      <c r="AM175" t="str">
        <f t="shared" si="116"/>
        <v/>
      </c>
    </row>
    <row r="176" spans="3:39" x14ac:dyDescent="0.35">
      <c r="D176" t="s">
        <v>42</v>
      </c>
      <c r="E176" t="s">
        <v>38</v>
      </c>
      <c r="G176" s="4">
        <v>0.58641759044235331</v>
      </c>
      <c r="H176" s="4">
        <v>0.27017753019405422</v>
      </c>
      <c r="I176" s="4">
        <v>0.14340487936359245</v>
      </c>
      <c r="K176">
        <v>1.28</v>
      </c>
      <c r="L176">
        <v>7</v>
      </c>
      <c r="M176">
        <v>13</v>
      </c>
      <c r="N176" s="4">
        <v>0.78125</v>
      </c>
      <c r="O176" s="4">
        <v>0.14285714285714285</v>
      </c>
      <c r="P176" s="4">
        <v>7.6923076923076927E-2</v>
      </c>
      <c r="R176" t="s">
        <v>105</v>
      </c>
      <c r="S176">
        <v>0</v>
      </c>
      <c r="T176">
        <v>1</v>
      </c>
      <c r="V176" t="s">
        <v>103</v>
      </c>
      <c r="W176">
        <v>0</v>
      </c>
      <c r="Z176" t="s">
        <v>117</v>
      </c>
      <c r="AB176">
        <f t="shared" si="139"/>
        <v>0</v>
      </c>
      <c r="AC176" t="str">
        <f t="shared" si="140"/>
        <v/>
      </c>
      <c r="AD176" t="str">
        <f t="shared" si="141"/>
        <v/>
      </c>
      <c r="AE176" t="str">
        <f t="shared" si="142"/>
        <v>H</v>
      </c>
      <c r="AF176">
        <f t="shared" si="143"/>
        <v>0</v>
      </c>
      <c r="AH176">
        <f t="shared" si="144"/>
        <v>0</v>
      </c>
      <c r="AI176" t="str">
        <f t="shared" si="145"/>
        <v/>
      </c>
      <c r="AJ176" t="str">
        <f t="shared" si="146"/>
        <v/>
      </c>
      <c r="AK176">
        <f t="shared" si="114"/>
        <v>-1</v>
      </c>
      <c r="AL176" t="str">
        <f t="shared" si="115"/>
        <v/>
      </c>
      <c r="AM176" t="str">
        <f t="shared" si="116"/>
        <v/>
      </c>
    </row>
    <row r="177" spans="3:39" x14ac:dyDescent="0.35">
      <c r="D177" t="s">
        <v>51</v>
      </c>
      <c r="E177" t="s">
        <v>52</v>
      </c>
      <c r="G177" s="4">
        <v>0.44643150307442636</v>
      </c>
      <c r="H177" s="4">
        <v>0.29563714747452102</v>
      </c>
      <c r="I177" s="4">
        <v>0.257931349451053</v>
      </c>
      <c r="K177">
        <v>1.93</v>
      </c>
      <c r="L177">
        <v>3.9</v>
      </c>
      <c r="M177">
        <v>4.3499999999999996</v>
      </c>
      <c r="N177" s="4">
        <v>0.5181347150259068</v>
      </c>
      <c r="O177" s="4">
        <v>0.25641025641025644</v>
      </c>
      <c r="P177" s="4">
        <v>0.22988505747126439</v>
      </c>
      <c r="R177" t="s">
        <v>103</v>
      </c>
      <c r="S177">
        <v>2</v>
      </c>
      <c r="T177">
        <v>0</v>
      </c>
      <c r="V177" t="s">
        <v>103</v>
      </c>
      <c r="W177">
        <v>1</v>
      </c>
      <c r="Z177">
        <v>0</v>
      </c>
      <c r="AB177">
        <f t="shared" si="139"/>
        <v>1</v>
      </c>
      <c r="AC177" t="str">
        <f t="shared" si="140"/>
        <v/>
      </c>
      <c r="AD177" t="str">
        <f t="shared" si="141"/>
        <v/>
      </c>
      <c r="AE177" t="str">
        <f t="shared" si="142"/>
        <v>H</v>
      </c>
      <c r="AF177">
        <f t="shared" si="143"/>
        <v>1</v>
      </c>
      <c r="AH177">
        <f t="shared" si="144"/>
        <v>1</v>
      </c>
      <c r="AI177" t="str">
        <f t="shared" si="145"/>
        <v/>
      </c>
      <c r="AJ177" t="str">
        <f t="shared" si="146"/>
        <v/>
      </c>
      <c r="AK177">
        <f t="shared" si="114"/>
        <v>1.93</v>
      </c>
      <c r="AL177" t="str">
        <f t="shared" si="115"/>
        <v/>
      </c>
      <c r="AM177" t="str">
        <f t="shared" si="116"/>
        <v/>
      </c>
    </row>
    <row r="178" spans="3:39" x14ac:dyDescent="0.35">
      <c r="D178" t="s">
        <v>34</v>
      </c>
      <c r="E178" t="s">
        <v>43</v>
      </c>
      <c r="G178" s="4">
        <v>0.31811123397867597</v>
      </c>
      <c r="H178" s="4">
        <v>0.29878786548891412</v>
      </c>
      <c r="I178" s="4">
        <v>0.38310090053240947</v>
      </c>
      <c r="K178">
        <v>1.98</v>
      </c>
      <c r="L178">
        <v>4</v>
      </c>
      <c r="M178">
        <v>3.95</v>
      </c>
      <c r="N178" s="4">
        <v>0.50505050505050508</v>
      </c>
      <c r="O178" s="4">
        <v>0.25</v>
      </c>
      <c r="P178" s="4">
        <v>0.25316455696202528</v>
      </c>
      <c r="R178" t="s">
        <v>105</v>
      </c>
      <c r="S178">
        <v>0</v>
      </c>
      <c r="T178">
        <v>1</v>
      </c>
      <c r="V178" t="s">
        <v>105</v>
      </c>
      <c r="W178">
        <v>1</v>
      </c>
      <c r="Z178">
        <v>1</v>
      </c>
      <c r="AB178" t="str">
        <f t="shared" si="139"/>
        <v/>
      </c>
      <c r="AC178" t="str">
        <f t="shared" si="140"/>
        <v/>
      </c>
      <c r="AD178">
        <f t="shared" si="141"/>
        <v>1</v>
      </c>
      <c r="AE178" t="str">
        <f t="shared" si="142"/>
        <v>H</v>
      </c>
      <c r="AF178">
        <f t="shared" si="143"/>
        <v>0</v>
      </c>
      <c r="AH178">
        <f t="shared" si="144"/>
        <v>0</v>
      </c>
      <c r="AI178" t="str">
        <f t="shared" si="145"/>
        <v/>
      </c>
      <c r="AJ178" t="str">
        <f t="shared" si="146"/>
        <v/>
      </c>
      <c r="AK178" t="str">
        <f t="shared" si="114"/>
        <v/>
      </c>
      <c r="AL178" t="str">
        <f t="shared" si="115"/>
        <v/>
      </c>
      <c r="AM178">
        <f t="shared" si="116"/>
        <v>3.95</v>
      </c>
    </row>
    <row r="179" spans="3:39" x14ac:dyDescent="0.35">
      <c r="D179" t="s">
        <v>39</v>
      </c>
      <c r="E179" t="s">
        <v>28</v>
      </c>
      <c r="G179" s="4">
        <v>0.39824401226139777</v>
      </c>
      <c r="H179" s="4">
        <v>0.31709925357847257</v>
      </c>
      <c r="I179" s="4">
        <v>0.28465673416012965</v>
      </c>
      <c r="K179">
        <v>1.82</v>
      </c>
      <c r="L179">
        <v>3.89</v>
      </c>
      <c r="M179">
        <v>5</v>
      </c>
      <c r="N179" s="4">
        <v>0.54945054945054939</v>
      </c>
      <c r="O179" s="4">
        <v>0.25706940874035988</v>
      </c>
      <c r="P179" s="4">
        <v>0.2</v>
      </c>
      <c r="R179" t="s">
        <v>104</v>
      </c>
      <c r="S179">
        <v>1</v>
      </c>
      <c r="T179">
        <v>1</v>
      </c>
      <c r="V179" t="s">
        <v>103</v>
      </c>
      <c r="W179">
        <v>0</v>
      </c>
      <c r="Z179" t="s">
        <v>117</v>
      </c>
      <c r="AB179">
        <f t="shared" si="139"/>
        <v>0</v>
      </c>
      <c r="AC179" t="str">
        <f t="shared" si="140"/>
        <v/>
      </c>
      <c r="AD179" t="str">
        <f t="shared" si="141"/>
        <v/>
      </c>
      <c r="AE179" t="str">
        <f t="shared" si="142"/>
        <v>H</v>
      </c>
      <c r="AF179">
        <f t="shared" si="143"/>
        <v>0</v>
      </c>
      <c r="AH179">
        <f t="shared" si="144"/>
        <v>0</v>
      </c>
      <c r="AI179" t="str">
        <f t="shared" si="145"/>
        <v/>
      </c>
      <c r="AJ179" t="str">
        <f t="shared" si="146"/>
        <v/>
      </c>
      <c r="AK179">
        <f t="shared" si="114"/>
        <v>-1</v>
      </c>
      <c r="AL179" t="str">
        <f t="shared" si="115"/>
        <v/>
      </c>
      <c r="AM179" t="str">
        <f t="shared" si="116"/>
        <v/>
      </c>
    </row>
    <row r="180" spans="3:39" x14ac:dyDescent="0.35">
      <c r="D180" t="s">
        <v>49</v>
      </c>
      <c r="E180" t="s">
        <v>29</v>
      </c>
      <c r="G180" s="4">
        <v>0.34724788414163094</v>
      </c>
      <c r="H180" s="4">
        <v>0.32482956798043727</v>
      </c>
      <c r="I180" s="4">
        <v>0.32792254787793168</v>
      </c>
      <c r="K180">
        <v>3.35</v>
      </c>
      <c r="L180">
        <v>3.6</v>
      </c>
      <c r="M180">
        <v>2.35</v>
      </c>
      <c r="N180" s="4">
        <v>0.29850746268656714</v>
      </c>
      <c r="O180" s="4">
        <v>0.27777777777777779</v>
      </c>
      <c r="P180" s="4">
        <v>0.42553191489361702</v>
      </c>
      <c r="R180" t="s">
        <v>105</v>
      </c>
      <c r="S180">
        <v>1</v>
      </c>
      <c r="T180">
        <v>2</v>
      </c>
      <c r="V180" t="s">
        <v>103</v>
      </c>
      <c r="W180">
        <v>0</v>
      </c>
      <c r="Z180" t="s">
        <v>117</v>
      </c>
      <c r="AB180">
        <f t="shared" si="139"/>
        <v>0</v>
      </c>
      <c r="AC180" t="str">
        <f t="shared" si="140"/>
        <v/>
      </c>
      <c r="AD180" t="str">
        <f t="shared" si="141"/>
        <v/>
      </c>
      <c r="AE180" t="str">
        <f t="shared" si="142"/>
        <v>A</v>
      </c>
      <c r="AF180">
        <f t="shared" si="143"/>
        <v>1</v>
      </c>
      <c r="AH180" t="str">
        <f t="shared" si="144"/>
        <v/>
      </c>
      <c r="AI180" t="str">
        <f t="shared" si="145"/>
        <v/>
      </c>
      <c r="AJ180">
        <f t="shared" si="146"/>
        <v>1</v>
      </c>
      <c r="AK180">
        <f t="shared" si="114"/>
        <v>-1</v>
      </c>
      <c r="AL180" t="str">
        <f t="shared" si="115"/>
        <v/>
      </c>
      <c r="AM180" t="str">
        <f t="shared" si="116"/>
        <v/>
      </c>
    </row>
    <row r="181" spans="3:39" x14ac:dyDescent="0.35">
      <c r="D181" t="s">
        <v>40</v>
      </c>
      <c r="E181" t="s">
        <v>36</v>
      </c>
      <c r="G181" s="4">
        <v>0.11560505865730082</v>
      </c>
      <c r="H181" s="4">
        <v>0.18937826681687026</v>
      </c>
      <c r="I181" s="4">
        <v>0.69501667452582849</v>
      </c>
      <c r="K181">
        <v>6.5</v>
      </c>
      <c r="L181">
        <v>5.7</v>
      </c>
      <c r="M181">
        <v>1.49</v>
      </c>
      <c r="N181" s="4">
        <v>0.15384615384615385</v>
      </c>
      <c r="O181" s="4">
        <v>0.17543859649122806</v>
      </c>
      <c r="P181" s="4">
        <v>0.67114093959731547</v>
      </c>
      <c r="R181" t="s">
        <v>105</v>
      </c>
      <c r="S181">
        <v>0</v>
      </c>
      <c r="T181">
        <v>3</v>
      </c>
      <c r="V181" t="s">
        <v>105</v>
      </c>
      <c r="W181">
        <v>1</v>
      </c>
      <c r="Z181">
        <v>1</v>
      </c>
      <c r="AB181" t="str">
        <f t="shared" si="139"/>
        <v/>
      </c>
      <c r="AC181" t="str">
        <f t="shared" si="140"/>
        <v/>
      </c>
      <c r="AD181">
        <f t="shared" si="141"/>
        <v>1</v>
      </c>
      <c r="AE181" t="str">
        <f t="shared" si="142"/>
        <v>A</v>
      </c>
      <c r="AF181">
        <f t="shared" si="143"/>
        <v>1</v>
      </c>
      <c r="AH181" t="str">
        <f t="shared" si="144"/>
        <v/>
      </c>
      <c r="AI181" t="str">
        <f t="shared" si="145"/>
        <v/>
      </c>
      <c r="AJ181">
        <f t="shared" si="146"/>
        <v>1</v>
      </c>
      <c r="AK181" t="str">
        <f t="shared" si="114"/>
        <v/>
      </c>
      <c r="AL181" t="str">
        <f t="shared" si="115"/>
        <v/>
      </c>
      <c r="AM181">
        <f t="shared" si="116"/>
        <v>1.49</v>
      </c>
    </row>
    <row r="182" spans="3:39" x14ac:dyDescent="0.35">
      <c r="D182" t="s">
        <v>30</v>
      </c>
      <c r="E182" t="s">
        <v>45</v>
      </c>
      <c r="G182" s="4">
        <v>0.34527831474848175</v>
      </c>
      <c r="H182" s="4">
        <v>0.36484605269660941</v>
      </c>
      <c r="I182" s="4">
        <v>0.28987563255490867</v>
      </c>
      <c r="K182">
        <v>2.65</v>
      </c>
      <c r="L182">
        <v>3.34</v>
      </c>
      <c r="M182">
        <v>3</v>
      </c>
      <c r="N182" s="4">
        <v>0.37735849056603776</v>
      </c>
      <c r="O182" s="4">
        <v>0.29940119760479045</v>
      </c>
      <c r="P182" s="4">
        <v>0.33333333333333331</v>
      </c>
      <c r="R182" t="s">
        <v>104</v>
      </c>
      <c r="S182">
        <v>1</v>
      </c>
      <c r="T182">
        <v>1</v>
      </c>
      <c r="V182" t="s">
        <v>104</v>
      </c>
      <c r="W182">
        <v>1</v>
      </c>
      <c r="Z182">
        <v>1</v>
      </c>
      <c r="AB182" t="str">
        <f t="shared" si="139"/>
        <v/>
      </c>
      <c r="AC182">
        <f t="shared" si="140"/>
        <v>1</v>
      </c>
      <c r="AD182" t="str">
        <f t="shared" si="141"/>
        <v/>
      </c>
      <c r="AE182" t="str">
        <f t="shared" si="142"/>
        <v>H</v>
      </c>
      <c r="AF182">
        <f t="shared" si="143"/>
        <v>0</v>
      </c>
      <c r="AH182">
        <f t="shared" si="144"/>
        <v>0</v>
      </c>
      <c r="AI182" t="str">
        <f t="shared" si="145"/>
        <v/>
      </c>
      <c r="AJ182" t="str">
        <f t="shared" si="146"/>
        <v/>
      </c>
      <c r="AK182" t="str">
        <f t="shared" si="114"/>
        <v/>
      </c>
      <c r="AL182">
        <f t="shared" si="115"/>
        <v>3.34</v>
      </c>
      <c r="AM182" t="str">
        <f t="shared" si="116"/>
        <v/>
      </c>
    </row>
    <row r="183" spans="3:39" x14ac:dyDescent="0.35">
      <c r="AB183" s="4"/>
      <c r="AC183" s="4"/>
      <c r="AD183" s="4"/>
    </row>
    <row r="186" spans="3:39" x14ac:dyDescent="0.35">
      <c r="C186" s="30" t="s">
        <v>136</v>
      </c>
      <c r="H186" s="21" t="s">
        <v>107</v>
      </c>
      <c r="K186" s="22" t="s">
        <v>106</v>
      </c>
      <c r="N186" t="s">
        <v>108</v>
      </c>
    </row>
    <row r="187" spans="3:39" x14ac:dyDescent="0.35">
      <c r="G187" t="s">
        <v>103</v>
      </c>
      <c r="H187" t="s">
        <v>104</v>
      </c>
      <c r="I187" t="s">
        <v>105</v>
      </c>
      <c r="K187" t="s">
        <v>103</v>
      </c>
      <c r="L187" t="s">
        <v>104</v>
      </c>
      <c r="M187" t="s">
        <v>105</v>
      </c>
      <c r="N187" t="s">
        <v>103</v>
      </c>
      <c r="O187" t="s">
        <v>104</v>
      </c>
      <c r="P187" t="s">
        <v>105</v>
      </c>
      <c r="R187" t="s">
        <v>110</v>
      </c>
      <c r="V187" t="s">
        <v>112</v>
      </c>
      <c r="W187" t="s">
        <v>111</v>
      </c>
      <c r="X187" s="28" t="s">
        <v>114</v>
      </c>
      <c r="Z187" t="s">
        <v>113</v>
      </c>
      <c r="AA187" s="28" t="s">
        <v>116</v>
      </c>
      <c r="AB187" t="s">
        <v>166</v>
      </c>
      <c r="AC187" t="s">
        <v>167</v>
      </c>
      <c r="AD187" t="s">
        <v>168</v>
      </c>
      <c r="AK187" t="str">
        <f t="shared" si="114"/>
        <v/>
      </c>
      <c r="AL187" t="str">
        <f t="shared" si="115"/>
        <v/>
      </c>
      <c r="AM187" t="str">
        <f t="shared" si="116"/>
        <v/>
      </c>
    </row>
    <row r="188" spans="3:39" x14ac:dyDescent="0.35">
      <c r="D188" t="s">
        <v>28</v>
      </c>
      <c r="E188" t="s">
        <v>40</v>
      </c>
      <c r="G188" s="4">
        <v>0.31902299090734121</v>
      </c>
      <c r="H188" s="4">
        <v>0.32259893067130074</v>
      </c>
      <c r="I188" s="4">
        <v>0.35837807842135805</v>
      </c>
      <c r="K188">
        <v>2.4</v>
      </c>
      <c r="L188">
        <v>3.88</v>
      </c>
      <c r="M188">
        <v>3</v>
      </c>
      <c r="N188" s="4">
        <v>0.41666666666666669</v>
      </c>
      <c r="O188" s="4">
        <v>0.25773195876288663</v>
      </c>
      <c r="P188" s="4">
        <v>0.33333333333333331</v>
      </c>
      <c r="R188" t="s">
        <v>104</v>
      </c>
      <c r="S188">
        <v>0</v>
      </c>
      <c r="T188">
        <v>0</v>
      </c>
      <c r="V188" t="s">
        <v>105</v>
      </c>
      <c r="W188">
        <v>0</v>
      </c>
      <c r="X188" s="28">
        <v>0.44444444444444442</v>
      </c>
      <c r="Z188" t="s">
        <v>117</v>
      </c>
      <c r="AA188" s="28">
        <v>0.75</v>
      </c>
      <c r="AB188" t="str">
        <f>IF(V188=$G$5, IF(W188=$R$2, 1,0), "")</f>
        <v/>
      </c>
      <c r="AC188" t="str">
        <f>IF(V188=$H$5, IF(W188=$R$2, 1,0), "")</f>
        <v/>
      </c>
      <c r="AD188">
        <f>IF(V188=$I$5, IF(W188=$R$2, 1,0), "")</f>
        <v>0</v>
      </c>
      <c r="AE188" t="str">
        <f>IF(MAX(N188:P188)=N188,$N$5,IF(MAX(N188:P188)=O188,$O$5,$P$5))</f>
        <v>H</v>
      </c>
      <c r="AF188">
        <f>IF(AE188=R188, $R$2,$R$3)</f>
        <v>0</v>
      </c>
      <c r="AG188" s="28">
        <f>COUNTIF(AF188:AF197, $R$2)/COUNT(AF188:AF197)</f>
        <v>0.33333333333333331</v>
      </c>
      <c r="AH188">
        <f>IF(AE188=$G$5, IF(AF188=$R$2, 1,0), "")</f>
        <v>0</v>
      </c>
      <c r="AI188" t="str">
        <f>IF(AE188=$H$5, IF(AF188=$R$2, 1,0), "")</f>
        <v/>
      </c>
      <c r="AJ188" t="str">
        <f>IF(AE188=$I$5, IF(AF188=$R$2, 1,0), "")</f>
        <v/>
      </c>
      <c r="AK188" t="str">
        <f>IF(AB188=1, K188-1, IF(AB188=0, -1,""))</f>
        <v/>
      </c>
      <c r="AL188" t="str">
        <f t="shared" ref="AL188:AL196" si="147">IF(AC188=1, L188-1, IF(AC188=0, -1,""))</f>
        <v/>
      </c>
      <c r="AM188">
        <f t="shared" ref="AM188:AM196" si="148">IF(AD188=1, M188-1, IF(AD188=0, -1,""))</f>
        <v>-1</v>
      </c>
    </row>
    <row r="189" spans="3:39" x14ac:dyDescent="0.35">
      <c r="D189" t="s">
        <v>46</v>
      </c>
      <c r="E189" t="s">
        <v>30</v>
      </c>
      <c r="G189" s="4">
        <v>0.293969687557601</v>
      </c>
      <c r="H189" s="4">
        <v>0.36346653021434883</v>
      </c>
      <c r="I189" s="4">
        <v>0.34256378222805017</v>
      </c>
      <c r="K189">
        <v>2.5299999999999998</v>
      </c>
      <c r="L189">
        <v>3.27</v>
      </c>
      <c r="M189">
        <v>3.4</v>
      </c>
      <c r="N189" s="4">
        <v>0.39525691699604748</v>
      </c>
      <c r="O189" s="4">
        <v>0.3058103975535168</v>
      </c>
      <c r="P189" s="4">
        <v>0.29411764705882354</v>
      </c>
      <c r="R189" t="s">
        <v>103</v>
      </c>
      <c r="S189">
        <v>1</v>
      </c>
      <c r="T189">
        <v>0</v>
      </c>
      <c r="V189" t="s">
        <v>104</v>
      </c>
      <c r="W189">
        <v>0</v>
      </c>
      <c r="Z189" t="s">
        <v>117</v>
      </c>
      <c r="AA189" s="29" t="s">
        <v>117</v>
      </c>
      <c r="AB189" t="str">
        <f t="shared" ref="AB189:AB196" si="149">IF(V189=$G$5, IF(W189=$R$2, 1,0), "")</f>
        <v/>
      </c>
      <c r="AC189">
        <f t="shared" ref="AC189:AC196" si="150">IF(V189=$H$5, IF(W189=$R$2, 1,0), "")</f>
        <v>0</v>
      </c>
      <c r="AD189" t="str">
        <f t="shared" ref="AD189:AD196" si="151">IF(V189=$I$5, IF(W189=$R$2, 1,0), "")</f>
        <v/>
      </c>
      <c r="AE189" t="str">
        <f t="shared" ref="AE189:AE196" si="152">IF(MAX(N189:P189)=N189,$N$5,IF(MAX(N189:P189)=O189,$O$5,$P$5))</f>
        <v>H</v>
      </c>
      <c r="AF189">
        <f t="shared" ref="AF189:AF196" si="153">IF(AE189=R189, $R$2,$R$3)</f>
        <v>1</v>
      </c>
      <c r="AH189">
        <f t="shared" ref="AH189:AH197" si="154">IF(AE189=$G$5, IF(AF189=$R$2, 1,0), "")</f>
        <v>1</v>
      </c>
      <c r="AI189" t="str">
        <f t="shared" ref="AI189:AI197" si="155">IF(AE189=$H$5, IF(AF189=$R$2, 1,0), "")</f>
        <v/>
      </c>
      <c r="AJ189" t="str">
        <f t="shared" ref="AJ189:AJ197" si="156">IF(AE189=$I$5, IF(AF189=$R$2, 1,0), "")</f>
        <v/>
      </c>
      <c r="AK189" t="str">
        <f t="shared" ref="AK189:AK196" si="157">IF(AB189=1, K189-1, IF(AB189=0, -1,""))</f>
        <v/>
      </c>
      <c r="AL189">
        <f t="shared" si="147"/>
        <v>-1</v>
      </c>
      <c r="AM189" t="str">
        <f t="shared" si="148"/>
        <v/>
      </c>
    </row>
    <row r="190" spans="3:39" x14ac:dyDescent="0.35">
      <c r="D190" t="s">
        <v>38</v>
      </c>
      <c r="E190" t="s">
        <v>32</v>
      </c>
      <c r="G190" s="4">
        <v>0.32353076872466574</v>
      </c>
      <c r="H190" s="4">
        <v>0.30349670998394179</v>
      </c>
      <c r="I190" s="4">
        <v>0.37297252129139252</v>
      </c>
      <c r="K190">
        <v>2.5499999999999998</v>
      </c>
      <c r="L190">
        <v>3.5</v>
      </c>
      <c r="M190">
        <v>3.05</v>
      </c>
      <c r="N190" s="4">
        <v>0.39215686274509809</v>
      </c>
      <c r="O190" s="4">
        <v>0.2857142857142857</v>
      </c>
      <c r="P190" s="4">
        <v>0.32786885245901642</v>
      </c>
      <c r="R190" t="s">
        <v>105</v>
      </c>
      <c r="S190">
        <v>0</v>
      </c>
      <c r="T190">
        <v>1</v>
      </c>
      <c r="V190" t="s">
        <v>105</v>
      </c>
      <c r="W190">
        <v>1</v>
      </c>
      <c r="Z190">
        <v>1</v>
      </c>
      <c r="AB190" t="str">
        <f t="shared" si="149"/>
        <v/>
      </c>
      <c r="AC190" t="str">
        <f t="shared" si="150"/>
        <v/>
      </c>
      <c r="AD190">
        <f t="shared" si="151"/>
        <v>1</v>
      </c>
      <c r="AE190" t="str">
        <f t="shared" si="152"/>
        <v>H</v>
      </c>
      <c r="AF190">
        <f t="shared" si="153"/>
        <v>0</v>
      </c>
      <c r="AH190">
        <f t="shared" si="154"/>
        <v>0</v>
      </c>
      <c r="AI190" t="str">
        <f t="shared" si="155"/>
        <v/>
      </c>
      <c r="AJ190" t="str">
        <f t="shared" si="156"/>
        <v/>
      </c>
      <c r="AK190" t="str">
        <f t="shared" si="157"/>
        <v/>
      </c>
      <c r="AL190" t="str">
        <f t="shared" si="147"/>
        <v/>
      </c>
      <c r="AM190">
        <f t="shared" si="148"/>
        <v>2.0499999999999998</v>
      </c>
    </row>
    <row r="191" spans="3:39" x14ac:dyDescent="0.35">
      <c r="D191" t="s">
        <v>45</v>
      </c>
      <c r="E191" t="s">
        <v>51</v>
      </c>
      <c r="G191" s="4">
        <v>0.33442146610340717</v>
      </c>
      <c r="H191" s="4">
        <v>0.36018014741713822</v>
      </c>
      <c r="I191" s="4">
        <v>0.30539838647945444</v>
      </c>
      <c r="K191">
        <v>2.3199999999999998</v>
      </c>
      <c r="L191">
        <v>3.35</v>
      </c>
      <c r="M191">
        <v>3.7</v>
      </c>
      <c r="N191" s="4">
        <v>0.43103448275862072</v>
      </c>
      <c r="O191" s="4">
        <v>0.29850746268656714</v>
      </c>
      <c r="P191" s="4">
        <v>0.27027027027027023</v>
      </c>
      <c r="R191" t="s">
        <v>105</v>
      </c>
      <c r="S191">
        <v>0</v>
      </c>
      <c r="T191">
        <v>1</v>
      </c>
      <c r="V191" t="s">
        <v>104</v>
      </c>
      <c r="W191">
        <v>0</v>
      </c>
      <c r="Z191" t="s">
        <v>117</v>
      </c>
      <c r="AB191" t="str">
        <f t="shared" si="149"/>
        <v/>
      </c>
      <c r="AC191">
        <f t="shared" si="150"/>
        <v>0</v>
      </c>
      <c r="AD191" t="str">
        <f t="shared" si="151"/>
        <v/>
      </c>
      <c r="AE191" t="str">
        <f t="shared" si="152"/>
        <v>H</v>
      </c>
      <c r="AF191">
        <f t="shared" si="153"/>
        <v>0</v>
      </c>
      <c r="AH191">
        <f t="shared" si="154"/>
        <v>0</v>
      </c>
      <c r="AI191" t="str">
        <f t="shared" si="155"/>
        <v/>
      </c>
      <c r="AJ191" t="str">
        <f t="shared" si="156"/>
        <v/>
      </c>
      <c r="AK191" t="str">
        <f t="shared" si="157"/>
        <v/>
      </c>
      <c r="AL191">
        <f t="shared" si="147"/>
        <v>-1</v>
      </c>
      <c r="AM191" t="str">
        <f t="shared" si="148"/>
        <v/>
      </c>
    </row>
    <row r="192" spans="3:39" x14ac:dyDescent="0.35">
      <c r="D192" t="s">
        <v>50</v>
      </c>
      <c r="E192" t="s">
        <v>49</v>
      </c>
      <c r="G192" s="4">
        <v>0.12612614282812257</v>
      </c>
      <c r="H192" s="4">
        <v>0.22922021822703614</v>
      </c>
      <c r="I192" s="4">
        <v>0.6446536389448414</v>
      </c>
      <c r="K192">
        <v>3.9</v>
      </c>
      <c r="L192">
        <v>3.9</v>
      </c>
      <c r="M192">
        <v>2.0299999999999998</v>
      </c>
      <c r="N192" s="4">
        <v>0.25641025641025644</v>
      </c>
      <c r="O192" s="4">
        <v>0.25641025641025644</v>
      </c>
      <c r="P192" s="4">
        <v>0.49261083743842371</v>
      </c>
      <c r="R192" t="s">
        <v>105</v>
      </c>
      <c r="S192">
        <v>1</v>
      </c>
      <c r="T192">
        <v>2</v>
      </c>
      <c r="V192" t="s">
        <v>105</v>
      </c>
      <c r="W192">
        <v>1</v>
      </c>
      <c r="Z192">
        <v>1</v>
      </c>
      <c r="AB192" t="str">
        <f t="shared" si="149"/>
        <v/>
      </c>
      <c r="AC192" t="str">
        <f t="shared" si="150"/>
        <v/>
      </c>
      <c r="AD192">
        <f t="shared" si="151"/>
        <v>1</v>
      </c>
      <c r="AE192" t="str">
        <f t="shared" si="152"/>
        <v>A</v>
      </c>
      <c r="AF192">
        <f t="shared" si="153"/>
        <v>1</v>
      </c>
      <c r="AH192" t="str">
        <f t="shared" si="154"/>
        <v/>
      </c>
      <c r="AI192" t="str">
        <f t="shared" si="155"/>
        <v/>
      </c>
      <c r="AJ192">
        <f t="shared" si="156"/>
        <v>1</v>
      </c>
      <c r="AK192" t="str">
        <f t="shared" si="157"/>
        <v/>
      </c>
      <c r="AL192" t="str">
        <f t="shared" si="147"/>
        <v/>
      </c>
      <c r="AM192">
        <f t="shared" si="148"/>
        <v>1.0299999999999998</v>
      </c>
    </row>
    <row r="193" spans="3:39" x14ac:dyDescent="0.35">
      <c r="D193" t="s">
        <v>52</v>
      </c>
      <c r="E193" t="s">
        <v>34</v>
      </c>
      <c r="G193" s="4">
        <v>0.29233918524388119</v>
      </c>
      <c r="H193" s="4">
        <v>0.28484781180156815</v>
      </c>
      <c r="I193" s="4">
        <v>0.42281300295455065</v>
      </c>
      <c r="K193">
        <v>2.5</v>
      </c>
      <c r="L193">
        <v>3.74</v>
      </c>
      <c r="M193">
        <v>3</v>
      </c>
      <c r="N193" s="4">
        <v>0.4</v>
      </c>
      <c r="O193" s="4">
        <v>0.26737967914438499</v>
      </c>
      <c r="P193" s="4">
        <v>0.33333333333333331</v>
      </c>
      <c r="R193" t="s">
        <v>105</v>
      </c>
      <c r="S193">
        <v>1</v>
      </c>
      <c r="T193">
        <v>3</v>
      </c>
      <c r="V193" t="s">
        <v>105</v>
      </c>
      <c r="W193">
        <v>1</v>
      </c>
      <c r="Z193">
        <v>1</v>
      </c>
      <c r="AB193" t="str">
        <f t="shared" si="149"/>
        <v/>
      </c>
      <c r="AC193" t="str">
        <f t="shared" si="150"/>
        <v/>
      </c>
      <c r="AD193">
        <f t="shared" si="151"/>
        <v>1</v>
      </c>
      <c r="AE193" t="str">
        <f t="shared" si="152"/>
        <v>H</v>
      </c>
      <c r="AF193">
        <f t="shared" si="153"/>
        <v>0</v>
      </c>
      <c r="AH193">
        <f t="shared" si="154"/>
        <v>0</v>
      </c>
      <c r="AI193" t="str">
        <f t="shared" si="155"/>
        <v/>
      </c>
      <c r="AJ193" t="str">
        <f t="shared" si="156"/>
        <v/>
      </c>
      <c r="AK193" t="str">
        <f t="shared" si="157"/>
        <v/>
      </c>
      <c r="AL193" t="str">
        <f t="shared" si="147"/>
        <v/>
      </c>
      <c r="AM193">
        <f t="shared" si="148"/>
        <v>2</v>
      </c>
    </row>
    <row r="194" spans="3:39" x14ac:dyDescent="0.35">
      <c r="D194" t="s">
        <v>36</v>
      </c>
      <c r="E194" t="s">
        <v>25</v>
      </c>
      <c r="G194" s="4">
        <v>0.48138636132348672</v>
      </c>
      <c r="H194" s="4">
        <v>0.27008913568250964</v>
      </c>
      <c r="I194" s="4">
        <v>0.24852450299400364</v>
      </c>
      <c r="K194">
        <v>1.4</v>
      </c>
      <c r="L194">
        <v>5.8</v>
      </c>
      <c r="M194">
        <v>8.25</v>
      </c>
      <c r="N194" s="4">
        <v>0.7142857142857143</v>
      </c>
      <c r="O194" s="4">
        <v>0.17241379310344829</v>
      </c>
      <c r="P194" s="4">
        <v>0.12121212121212122</v>
      </c>
      <c r="R194" t="s">
        <v>103</v>
      </c>
      <c r="S194">
        <v>3</v>
      </c>
      <c r="T194">
        <v>1</v>
      </c>
      <c r="V194" t="s">
        <v>103</v>
      </c>
      <c r="W194">
        <v>1</v>
      </c>
      <c r="Z194">
        <v>0</v>
      </c>
      <c r="AB194">
        <f t="shared" si="149"/>
        <v>1</v>
      </c>
      <c r="AC194" t="str">
        <f t="shared" si="150"/>
        <v/>
      </c>
      <c r="AD194" t="str">
        <f t="shared" si="151"/>
        <v/>
      </c>
      <c r="AE194" t="str">
        <f t="shared" si="152"/>
        <v>H</v>
      </c>
      <c r="AF194">
        <f t="shared" si="153"/>
        <v>1</v>
      </c>
      <c r="AH194">
        <f t="shared" si="154"/>
        <v>1</v>
      </c>
      <c r="AI194" t="str">
        <f t="shared" si="155"/>
        <v/>
      </c>
      <c r="AJ194" t="str">
        <f t="shared" si="156"/>
        <v/>
      </c>
      <c r="AK194">
        <f t="shared" si="157"/>
        <v>0.39999999999999991</v>
      </c>
      <c r="AL194" t="str">
        <f t="shared" si="147"/>
        <v/>
      </c>
      <c r="AM194" t="str">
        <f t="shared" si="148"/>
        <v/>
      </c>
    </row>
    <row r="195" spans="3:39" x14ac:dyDescent="0.35">
      <c r="D195" t="s">
        <v>35</v>
      </c>
      <c r="E195" t="s">
        <v>39</v>
      </c>
      <c r="G195" s="4">
        <v>0.18449993014641472</v>
      </c>
      <c r="H195" s="4">
        <v>0.29011010444796914</v>
      </c>
      <c r="I195" s="4">
        <v>0.52538996540561578</v>
      </c>
      <c r="K195">
        <v>4.55</v>
      </c>
      <c r="L195">
        <v>4.0999999999999996</v>
      </c>
      <c r="M195">
        <v>1.85</v>
      </c>
      <c r="N195" s="4">
        <v>0.21978021978021978</v>
      </c>
      <c r="O195" s="4">
        <v>0.24390243902439027</v>
      </c>
      <c r="P195" s="4">
        <v>0.54054054054054046</v>
      </c>
      <c r="R195" t="s">
        <v>103</v>
      </c>
      <c r="S195">
        <v>2</v>
      </c>
      <c r="T195">
        <v>0</v>
      </c>
      <c r="V195" t="s">
        <v>105</v>
      </c>
      <c r="W195">
        <v>0</v>
      </c>
      <c r="Z195" t="s">
        <v>117</v>
      </c>
      <c r="AB195" t="str">
        <f t="shared" si="149"/>
        <v/>
      </c>
      <c r="AC195" t="str">
        <f t="shared" si="150"/>
        <v/>
      </c>
      <c r="AD195">
        <f t="shared" si="151"/>
        <v>0</v>
      </c>
      <c r="AE195" t="str">
        <f t="shared" si="152"/>
        <v>A</v>
      </c>
      <c r="AF195">
        <f t="shared" si="153"/>
        <v>0</v>
      </c>
      <c r="AH195" t="str">
        <f t="shared" si="154"/>
        <v/>
      </c>
      <c r="AI195" t="str">
        <f t="shared" si="155"/>
        <v/>
      </c>
      <c r="AJ195">
        <f t="shared" si="156"/>
        <v>0</v>
      </c>
      <c r="AK195" t="str">
        <f t="shared" si="157"/>
        <v/>
      </c>
      <c r="AL195" t="str">
        <f t="shared" si="147"/>
        <v/>
      </c>
      <c r="AM195">
        <f t="shared" si="148"/>
        <v>-1</v>
      </c>
    </row>
    <row r="196" spans="3:39" x14ac:dyDescent="0.35">
      <c r="D196" t="s">
        <v>29</v>
      </c>
      <c r="E196" t="s">
        <v>42</v>
      </c>
      <c r="G196" s="4">
        <v>0.44869226079927305</v>
      </c>
      <c r="H196" s="4">
        <v>0.27867384177470234</v>
      </c>
      <c r="I196" s="4">
        <v>0.2726338974260249</v>
      </c>
      <c r="K196">
        <v>2.4500000000000002</v>
      </c>
      <c r="L196">
        <v>3.79</v>
      </c>
      <c r="M196">
        <v>3.05</v>
      </c>
      <c r="N196" s="4">
        <v>0.4081632653061224</v>
      </c>
      <c r="O196" s="4">
        <v>0.26385224274406333</v>
      </c>
      <c r="P196" s="4">
        <v>0.32786885245901642</v>
      </c>
      <c r="R196" t="s">
        <v>105</v>
      </c>
      <c r="S196">
        <v>0</v>
      </c>
      <c r="T196">
        <v>2</v>
      </c>
      <c r="V196" t="s">
        <v>103</v>
      </c>
      <c r="W196">
        <v>0</v>
      </c>
      <c r="Z196" t="s">
        <v>117</v>
      </c>
      <c r="AB196">
        <f t="shared" si="149"/>
        <v>0</v>
      </c>
      <c r="AC196" t="str">
        <f t="shared" si="150"/>
        <v/>
      </c>
      <c r="AD196" t="str">
        <f t="shared" si="151"/>
        <v/>
      </c>
      <c r="AE196" t="str">
        <f t="shared" si="152"/>
        <v>H</v>
      </c>
      <c r="AF196">
        <f t="shared" si="153"/>
        <v>0</v>
      </c>
      <c r="AH196">
        <f t="shared" si="154"/>
        <v>0</v>
      </c>
      <c r="AI196" t="str">
        <f t="shared" si="155"/>
        <v/>
      </c>
      <c r="AJ196" t="str">
        <f t="shared" si="156"/>
        <v/>
      </c>
      <c r="AK196">
        <f t="shared" si="157"/>
        <v>-1</v>
      </c>
      <c r="AL196" t="str">
        <f t="shared" si="147"/>
        <v/>
      </c>
      <c r="AM196" t="str">
        <f t="shared" si="148"/>
        <v/>
      </c>
    </row>
    <row r="197" spans="3:39" x14ac:dyDescent="0.35">
      <c r="AH197" t="str">
        <f t="shared" si="154"/>
        <v/>
      </c>
      <c r="AI197" t="str">
        <f t="shared" si="155"/>
        <v/>
      </c>
      <c r="AJ197" t="str">
        <f t="shared" si="156"/>
        <v/>
      </c>
    </row>
    <row r="198" spans="3:39" x14ac:dyDescent="0.35">
      <c r="AB198" s="4"/>
      <c r="AC198" s="4"/>
      <c r="AD198" s="4"/>
    </row>
    <row r="200" spans="3:39" x14ac:dyDescent="0.35">
      <c r="C200" t="s">
        <v>137</v>
      </c>
      <c r="H200" s="21" t="s">
        <v>107</v>
      </c>
      <c r="K200" s="22" t="s">
        <v>106</v>
      </c>
      <c r="N200" t="s">
        <v>108</v>
      </c>
    </row>
    <row r="201" spans="3:39" x14ac:dyDescent="0.35">
      <c r="G201" t="s">
        <v>103</v>
      </c>
      <c r="H201" t="s">
        <v>104</v>
      </c>
      <c r="I201" t="s">
        <v>105</v>
      </c>
      <c r="K201" t="s">
        <v>103</v>
      </c>
      <c r="L201" t="s">
        <v>104</v>
      </c>
      <c r="M201" t="s">
        <v>105</v>
      </c>
      <c r="N201" t="s">
        <v>103</v>
      </c>
      <c r="O201" t="s">
        <v>104</v>
      </c>
      <c r="P201" t="s">
        <v>105</v>
      </c>
      <c r="R201" t="s">
        <v>110</v>
      </c>
      <c r="V201" t="s">
        <v>112</v>
      </c>
      <c r="W201" t="s">
        <v>111</v>
      </c>
      <c r="X201" s="28" t="s">
        <v>114</v>
      </c>
      <c r="Z201" t="s">
        <v>113</v>
      </c>
      <c r="AA201" s="28" t="s">
        <v>116</v>
      </c>
      <c r="AB201" t="s">
        <v>166</v>
      </c>
      <c r="AC201" t="s">
        <v>167</v>
      </c>
      <c r="AD201" t="s">
        <v>168</v>
      </c>
      <c r="AK201" t="str">
        <f t="shared" ref="AK201:AK262" si="158">IF(AB201=1, K201, IF(AB201=0, -1,""))</f>
        <v/>
      </c>
      <c r="AL201" t="str">
        <f t="shared" ref="AL201:AL262" si="159">IF(AC201=1, L201, IF(AC201=0, -1,""))</f>
        <v/>
      </c>
      <c r="AM201" t="str">
        <f t="shared" ref="AM201:AM262" si="160">IF(AD201=1, M201, IF(AD201=0, -1,""))</f>
        <v/>
      </c>
    </row>
    <row r="202" spans="3:39" x14ac:dyDescent="0.35">
      <c r="D202" t="s">
        <v>29</v>
      </c>
      <c r="E202" t="s">
        <v>45</v>
      </c>
      <c r="G202" s="4">
        <v>0.57173584081008677</v>
      </c>
      <c r="H202" s="4">
        <v>0.26844327746502389</v>
      </c>
      <c r="I202" s="4">
        <v>0.15982088172488915</v>
      </c>
      <c r="K202">
        <v>1.59</v>
      </c>
      <c r="L202">
        <v>4.5999999999999996</v>
      </c>
      <c r="M202">
        <v>6.11</v>
      </c>
      <c r="N202" s="4">
        <v>0.62893081761006286</v>
      </c>
      <c r="O202" s="4">
        <v>0.21739130434782611</v>
      </c>
      <c r="P202" s="4">
        <v>0.16366612111292961</v>
      </c>
      <c r="R202" t="s">
        <v>103</v>
      </c>
      <c r="S202">
        <v>2</v>
      </c>
      <c r="T202">
        <v>1</v>
      </c>
      <c r="V202" t="s">
        <v>103</v>
      </c>
      <c r="W202">
        <v>1</v>
      </c>
      <c r="X202" s="28">
        <v>0.5</v>
      </c>
      <c r="Z202">
        <v>0</v>
      </c>
      <c r="AA202" s="28">
        <v>0</v>
      </c>
      <c r="AB202">
        <f>IF(V202=$G$5, IF(W202=$R$2, 1,0), "")</f>
        <v>1</v>
      </c>
      <c r="AC202" t="str">
        <f>IF(V202=$H$5, IF(W202=$R$2, 1,0), "")</f>
        <v/>
      </c>
      <c r="AD202" t="str">
        <f>IF(V202=$I$5, IF(W202=$R$2, 1,0), "")</f>
        <v/>
      </c>
      <c r="AE202" t="str">
        <f>IF(MAX(N202:P202)=N202,$N$5,IF(MAX(N202:P202)=O202,$O$5,$P$5))</f>
        <v>H</v>
      </c>
      <c r="AF202">
        <f>IF(AE202=R202, $R$2,$R$3)</f>
        <v>1</v>
      </c>
      <c r="AG202" s="28">
        <f>COUNTIF(AF202:AF211, $R$2)/COUNT(AF202:AF211)</f>
        <v>0.6</v>
      </c>
      <c r="AH202">
        <f>IF(AE202=$G$5, IF(AF202=$R$2, 1,0), "")</f>
        <v>1</v>
      </c>
      <c r="AI202" t="str">
        <f>IF(AE202=$H$5, IF(AF202=$R$2, 1,0), "")</f>
        <v/>
      </c>
      <c r="AJ202" t="str">
        <f>IF(AE202=$I$5, IF(AF202=$R$2, 1,0), "")</f>
        <v/>
      </c>
      <c r="AK202">
        <f>IF(AB202=1, K202-1, IF(AB202=0, -1,""))</f>
        <v>0.59000000000000008</v>
      </c>
      <c r="AL202" t="str">
        <f t="shared" ref="AL202:AL211" si="161">IF(AC202=1, L202-1, IF(AC202=0, -1,""))</f>
        <v/>
      </c>
      <c r="AM202" t="str">
        <f t="shared" ref="AM202:AM211" si="162">IF(AD202=1, M202-1, IF(AD202=0, -1,""))</f>
        <v/>
      </c>
    </row>
    <row r="203" spans="3:39" x14ac:dyDescent="0.35">
      <c r="D203" t="s">
        <v>38</v>
      </c>
      <c r="E203" t="s">
        <v>40</v>
      </c>
      <c r="G203" s="4">
        <v>0.25674815801163292</v>
      </c>
      <c r="H203" s="4">
        <v>0.32487800931340688</v>
      </c>
      <c r="I203" s="4">
        <v>0.41837383267496053</v>
      </c>
      <c r="K203">
        <v>3.65</v>
      </c>
      <c r="L203">
        <v>4</v>
      </c>
      <c r="M203">
        <v>2.08</v>
      </c>
      <c r="N203" s="4">
        <v>0.27397260273972601</v>
      </c>
      <c r="O203" s="4">
        <v>0.25</v>
      </c>
      <c r="P203" s="4">
        <v>0.48076923076923073</v>
      </c>
      <c r="R203" t="s">
        <v>104</v>
      </c>
      <c r="S203">
        <v>1</v>
      </c>
      <c r="T203">
        <v>1</v>
      </c>
      <c r="V203" t="s">
        <v>105</v>
      </c>
      <c r="W203">
        <v>0</v>
      </c>
      <c r="Z203" t="s">
        <v>117</v>
      </c>
      <c r="AA203" s="29" t="s">
        <v>117</v>
      </c>
      <c r="AB203" t="str">
        <f t="shared" ref="AB203:AB211" si="163">IF(V203=$G$5, IF(W203=$R$2, 1,0), "")</f>
        <v/>
      </c>
      <c r="AC203" t="str">
        <f t="shared" ref="AC203:AC211" si="164">IF(V203=$H$5, IF(W203=$R$2, 1,0), "")</f>
        <v/>
      </c>
      <c r="AD203">
        <f t="shared" ref="AD203:AD211" si="165">IF(V203=$I$5, IF(W203=$R$2, 1,0), "")</f>
        <v>0</v>
      </c>
      <c r="AE203" t="str">
        <f t="shared" ref="AE203:AE211" si="166">IF(MAX(N203:P203)=N203,$N$5,IF(MAX(N203:P203)=O203,$O$5,$P$5))</f>
        <v>A</v>
      </c>
      <c r="AF203">
        <f t="shared" ref="AF203:AF211" si="167">IF(AE203=R203, $R$2,$R$3)</f>
        <v>0</v>
      </c>
      <c r="AH203" t="str">
        <f t="shared" ref="AH203:AH211" si="168">IF(AE203=$G$5, IF(AF203=$R$2, 1,0), "")</f>
        <v/>
      </c>
      <c r="AI203" t="str">
        <f t="shared" ref="AI203:AI211" si="169">IF(AE203=$H$5, IF(AF203=$R$2, 1,0), "")</f>
        <v/>
      </c>
      <c r="AJ203">
        <f t="shared" ref="AJ203:AJ211" si="170">IF(AE203=$I$5, IF(AF203=$R$2, 1,0), "")</f>
        <v>0</v>
      </c>
      <c r="AK203" t="str">
        <f t="shared" ref="AK203:AK211" si="171">IF(AB203=1, K203-1, IF(AB203=0, -1,""))</f>
        <v/>
      </c>
      <c r="AL203" t="str">
        <f t="shared" si="161"/>
        <v/>
      </c>
      <c r="AM203">
        <f t="shared" si="162"/>
        <v>-1</v>
      </c>
    </row>
    <row r="204" spans="3:39" x14ac:dyDescent="0.35">
      <c r="D204" t="s">
        <v>52</v>
      </c>
      <c r="E204" t="s">
        <v>50</v>
      </c>
      <c r="G204" s="4">
        <v>0.39152087309329786</v>
      </c>
      <c r="H204" s="4">
        <v>0.32547679355179149</v>
      </c>
      <c r="I204" s="4">
        <v>0.28300233335491026</v>
      </c>
      <c r="K204">
        <v>2.2000000000000002</v>
      </c>
      <c r="L204">
        <v>3.9</v>
      </c>
      <c r="M204">
        <v>3.45</v>
      </c>
      <c r="N204" s="4">
        <v>0.45454545454545453</v>
      </c>
      <c r="O204" s="4">
        <v>0.25641025641025644</v>
      </c>
      <c r="P204" s="4">
        <v>0.28985507246376813</v>
      </c>
      <c r="R204" t="s">
        <v>103</v>
      </c>
      <c r="S204">
        <v>1</v>
      </c>
      <c r="T204">
        <v>0</v>
      </c>
      <c r="V204" t="s">
        <v>103</v>
      </c>
      <c r="W204">
        <v>1</v>
      </c>
      <c r="Z204">
        <v>0</v>
      </c>
      <c r="AB204">
        <f t="shared" si="163"/>
        <v>1</v>
      </c>
      <c r="AC204" t="str">
        <f t="shared" si="164"/>
        <v/>
      </c>
      <c r="AD204" t="str">
        <f t="shared" si="165"/>
        <v/>
      </c>
      <c r="AE204" t="str">
        <f t="shared" si="166"/>
        <v>H</v>
      </c>
      <c r="AF204">
        <f t="shared" si="167"/>
        <v>1</v>
      </c>
      <c r="AH204">
        <f t="shared" si="168"/>
        <v>1</v>
      </c>
      <c r="AI204" t="str">
        <f t="shared" si="169"/>
        <v/>
      </c>
      <c r="AJ204" t="str">
        <f t="shared" si="170"/>
        <v/>
      </c>
      <c r="AK204">
        <f t="shared" si="171"/>
        <v>1.2000000000000002</v>
      </c>
      <c r="AL204" t="str">
        <f t="shared" si="161"/>
        <v/>
      </c>
      <c r="AM204" t="str">
        <f t="shared" si="162"/>
        <v/>
      </c>
    </row>
    <row r="205" spans="3:39" x14ac:dyDescent="0.35">
      <c r="D205" t="s">
        <v>42</v>
      </c>
      <c r="E205" t="s">
        <v>34</v>
      </c>
      <c r="G205" s="4">
        <v>0.52052388673554528</v>
      </c>
      <c r="H205" s="4">
        <v>0.28195395125439748</v>
      </c>
      <c r="I205" s="4">
        <v>0.19752216201005732</v>
      </c>
      <c r="K205">
        <v>1.39</v>
      </c>
      <c r="L205">
        <v>5.75</v>
      </c>
      <c r="M205">
        <v>9.25</v>
      </c>
      <c r="N205" s="4">
        <v>0.71942446043165476</v>
      </c>
      <c r="O205" s="4">
        <v>0.17391304347826086</v>
      </c>
      <c r="P205" s="4">
        <v>0.10810810810810811</v>
      </c>
      <c r="R205" t="s">
        <v>105</v>
      </c>
      <c r="S205">
        <v>0</v>
      </c>
      <c r="T205">
        <v>2</v>
      </c>
      <c r="V205" t="s">
        <v>103</v>
      </c>
      <c r="W205">
        <v>0</v>
      </c>
      <c r="Z205" t="s">
        <v>117</v>
      </c>
      <c r="AB205">
        <f t="shared" si="163"/>
        <v>0</v>
      </c>
      <c r="AC205" t="str">
        <f t="shared" si="164"/>
        <v/>
      </c>
      <c r="AD205" t="str">
        <f t="shared" si="165"/>
        <v/>
      </c>
      <c r="AE205" t="str">
        <f t="shared" si="166"/>
        <v>H</v>
      </c>
      <c r="AF205">
        <f t="shared" si="167"/>
        <v>0</v>
      </c>
      <c r="AH205">
        <f t="shared" si="168"/>
        <v>0</v>
      </c>
      <c r="AI205" t="str">
        <f t="shared" si="169"/>
        <v/>
      </c>
      <c r="AJ205" t="str">
        <f t="shared" si="170"/>
        <v/>
      </c>
      <c r="AK205">
        <f t="shared" si="171"/>
        <v>-1</v>
      </c>
      <c r="AL205" t="str">
        <f t="shared" si="161"/>
        <v/>
      </c>
      <c r="AM205" t="str">
        <f t="shared" si="162"/>
        <v/>
      </c>
    </row>
    <row r="206" spans="3:39" x14ac:dyDescent="0.35">
      <c r="D206" t="s">
        <v>51</v>
      </c>
      <c r="E206" t="s">
        <v>35</v>
      </c>
      <c r="G206" s="4">
        <v>0.50641240637062346</v>
      </c>
      <c r="H206" s="4">
        <v>0.31756098722358655</v>
      </c>
      <c r="I206" s="4">
        <v>0.17602660640579038</v>
      </c>
      <c r="K206">
        <v>1.95</v>
      </c>
      <c r="L206">
        <v>3.7</v>
      </c>
      <c r="M206">
        <v>4.6500000000000004</v>
      </c>
      <c r="N206" s="4">
        <v>0.51282051282051289</v>
      </c>
      <c r="O206" s="4">
        <v>0.27027027027027023</v>
      </c>
      <c r="P206" s="4">
        <v>0.21505376344086019</v>
      </c>
      <c r="R206" t="s">
        <v>104</v>
      </c>
      <c r="S206">
        <v>1</v>
      </c>
      <c r="T206">
        <v>1</v>
      </c>
      <c r="V206" t="s">
        <v>103</v>
      </c>
      <c r="W206">
        <v>0</v>
      </c>
      <c r="Z206" t="s">
        <v>117</v>
      </c>
      <c r="AB206">
        <f t="shared" si="163"/>
        <v>0</v>
      </c>
      <c r="AC206" t="str">
        <f t="shared" si="164"/>
        <v/>
      </c>
      <c r="AD206" t="str">
        <f t="shared" si="165"/>
        <v/>
      </c>
      <c r="AE206" t="str">
        <f t="shared" si="166"/>
        <v>H</v>
      </c>
      <c r="AF206">
        <f t="shared" si="167"/>
        <v>0</v>
      </c>
      <c r="AH206">
        <f t="shared" si="168"/>
        <v>0</v>
      </c>
      <c r="AI206" t="str">
        <f t="shared" si="169"/>
        <v/>
      </c>
      <c r="AJ206" t="str">
        <f t="shared" si="170"/>
        <v/>
      </c>
      <c r="AK206">
        <f t="shared" si="171"/>
        <v>-1</v>
      </c>
      <c r="AL206" t="str">
        <f t="shared" si="161"/>
        <v/>
      </c>
      <c r="AM206" t="str">
        <f t="shared" si="162"/>
        <v/>
      </c>
    </row>
    <row r="207" spans="3:39" x14ac:dyDescent="0.35">
      <c r="D207" t="s">
        <v>30</v>
      </c>
      <c r="E207" t="s">
        <v>43</v>
      </c>
      <c r="G207" s="4">
        <v>0.31162969247818356</v>
      </c>
      <c r="H207" s="4">
        <v>0.3617747132281664</v>
      </c>
      <c r="I207" s="4">
        <v>0.32659559429364948</v>
      </c>
      <c r="K207">
        <v>2.4500000000000002</v>
      </c>
      <c r="L207">
        <v>3.59</v>
      </c>
      <c r="M207">
        <v>3.21</v>
      </c>
      <c r="N207" s="4">
        <v>0.4081632653061224</v>
      </c>
      <c r="O207" s="4">
        <v>0.2785515320334262</v>
      </c>
      <c r="P207" s="4">
        <v>0.3115264797507788</v>
      </c>
      <c r="R207" t="s">
        <v>103</v>
      </c>
      <c r="S207">
        <v>2</v>
      </c>
      <c r="T207">
        <v>1</v>
      </c>
      <c r="V207" t="s">
        <v>104</v>
      </c>
      <c r="W207">
        <v>0</v>
      </c>
      <c r="Z207" t="s">
        <v>117</v>
      </c>
      <c r="AB207" t="str">
        <f t="shared" si="163"/>
        <v/>
      </c>
      <c r="AC207">
        <f t="shared" si="164"/>
        <v>0</v>
      </c>
      <c r="AD207" t="str">
        <f t="shared" si="165"/>
        <v/>
      </c>
      <c r="AE207" t="str">
        <f t="shared" si="166"/>
        <v>H</v>
      </c>
      <c r="AF207">
        <f t="shared" si="167"/>
        <v>1</v>
      </c>
      <c r="AH207">
        <f t="shared" si="168"/>
        <v>1</v>
      </c>
      <c r="AI207" t="str">
        <f t="shared" si="169"/>
        <v/>
      </c>
      <c r="AJ207" t="str">
        <f t="shared" si="170"/>
        <v/>
      </c>
      <c r="AK207" t="str">
        <f t="shared" si="171"/>
        <v/>
      </c>
      <c r="AL207">
        <f t="shared" si="161"/>
        <v>-1</v>
      </c>
      <c r="AM207" t="str">
        <f t="shared" si="162"/>
        <v/>
      </c>
    </row>
    <row r="208" spans="3:39" x14ac:dyDescent="0.35">
      <c r="D208" t="s">
        <v>28</v>
      </c>
      <c r="E208" t="s">
        <v>32</v>
      </c>
      <c r="G208" s="4">
        <v>0.36251938859731847</v>
      </c>
      <c r="H208" s="4">
        <v>0.3344381836754437</v>
      </c>
      <c r="I208" s="4">
        <v>0.30304242772723783</v>
      </c>
      <c r="K208">
        <v>1.76</v>
      </c>
      <c r="L208">
        <v>3.9</v>
      </c>
      <c r="M208">
        <v>5.65</v>
      </c>
      <c r="N208" s="4">
        <v>0.56818181818181823</v>
      </c>
      <c r="O208" s="4">
        <v>0.25641025641025644</v>
      </c>
      <c r="P208" s="4">
        <v>0.17699115044247787</v>
      </c>
      <c r="R208" t="s">
        <v>103</v>
      </c>
      <c r="S208">
        <v>1</v>
      </c>
      <c r="T208">
        <v>0</v>
      </c>
      <c r="V208" t="s">
        <v>103</v>
      </c>
      <c r="W208">
        <v>1</v>
      </c>
      <c r="Z208">
        <v>0</v>
      </c>
      <c r="AB208">
        <f t="shared" si="163"/>
        <v>1</v>
      </c>
      <c r="AC208" t="str">
        <f t="shared" si="164"/>
        <v/>
      </c>
      <c r="AD208" t="str">
        <f t="shared" si="165"/>
        <v/>
      </c>
      <c r="AE208" t="str">
        <f t="shared" si="166"/>
        <v>H</v>
      </c>
      <c r="AF208">
        <f t="shared" si="167"/>
        <v>1</v>
      </c>
      <c r="AH208">
        <f t="shared" si="168"/>
        <v>1</v>
      </c>
      <c r="AI208" t="str">
        <f t="shared" si="169"/>
        <v/>
      </c>
      <c r="AJ208" t="str">
        <f t="shared" si="170"/>
        <v/>
      </c>
      <c r="AK208">
        <f t="shared" si="171"/>
        <v>0.76</v>
      </c>
      <c r="AL208" t="str">
        <f t="shared" si="161"/>
        <v/>
      </c>
      <c r="AM208" t="str">
        <f t="shared" si="162"/>
        <v/>
      </c>
    </row>
    <row r="209" spans="3:39" x14ac:dyDescent="0.35">
      <c r="D209" t="s">
        <v>39</v>
      </c>
      <c r="E209" t="s">
        <v>46</v>
      </c>
      <c r="G209" s="4">
        <v>0.57093543335712149</v>
      </c>
      <c r="H209" s="4">
        <v>0.28701818942872587</v>
      </c>
      <c r="I209" s="4">
        <v>0.14204637721415264</v>
      </c>
      <c r="K209">
        <v>1.39</v>
      </c>
      <c r="L209">
        <v>5.5</v>
      </c>
      <c r="M209">
        <v>10</v>
      </c>
      <c r="N209" s="4">
        <v>0.71942446043165476</v>
      </c>
      <c r="O209" s="4">
        <v>0.18181818181818182</v>
      </c>
      <c r="P209" s="4">
        <v>0.1</v>
      </c>
      <c r="R209" t="s">
        <v>103</v>
      </c>
      <c r="S209">
        <v>4</v>
      </c>
      <c r="T209">
        <v>1</v>
      </c>
      <c r="V209" t="s">
        <v>103</v>
      </c>
      <c r="W209">
        <v>1</v>
      </c>
      <c r="Z209">
        <v>0</v>
      </c>
      <c r="AB209">
        <f t="shared" si="163"/>
        <v>1</v>
      </c>
      <c r="AC209" t="str">
        <f t="shared" si="164"/>
        <v/>
      </c>
      <c r="AD209" t="str">
        <f t="shared" si="165"/>
        <v/>
      </c>
      <c r="AE209" t="str">
        <f t="shared" si="166"/>
        <v>H</v>
      </c>
      <c r="AF209">
        <f t="shared" si="167"/>
        <v>1</v>
      </c>
      <c r="AH209">
        <f t="shared" si="168"/>
        <v>1</v>
      </c>
      <c r="AI209" t="str">
        <f t="shared" si="169"/>
        <v/>
      </c>
      <c r="AJ209" t="str">
        <f t="shared" si="170"/>
        <v/>
      </c>
      <c r="AK209">
        <f t="shared" si="171"/>
        <v>0.3899999999999999</v>
      </c>
      <c r="AL209" t="str">
        <f t="shared" si="161"/>
        <v/>
      </c>
      <c r="AM209" t="str">
        <f t="shared" si="162"/>
        <v/>
      </c>
    </row>
    <row r="210" spans="3:39" x14ac:dyDescent="0.35">
      <c r="D210" t="s">
        <v>25</v>
      </c>
      <c r="E210" t="s">
        <v>41</v>
      </c>
      <c r="G210" s="4">
        <v>0.21190680067168985</v>
      </c>
      <c r="H210" s="4">
        <v>0.34701787403792006</v>
      </c>
      <c r="I210" s="4">
        <v>0.44107532529039017</v>
      </c>
      <c r="K210">
        <v>3.5</v>
      </c>
      <c r="L210">
        <v>3.95</v>
      </c>
      <c r="M210">
        <v>2.16</v>
      </c>
      <c r="N210" s="4">
        <v>0.2857142857142857</v>
      </c>
      <c r="O210" s="4">
        <v>0.25316455696202528</v>
      </c>
      <c r="P210" s="4">
        <v>0.46296296296296291</v>
      </c>
      <c r="R210" t="s">
        <v>105</v>
      </c>
      <c r="S210">
        <v>0</v>
      </c>
      <c r="T210">
        <v>4</v>
      </c>
      <c r="V210" t="s">
        <v>105</v>
      </c>
      <c r="W210">
        <v>1</v>
      </c>
      <c r="Z210">
        <v>0</v>
      </c>
      <c r="AB210" t="str">
        <f t="shared" si="163"/>
        <v/>
      </c>
      <c r="AC210" t="str">
        <f t="shared" si="164"/>
        <v/>
      </c>
      <c r="AD210">
        <f t="shared" si="165"/>
        <v>1</v>
      </c>
      <c r="AE210" t="str">
        <f t="shared" si="166"/>
        <v>A</v>
      </c>
      <c r="AF210">
        <f t="shared" si="167"/>
        <v>1</v>
      </c>
      <c r="AH210" t="str">
        <f t="shared" si="168"/>
        <v/>
      </c>
      <c r="AI210" t="str">
        <f t="shared" si="169"/>
        <v/>
      </c>
      <c r="AJ210">
        <f t="shared" si="170"/>
        <v>1</v>
      </c>
      <c r="AK210" t="str">
        <f t="shared" si="171"/>
        <v/>
      </c>
      <c r="AL210" t="str">
        <f t="shared" si="161"/>
        <v/>
      </c>
      <c r="AM210">
        <f t="shared" si="162"/>
        <v>1.1600000000000001</v>
      </c>
    </row>
    <row r="211" spans="3:39" x14ac:dyDescent="0.35">
      <c r="D211" t="s">
        <v>49</v>
      </c>
      <c r="E211" t="s">
        <v>36</v>
      </c>
      <c r="G211" s="4">
        <v>0.11873911709292813</v>
      </c>
      <c r="H211" s="4">
        <v>0.22704480018586021</v>
      </c>
      <c r="I211" s="4">
        <v>0.65421608272121157</v>
      </c>
      <c r="K211">
        <v>8.59</v>
      </c>
      <c r="L211">
        <v>5.2</v>
      </c>
      <c r="M211">
        <v>1.44</v>
      </c>
      <c r="N211" s="4">
        <v>0.11641443538998836</v>
      </c>
      <c r="O211" s="4">
        <v>0.19230769230769229</v>
      </c>
      <c r="P211" s="4">
        <v>0.69444444444444442</v>
      </c>
      <c r="R211" t="s">
        <v>103</v>
      </c>
      <c r="S211">
        <v>3</v>
      </c>
      <c r="T211">
        <v>2</v>
      </c>
      <c r="V211" t="s">
        <v>105</v>
      </c>
      <c r="W211">
        <v>0</v>
      </c>
      <c r="Z211" t="s">
        <v>117</v>
      </c>
      <c r="AB211" t="str">
        <f t="shared" si="163"/>
        <v/>
      </c>
      <c r="AC211" t="str">
        <f t="shared" si="164"/>
        <v/>
      </c>
      <c r="AD211">
        <f t="shared" si="165"/>
        <v>0</v>
      </c>
      <c r="AE211" t="str">
        <f t="shared" si="166"/>
        <v>A</v>
      </c>
      <c r="AF211">
        <f t="shared" si="167"/>
        <v>0</v>
      </c>
      <c r="AH211" t="str">
        <f t="shared" si="168"/>
        <v/>
      </c>
      <c r="AI211" t="str">
        <f t="shared" si="169"/>
        <v/>
      </c>
      <c r="AJ211">
        <f t="shared" si="170"/>
        <v>0</v>
      </c>
      <c r="AK211" t="str">
        <f t="shared" si="171"/>
        <v/>
      </c>
      <c r="AL211" t="str">
        <f t="shared" si="161"/>
        <v/>
      </c>
      <c r="AM211">
        <f t="shared" si="162"/>
        <v>-1</v>
      </c>
    </row>
    <row r="212" spans="3:39" x14ac:dyDescent="0.35">
      <c r="AB212" s="4"/>
      <c r="AC212" s="4"/>
      <c r="AD212" s="4"/>
    </row>
    <row r="215" spans="3:39" x14ac:dyDescent="0.35">
      <c r="C215" t="s">
        <v>138</v>
      </c>
      <c r="H215" s="21" t="s">
        <v>107</v>
      </c>
      <c r="K215" s="22" t="s">
        <v>106</v>
      </c>
      <c r="N215" t="s">
        <v>108</v>
      </c>
    </row>
    <row r="216" spans="3:39" x14ac:dyDescent="0.35">
      <c r="G216" t="s">
        <v>103</v>
      </c>
      <c r="H216" t="s">
        <v>104</v>
      </c>
      <c r="I216" t="s">
        <v>105</v>
      </c>
      <c r="K216" t="s">
        <v>103</v>
      </c>
      <c r="L216" t="s">
        <v>104</v>
      </c>
      <c r="M216" t="s">
        <v>105</v>
      </c>
      <c r="N216" t="s">
        <v>103</v>
      </c>
      <c r="O216" t="s">
        <v>104</v>
      </c>
      <c r="P216" t="s">
        <v>105</v>
      </c>
      <c r="R216" t="s">
        <v>110</v>
      </c>
      <c r="V216" t="s">
        <v>112</v>
      </c>
      <c r="W216" t="s">
        <v>111</v>
      </c>
      <c r="X216" s="28" t="s">
        <v>114</v>
      </c>
      <c r="Z216" t="s">
        <v>113</v>
      </c>
      <c r="AA216" s="28" t="s">
        <v>116</v>
      </c>
      <c r="AB216" t="s">
        <v>166</v>
      </c>
      <c r="AC216" t="s">
        <v>167</v>
      </c>
      <c r="AD216" t="s">
        <v>168</v>
      </c>
      <c r="AK216" t="str">
        <f t="shared" si="158"/>
        <v/>
      </c>
      <c r="AL216" t="str">
        <f t="shared" si="159"/>
        <v/>
      </c>
      <c r="AM216" t="str">
        <f t="shared" si="160"/>
        <v/>
      </c>
    </row>
    <row r="217" spans="3:39" x14ac:dyDescent="0.35">
      <c r="D217" t="s">
        <v>45</v>
      </c>
      <c r="E217" t="s">
        <v>38</v>
      </c>
      <c r="G217" s="4">
        <v>0.36181253246057715</v>
      </c>
      <c r="H217" s="4">
        <v>0.32794244323021532</v>
      </c>
      <c r="I217" s="4">
        <v>0.31024502430920764</v>
      </c>
      <c r="K217">
        <v>1.86</v>
      </c>
      <c r="L217">
        <v>4</v>
      </c>
      <c r="M217">
        <v>4.75</v>
      </c>
      <c r="N217" s="4">
        <v>0.5376344086021505</v>
      </c>
      <c r="O217" s="4">
        <v>0.25</v>
      </c>
      <c r="P217" s="4">
        <v>0.21052631578947367</v>
      </c>
      <c r="R217" t="s">
        <v>103</v>
      </c>
      <c r="S217">
        <v>2</v>
      </c>
      <c r="T217">
        <v>0</v>
      </c>
      <c r="V217" t="s">
        <v>103</v>
      </c>
      <c r="W217">
        <v>1</v>
      </c>
      <c r="X217" s="28">
        <v>0.8</v>
      </c>
      <c r="Z217">
        <v>0</v>
      </c>
      <c r="AA217" s="28">
        <v>0.25</v>
      </c>
      <c r="AB217">
        <f>IF(V217=$G$5, IF(W217=$R$2, 1,0), "")</f>
        <v>1</v>
      </c>
      <c r="AC217" t="str">
        <f>IF(V217=$H$5, IF(W217=$R$2, 1,0), "")</f>
        <v/>
      </c>
      <c r="AD217" t="str">
        <f>IF(V217=$I$5, IF(W217=$R$2, 1,0), "")</f>
        <v/>
      </c>
      <c r="AE217" t="str">
        <f>IF(MAX(N217:P217)=N217,$N$5,IF(MAX(N217:P217)=O217,$O$5,$P$5))</f>
        <v>H</v>
      </c>
      <c r="AF217">
        <f>IF(AE217=R217, $R$2,$R$3)</f>
        <v>1</v>
      </c>
      <c r="AG217" s="28">
        <f>COUNTIF(AF217:AF226, $R$2)/COUNT(AF217:AF226)</f>
        <v>0.8</v>
      </c>
      <c r="AH217">
        <f>IF(AE217=$G$5, IF(AF217=$R$2, 1,0), "")</f>
        <v>1</v>
      </c>
      <c r="AI217" t="str">
        <f>IF(AE217=$H$5, IF(AF217=$R$2, 1,0), "")</f>
        <v/>
      </c>
      <c r="AJ217" t="str">
        <f>IF(AE217=$I$5, IF(AF217=$R$2, 1,0), "")</f>
        <v/>
      </c>
      <c r="AK217">
        <f>IF(AB217=1, K217-1, IF(AB217=0, -1,""))</f>
        <v>0.8600000000000001</v>
      </c>
      <c r="AL217" t="str">
        <f t="shared" ref="AL217:AL226" si="172">IF(AC217=1, L217-1, IF(AC217=0, -1,""))</f>
        <v/>
      </c>
      <c r="AM217" t="str">
        <f t="shared" ref="AM217:AM226" si="173">IF(AD217=1, M217-1, IF(AD217=0, -1,""))</f>
        <v/>
      </c>
    </row>
    <row r="218" spans="3:39" x14ac:dyDescent="0.35">
      <c r="D218" t="s">
        <v>46</v>
      </c>
      <c r="E218" t="s">
        <v>28</v>
      </c>
      <c r="G218" s="4">
        <v>0.23685203484431885</v>
      </c>
      <c r="H218" s="4">
        <v>0.34837987767572659</v>
      </c>
      <c r="I218" s="4">
        <v>0.41476808747995436</v>
      </c>
      <c r="K218">
        <v>3.7</v>
      </c>
      <c r="L218">
        <v>3.5</v>
      </c>
      <c r="M218">
        <v>2.2000000000000002</v>
      </c>
      <c r="N218" s="4">
        <v>0.27027027027027023</v>
      </c>
      <c r="O218" s="4">
        <v>0.2857142857142857</v>
      </c>
      <c r="P218" s="4">
        <v>0.45454545454545453</v>
      </c>
      <c r="R218" t="s">
        <v>105</v>
      </c>
      <c r="S218">
        <v>1</v>
      </c>
      <c r="T218">
        <v>2</v>
      </c>
      <c r="V218" t="s">
        <v>105</v>
      </c>
      <c r="W218">
        <v>1</v>
      </c>
      <c r="Z218">
        <v>0</v>
      </c>
      <c r="AA218" s="29" t="s">
        <v>117</v>
      </c>
      <c r="AB218" t="str">
        <f t="shared" ref="AB218:AB226" si="174">IF(V218=$G$5, IF(W218=$R$2, 1,0), "")</f>
        <v/>
      </c>
      <c r="AC218" t="str">
        <f t="shared" ref="AC218:AC226" si="175">IF(V218=$H$5, IF(W218=$R$2, 1,0), "")</f>
        <v/>
      </c>
      <c r="AD218">
        <f t="shared" ref="AD218:AD226" si="176">IF(V218=$I$5, IF(W218=$R$2, 1,0), "")</f>
        <v>1</v>
      </c>
      <c r="AE218" t="str">
        <f t="shared" ref="AE218:AE226" si="177">IF(MAX(N218:P218)=N218,$N$5,IF(MAX(N218:P218)=O218,$O$5,$P$5))</f>
        <v>A</v>
      </c>
      <c r="AF218">
        <f t="shared" ref="AF218:AF226" si="178">IF(AE218=R218, $R$2,$R$3)</f>
        <v>1</v>
      </c>
      <c r="AH218" t="str">
        <f t="shared" ref="AH218:AH226" si="179">IF(AE218=$G$5, IF(AF218=$R$2, 1,0), "")</f>
        <v/>
      </c>
      <c r="AI218" t="str">
        <f t="shared" ref="AI218:AI226" si="180">IF(AE218=$H$5, IF(AF218=$R$2, 1,0), "")</f>
        <v/>
      </c>
      <c r="AJ218">
        <f t="shared" ref="AJ218:AJ226" si="181">IF(AE218=$I$5, IF(AF218=$R$2, 1,0), "")</f>
        <v>1</v>
      </c>
      <c r="AK218" t="str">
        <f t="shared" ref="AK218:AK226" si="182">IF(AB218=1, K218-1, IF(AB218=0, -1,""))</f>
        <v/>
      </c>
      <c r="AL218" t="str">
        <f t="shared" si="172"/>
        <v/>
      </c>
      <c r="AM218">
        <f t="shared" si="173"/>
        <v>1.2000000000000002</v>
      </c>
    </row>
    <row r="219" spans="3:39" x14ac:dyDescent="0.35">
      <c r="D219" t="s">
        <v>34</v>
      </c>
      <c r="E219" t="s">
        <v>30</v>
      </c>
      <c r="G219" s="4">
        <v>0.28622789114695657</v>
      </c>
      <c r="H219" s="4">
        <v>0.31346454120827727</v>
      </c>
      <c r="I219" s="4">
        <v>0.40030756764476599</v>
      </c>
      <c r="K219">
        <v>2.0499999999999998</v>
      </c>
      <c r="L219">
        <v>3.68</v>
      </c>
      <c r="M219">
        <v>4.0999999999999996</v>
      </c>
      <c r="N219" s="4">
        <v>0.48780487804878053</v>
      </c>
      <c r="O219" s="4">
        <v>0.27173913043478259</v>
      </c>
      <c r="P219" s="4">
        <v>0.24390243902439027</v>
      </c>
      <c r="R219" t="s">
        <v>104</v>
      </c>
      <c r="S219">
        <v>1</v>
      </c>
      <c r="T219">
        <v>1</v>
      </c>
      <c r="V219" t="s">
        <v>105</v>
      </c>
      <c r="W219">
        <v>0</v>
      </c>
      <c r="Z219" t="s">
        <v>117</v>
      </c>
      <c r="AB219" t="str">
        <f t="shared" si="174"/>
        <v/>
      </c>
      <c r="AC219" t="str">
        <f t="shared" si="175"/>
        <v/>
      </c>
      <c r="AD219">
        <f t="shared" si="176"/>
        <v>0</v>
      </c>
      <c r="AE219" t="str">
        <f t="shared" si="177"/>
        <v>H</v>
      </c>
      <c r="AF219">
        <f t="shared" si="178"/>
        <v>0</v>
      </c>
      <c r="AH219">
        <f t="shared" si="179"/>
        <v>0</v>
      </c>
      <c r="AI219" t="str">
        <f t="shared" si="180"/>
        <v/>
      </c>
      <c r="AJ219" t="str">
        <f t="shared" si="181"/>
        <v/>
      </c>
      <c r="AK219" t="str">
        <f t="shared" si="182"/>
        <v/>
      </c>
      <c r="AL219" t="str">
        <f t="shared" si="172"/>
        <v/>
      </c>
      <c r="AM219">
        <f t="shared" si="173"/>
        <v>-1</v>
      </c>
    </row>
    <row r="220" spans="3:39" x14ac:dyDescent="0.35">
      <c r="D220" t="s">
        <v>35</v>
      </c>
      <c r="E220" t="s">
        <v>52</v>
      </c>
      <c r="G220" s="4">
        <v>0.36755512912633165</v>
      </c>
      <c r="H220" s="4">
        <v>0.29006445158716193</v>
      </c>
      <c r="I220" s="4">
        <v>0.34238041928650659</v>
      </c>
      <c r="K220">
        <v>2.04</v>
      </c>
      <c r="L220">
        <v>3.95</v>
      </c>
      <c r="M220">
        <v>3.85</v>
      </c>
      <c r="N220" s="4">
        <v>0.49019607843137253</v>
      </c>
      <c r="O220" s="4">
        <v>0.25316455696202528</v>
      </c>
      <c r="P220" s="4">
        <v>0.25974025974025972</v>
      </c>
      <c r="R220" t="s">
        <v>103</v>
      </c>
      <c r="S220">
        <v>3</v>
      </c>
      <c r="T220">
        <v>0</v>
      </c>
      <c r="V220" t="s">
        <v>103</v>
      </c>
      <c r="W220">
        <v>1</v>
      </c>
      <c r="Z220">
        <v>0</v>
      </c>
      <c r="AB220">
        <f t="shared" si="174"/>
        <v>1</v>
      </c>
      <c r="AC220" t="str">
        <f t="shared" si="175"/>
        <v/>
      </c>
      <c r="AD220" t="str">
        <f t="shared" si="176"/>
        <v/>
      </c>
      <c r="AE220" t="str">
        <f t="shared" si="177"/>
        <v>H</v>
      </c>
      <c r="AF220">
        <f t="shared" si="178"/>
        <v>1</v>
      </c>
      <c r="AH220">
        <f t="shared" si="179"/>
        <v>1</v>
      </c>
      <c r="AI220" t="str">
        <f t="shared" si="180"/>
        <v/>
      </c>
      <c r="AJ220" t="str">
        <f t="shared" si="181"/>
        <v/>
      </c>
      <c r="AK220">
        <f t="shared" si="182"/>
        <v>1.04</v>
      </c>
      <c r="AL220" t="str">
        <f t="shared" si="172"/>
        <v/>
      </c>
      <c r="AM220" t="str">
        <f t="shared" si="173"/>
        <v/>
      </c>
    </row>
    <row r="221" spans="3:39" x14ac:dyDescent="0.35">
      <c r="D221" t="s">
        <v>43</v>
      </c>
      <c r="E221" t="s">
        <v>25</v>
      </c>
      <c r="G221" s="4">
        <v>0.14942206462267188</v>
      </c>
      <c r="H221" s="4">
        <v>0.21676579587227723</v>
      </c>
      <c r="I221" s="4">
        <v>0.633812139505051</v>
      </c>
      <c r="K221">
        <v>4.25</v>
      </c>
      <c r="L221">
        <v>4</v>
      </c>
      <c r="M221">
        <v>1.93</v>
      </c>
      <c r="N221" s="4">
        <v>0.23529411764705882</v>
      </c>
      <c r="O221" s="4">
        <v>0.25</v>
      </c>
      <c r="P221" s="4">
        <v>0.5181347150259068</v>
      </c>
      <c r="R221" t="s">
        <v>105</v>
      </c>
      <c r="S221">
        <v>1</v>
      </c>
      <c r="T221">
        <v>2</v>
      </c>
      <c r="V221" t="s">
        <v>105</v>
      </c>
      <c r="W221">
        <v>1</v>
      </c>
      <c r="Z221">
        <v>1</v>
      </c>
      <c r="AB221" t="str">
        <f t="shared" si="174"/>
        <v/>
      </c>
      <c r="AC221" t="str">
        <f t="shared" si="175"/>
        <v/>
      </c>
      <c r="AD221">
        <f t="shared" si="176"/>
        <v>1</v>
      </c>
      <c r="AE221" t="str">
        <f t="shared" si="177"/>
        <v>A</v>
      </c>
      <c r="AF221">
        <f t="shared" si="178"/>
        <v>1</v>
      </c>
      <c r="AH221" t="str">
        <f t="shared" si="179"/>
        <v/>
      </c>
      <c r="AI221" t="str">
        <f t="shared" si="180"/>
        <v/>
      </c>
      <c r="AJ221">
        <f t="shared" si="181"/>
        <v>1</v>
      </c>
      <c r="AK221" t="str">
        <f t="shared" si="182"/>
        <v/>
      </c>
      <c r="AL221" t="str">
        <f t="shared" si="172"/>
        <v/>
      </c>
      <c r="AM221">
        <f t="shared" si="173"/>
        <v>0.92999999999999994</v>
      </c>
    </row>
    <row r="222" spans="3:39" x14ac:dyDescent="0.35">
      <c r="D222" t="s">
        <v>50</v>
      </c>
      <c r="E222" t="s">
        <v>29</v>
      </c>
      <c r="G222" s="4">
        <v>0.1996639982975692</v>
      </c>
      <c r="H222" s="4">
        <v>0.24474105791031331</v>
      </c>
      <c r="I222" s="4">
        <v>0.55559494379211771</v>
      </c>
      <c r="K222">
        <v>5.35</v>
      </c>
      <c r="L222">
        <v>4.2</v>
      </c>
      <c r="M222">
        <v>1.74</v>
      </c>
      <c r="N222" s="4">
        <v>0.18691588785046731</v>
      </c>
      <c r="O222" s="4">
        <v>0.23809523809523808</v>
      </c>
      <c r="P222" s="4">
        <v>0.57471264367816088</v>
      </c>
      <c r="R222" t="s">
        <v>104</v>
      </c>
      <c r="S222">
        <v>2</v>
      </c>
      <c r="T222">
        <v>2</v>
      </c>
      <c r="V222" t="s">
        <v>105</v>
      </c>
      <c r="W222">
        <v>0</v>
      </c>
      <c r="Z222" t="s">
        <v>117</v>
      </c>
      <c r="AB222" t="str">
        <f t="shared" si="174"/>
        <v/>
      </c>
      <c r="AC222" t="str">
        <f t="shared" si="175"/>
        <v/>
      </c>
      <c r="AD222">
        <f t="shared" si="176"/>
        <v>0</v>
      </c>
      <c r="AE222" t="str">
        <f t="shared" si="177"/>
        <v>A</v>
      </c>
      <c r="AF222">
        <f t="shared" si="178"/>
        <v>0</v>
      </c>
      <c r="AH222" t="str">
        <f t="shared" si="179"/>
        <v/>
      </c>
      <c r="AI222" t="str">
        <f t="shared" si="180"/>
        <v/>
      </c>
      <c r="AJ222">
        <f t="shared" si="181"/>
        <v>0</v>
      </c>
      <c r="AK222" t="str">
        <f t="shared" si="182"/>
        <v/>
      </c>
      <c r="AL222" t="str">
        <f t="shared" si="172"/>
        <v/>
      </c>
      <c r="AM222">
        <f t="shared" si="173"/>
        <v>-1</v>
      </c>
    </row>
    <row r="223" spans="3:39" x14ac:dyDescent="0.35">
      <c r="D223" t="s">
        <v>32</v>
      </c>
      <c r="E223" t="s">
        <v>39</v>
      </c>
      <c r="G223" s="4">
        <v>0.25190136885470266</v>
      </c>
      <c r="H223" s="4">
        <v>0.31077580802027521</v>
      </c>
      <c r="I223" s="4">
        <v>0.43732282312502191</v>
      </c>
      <c r="K223">
        <v>4.5999999999999996</v>
      </c>
      <c r="L223">
        <v>3.85</v>
      </c>
      <c r="M223">
        <v>1.91</v>
      </c>
      <c r="N223" s="4">
        <v>0.21739130434782611</v>
      </c>
      <c r="O223" s="4">
        <v>0.25974025974025972</v>
      </c>
      <c r="P223" s="4">
        <v>0.52356020942408377</v>
      </c>
      <c r="R223" t="s">
        <v>105</v>
      </c>
      <c r="S223">
        <v>0</v>
      </c>
      <c r="T223">
        <v>2</v>
      </c>
      <c r="V223" t="s">
        <v>105</v>
      </c>
      <c r="W223">
        <v>1</v>
      </c>
      <c r="Z223">
        <v>0</v>
      </c>
      <c r="AB223" t="str">
        <f t="shared" si="174"/>
        <v/>
      </c>
      <c r="AC223" t="str">
        <f t="shared" si="175"/>
        <v/>
      </c>
      <c r="AD223">
        <f t="shared" si="176"/>
        <v>1</v>
      </c>
      <c r="AE223" t="str">
        <f t="shared" si="177"/>
        <v>A</v>
      </c>
      <c r="AF223">
        <f t="shared" si="178"/>
        <v>1</v>
      </c>
      <c r="AH223" t="str">
        <f t="shared" si="179"/>
        <v/>
      </c>
      <c r="AI223" t="str">
        <f t="shared" si="180"/>
        <v/>
      </c>
      <c r="AJ223">
        <f t="shared" si="181"/>
        <v>1</v>
      </c>
      <c r="AK223" t="str">
        <f t="shared" si="182"/>
        <v/>
      </c>
      <c r="AL223" t="str">
        <f t="shared" si="172"/>
        <v/>
      </c>
      <c r="AM223">
        <f t="shared" si="173"/>
        <v>0.90999999999999992</v>
      </c>
    </row>
    <row r="224" spans="3:39" x14ac:dyDescent="0.35">
      <c r="D224" t="s">
        <v>40</v>
      </c>
      <c r="E224" t="s">
        <v>42</v>
      </c>
      <c r="G224" s="4">
        <v>0.248952853607085</v>
      </c>
      <c r="H224" s="4">
        <v>0.25754898440690077</v>
      </c>
      <c r="I224" s="4">
        <v>0.49349816198601404</v>
      </c>
      <c r="K224">
        <v>3</v>
      </c>
      <c r="L224">
        <v>3.86</v>
      </c>
      <c r="M224">
        <v>2.4500000000000002</v>
      </c>
      <c r="N224" s="4">
        <v>0.33333333333333331</v>
      </c>
      <c r="O224" s="4">
        <v>0.2590673575129534</v>
      </c>
      <c r="P224" s="4">
        <v>0.4081632653061224</v>
      </c>
      <c r="R224" t="s">
        <v>105</v>
      </c>
      <c r="S224">
        <v>1</v>
      </c>
      <c r="T224">
        <v>2</v>
      </c>
      <c r="V224" t="s">
        <v>105</v>
      </c>
      <c r="W224">
        <v>1</v>
      </c>
      <c r="Z224">
        <v>1</v>
      </c>
      <c r="AB224" t="str">
        <f t="shared" si="174"/>
        <v/>
      </c>
      <c r="AC224" t="str">
        <f t="shared" si="175"/>
        <v/>
      </c>
      <c r="AD224">
        <f t="shared" si="176"/>
        <v>1</v>
      </c>
      <c r="AE224" t="str">
        <f t="shared" si="177"/>
        <v>A</v>
      </c>
      <c r="AF224">
        <f t="shared" si="178"/>
        <v>1</v>
      </c>
      <c r="AH224" t="str">
        <f t="shared" si="179"/>
        <v/>
      </c>
      <c r="AI224" t="str">
        <f t="shared" si="180"/>
        <v/>
      </c>
      <c r="AJ224">
        <f t="shared" si="181"/>
        <v>1</v>
      </c>
      <c r="AK224" t="str">
        <f t="shared" si="182"/>
        <v/>
      </c>
      <c r="AL224" t="str">
        <f t="shared" si="172"/>
        <v/>
      </c>
      <c r="AM224">
        <f t="shared" si="173"/>
        <v>1.4500000000000002</v>
      </c>
    </row>
    <row r="225" spans="3:39" x14ac:dyDescent="0.35">
      <c r="D225" t="s">
        <v>41</v>
      </c>
      <c r="E225" t="s">
        <v>49</v>
      </c>
      <c r="G225" s="4">
        <v>0.47537372915026305</v>
      </c>
      <c r="H225" s="4">
        <v>0.30092735286048689</v>
      </c>
      <c r="I225" s="4">
        <v>0.22369891798925029</v>
      </c>
      <c r="K225">
        <v>1.32</v>
      </c>
      <c r="L225">
        <v>6.2</v>
      </c>
      <c r="M225">
        <v>12.75</v>
      </c>
      <c r="N225" s="4">
        <v>0.75757575757575757</v>
      </c>
      <c r="O225" s="4">
        <v>0.16129032258064516</v>
      </c>
      <c r="P225" s="4">
        <v>7.8431372549019607E-2</v>
      </c>
      <c r="R225" t="s">
        <v>103</v>
      </c>
      <c r="S225">
        <v>1</v>
      </c>
      <c r="T225">
        <v>0</v>
      </c>
      <c r="V225" t="s">
        <v>103</v>
      </c>
      <c r="W225">
        <v>1</v>
      </c>
      <c r="Z225">
        <v>0</v>
      </c>
      <c r="AB225">
        <f t="shared" si="174"/>
        <v>1</v>
      </c>
      <c r="AC225" t="str">
        <f t="shared" si="175"/>
        <v/>
      </c>
      <c r="AD225" t="str">
        <f t="shared" si="176"/>
        <v/>
      </c>
      <c r="AE225" t="str">
        <f t="shared" si="177"/>
        <v>H</v>
      </c>
      <c r="AF225">
        <f t="shared" si="178"/>
        <v>1</v>
      </c>
      <c r="AH225">
        <f t="shared" si="179"/>
        <v>1</v>
      </c>
      <c r="AI225" t="str">
        <f t="shared" si="180"/>
        <v/>
      </c>
      <c r="AJ225" t="str">
        <f t="shared" si="181"/>
        <v/>
      </c>
      <c r="AK225">
        <f t="shared" si="182"/>
        <v>0.32000000000000006</v>
      </c>
      <c r="AL225" t="str">
        <f t="shared" si="172"/>
        <v/>
      </c>
      <c r="AM225" t="str">
        <f t="shared" si="173"/>
        <v/>
      </c>
    </row>
    <row r="226" spans="3:39" x14ac:dyDescent="0.35">
      <c r="D226" t="s">
        <v>36</v>
      </c>
      <c r="E226" t="s">
        <v>51</v>
      </c>
      <c r="G226" s="4">
        <v>0.64289706240169076</v>
      </c>
      <c r="H226" s="4">
        <v>0.2430169386543426</v>
      </c>
      <c r="I226" s="4">
        <v>0.11408599894396688</v>
      </c>
      <c r="K226">
        <v>1.21</v>
      </c>
      <c r="L226">
        <v>8.4</v>
      </c>
      <c r="M226">
        <v>17.5</v>
      </c>
      <c r="N226" s="4">
        <v>0.82644628099173556</v>
      </c>
      <c r="O226" s="4">
        <v>0.11904761904761904</v>
      </c>
      <c r="P226" s="4">
        <v>5.7142857142857141E-2</v>
      </c>
      <c r="R226" t="s">
        <v>103</v>
      </c>
      <c r="S226">
        <v>2</v>
      </c>
      <c r="T226">
        <v>0</v>
      </c>
      <c r="V226" t="s">
        <v>103</v>
      </c>
      <c r="W226">
        <v>1</v>
      </c>
      <c r="Z226">
        <v>0</v>
      </c>
      <c r="AB226">
        <f t="shared" si="174"/>
        <v>1</v>
      </c>
      <c r="AC226" t="str">
        <f t="shared" si="175"/>
        <v/>
      </c>
      <c r="AD226" t="str">
        <f t="shared" si="176"/>
        <v/>
      </c>
      <c r="AE226" t="str">
        <f t="shared" si="177"/>
        <v>H</v>
      </c>
      <c r="AF226">
        <f t="shared" si="178"/>
        <v>1</v>
      </c>
      <c r="AH226">
        <f t="shared" si="179"/>
        <v>1</v>
      </c>
      <c r="AI226" t="str">
        <f t="shared" si="180"/>
        <v/>
      </c>
      <c r="AJ226" t="str">
        <f t="shared" si="181"/>
        <v/>
      </c>
      <c r="AK226">
        <f t="shared" si="182"/>
        <v>0.20999999999999996</v>
      </c>
      <c r="AL226" t="str">
        <f t="shared" si="172"/>
        <v/>
      </c>
      <c r="AM226" t="str">
        <f t="shared" si="173"/>
        <v/>
      </c>
    </row>
    <row r="227" spans="3:39" x14ac:dyDescent="0.35">
      <c r="AB227" s="4"/>
      <c r="AC227" s="4"/>
      <c r="AD227" s="4"/>
    </row>
    <row r="230" spans="3:39" x14ac:dyDescent="0.35">
      <c r="C230" t="s">
        <v>139</v>
      </c>
      <c r="H230" s="21" t="s">
        <v>107</v>
      </c>
      <c r="K230" s="22" t="s">
        <v>106</v>
      </c>
      <c r="N230" t="s">
        <v>108</v>
      </c>
    </row>
    <row r="231" spans="3:39" x14ac:dyDescent="0.35">
      <c r="G231" t="s">
        <v>103</v>
      </c>
      <c r="H231" t="s">
        <v>104</v>
      </c>
      <c r="I231" t="s">
        <v>105</v>
      </c>
      <c r="K231" t="s">
        <v>103</v>
      </c>
      <c r="L231" t="s">
        <v>104</v>
      </c>
      <c r="M231" t="s">
        <v>105</v>
      </c>
      <c r="N231" t="s">
        <v>103</v>
      </c>
      <c r="O231" t="s">
        <v>104</v>
      </c>
      <c r="P231" t="s">
        <v>105</v>
      </c>
      <c r="R231" t="s">
        <v>110</v>
      </c>
      <c r="V231" t="s">
        <v>112</v>
      </c>
      <c r="W231" t="s">
        <v>111</v>
      </c>
      <c r="X231" s="28" t="s">
        <v>114</v>
      </c>
      <c r="Z231" t="s">
        <v>113</v>
      </c>
      <c r="AA231" s="28" t="s">
        <v>116</v>
      </c>
      <c r="AB231" t="s">
        <v>166</v>
      </c>
      <c r="AC231" t="s">
        <v>167</v>
      </c>
      <c r="AD231" t="s">
        <v>168</v>
      </c>
      <c r="AK231" t="str">
        <f t="shared" si="158"/>
        <v/>
      </c>
      <c r="AL231" t="str">
        <f t="shared" si="159"/>
        <v/>
      </c>
      <c r="AM231" t="str">
        <f t="shared" si="160"/>
        <v/>
      </c>
    </row>
    <row r="232" spans="3:39" x14ac:dyDescent="0.35">
      <c r="D232" t="s">
        <v>45</v>
      </c>
      <c r="E232" t="s">
        <v>42</v>
      </c>
      <c r="G232" s="4">
        <v>0.24903932535475759</v>
      </c>
      <c r="H232" s="4">
        <v>0.29806148938759752</v>
      </c>
      <c r="I232" s="4">
        <v>0.45289918525764478</v>
      </c>
      <c r="K232">
        <v>3.88</v>
      </c>
      <c r="L232">
        <v>3.75</v>
      </c>
      <c r="M232">
        <v>2.1</v>
      </c>
      <c r="N232" s="4">
        <v>0.25773195876288663</v>
      </c>
      <c r="O232" s="4">
        <v>0.26666666666666666</v>
      </c>
      <c r="P232" s="4">
        <v>0.47619047619047616</v>
      </c>
      <c r="R232" t="s">
        <v>104</v>
      </c>
      <c r="S232">
        <v>1</v>
      </c>
      <c r="T232">
        <v>1</v>
      </c>
      <c r="V232" t="s">
        <v>105</v>
      </c>
      <c r="W232">
        <v>0</v>
      </c>
      <c r="X232" s="28">
        <v>0.3</v>
      </c>
      <c r="Z232" t="s">
        <v>117</v>
      </c>
      <c r="AA232" s="28">
        <v>0.33333333333333331</v>
      </c>
      <c r="AB232" t="str">
        <f>IF(V232=$G$5, IF(W232=$R$2, 1,0), "")</f>
        <v/>
      </c>
      <c r="AC232" t="str">
        <f>IF(V232=$H$5, IF(W232=$R$2, 1,0), "")</f>
        <v/>
      </c>
      <c r="AD232">
        <f>IF(V232=$I$5, IF(W232=$R$2, 1,0), "")</f>
        <v>0</v>
      </c>
      <c r="AE232" t="str">
        <f>IF(MAX(N232:P232)=N232,$N$5,IF(MAX(N232:P232)=O232,$O$5,$P$5))</f>
        <v>A</v>
      </c>
      <c r="AF232">
        <f>IF(AE232=R232, $R$2,$R$3)</f>
        <v>0</v>
      </c>
      <c r="AG232" s="28">
        <f>COUNTIF(AF232:AF241, $R$2)/COUNT(AF232:AF241)</f>
        <v>0.5</v>
      </c>
      <c r="AH232" t="str">
        <f>IF(AE232=$G$5, IF(AF232=$R$2, 1,0), "")</f>
        <v/>
      </c>
      <c r="AI232" t="str">
        <f>IF(AE232=$H$5, IF(AF232=$R$2, 1,0), "")</f>
        <v/>
      </c>
      <c r="AJ232">
        <f>IF(AE232=$I$5, IF(AF232=$R$2, 1,0), "")</f>
        <v>0</v>
      </c>
      <c r="AK232" t="str">
        <f>IF(AB232=1, K232-1, IF(AB232=0, -1,""))</f>
        <v/>
      </c>
      <c r="AL232" t="str">
        <f t="shared" ref="AL232:AL241" si="183">IF(AC232=1, L232-1, IF(AC232=0, -1,""))</f>
        <v/>
      </c>
      <c r="AM232">
        <f t="shared" ref="AM232:AM241" si="184">IF(AD232=1, M232-1, IF(AD232=0, -1,""))</f>
        <v>-1</v>
      </c>
    </row>
    <row r="233" spans="3:39" x14ac:dyDescent="0.35">
      <c r="D233" t="s">
        <v>32</v>
      </c>
      <c r="E233" t="s">
        <v>52</v>
      </c>
      <c r="G233" s="4">
        <v>0.42646975025675243</v>
      </c>
      <c r="H233" s="4">
        <v>0.285309292872023</v>
      </c>
      <c r="I233" s="4">
        <v>0.2882209568712244</v>
      </c>
      <c r="K233">
        <v>1.85</v>
      </c>
      <c r="L233">
        <v>4</v>
      </c>
      <c r="M233">
        <v>4.5999999999999996</v>
      </c>
      <c r="N233" s="4">
        <v>0.54054054054054046</v>
      </c>
      <c r="O233" s="4">
        <v>0.25</v>
      </c>
      <c r="P233" s="4">
        <v>0.21739130434782611</v>
      </c>
      <c r="R233" t="s">
        <v>105</v>
      </c>
      <c r="S233">
        <v>1</v>
      </c>
      <c r="T233">
        <v>2</v>
      </c>
      <c r="V233" t="s">
        <v>103</v>
      </c>
      <c r="W233">
        <v>0</v>
      </c>
      <c r="Z233" t="s">
        <v>117</v>
      </c>
      <c r="AA233" s="29" t="s">
        <v>117</v>
      </c>
      <c r="AB233">
        <f t="shared" ref="AB233:AB241" si="185">IF(V233=$G$5, IF(W233=$R$2, 1,0), "")</f>
        <v>0</v>
      </c>
      <c r="AC233" t="str">
        <f t="shared" ref="AC233:AC241" si="186">IF(V233=$H$5, IF(W233=$R$2, 1,0), "")</f>
        <v/>
      </c>
      <c r="AD233" t="str">
        <f t="shared" ref="AD233:AD241" si="187">IF(V233=$I$5, IF(W233=$R$2, 1,0), "")</f>
        <v/>
      </c>
      <c r="AE233" t="str">
        <f t="shared" ref="AE233:AE241" si="188">IF(MAX(N233:P233)=N233,$N$5,IF(MAX(N233:P233)=O233,$O$5,$P$5))</f>
        <v>H</v>
      </c>
      <c r="AF233">
        <f t="shared" ref="AF233:AF241" si="189">IF(AE233=R233, $R$2,$R$3)</f>
        <v>0</v>
      </c>
      <c r="AH233">
        <f t="shared" ref="AH233:AH241" si="190">IF(AE233=$G$5, IF(AF233=$R$2, 1,0), "")</f>
        <v>0</v>
      </c>
      <c r="AI233" t="str">
        <f t="shared" ref="AI233:AI241" si="191">IF(AE233=$H$5, IF(AF233=$R$2, 1,0), "")</f>
        <v/>
      </c>
      <c r="AJ233" t="str">
        <f t="shared" ref="AJ233:AJ241" si="192">IF(AE233=$I$5, IF(AF233=$R$2, 1,0), "")</f>
        <v/>
      </c>
      <c r="AK233">
        <f t="shared" ref="AK233:AK241" si="193">IF(AB233=1, K233-1, IF(AB233=0, -1,""))</f>
        <v>-1</v>
      </c>
      <c r="AL233" t="str">
        <f t="shared" si="183"/>
        <v/>
      </c>
      <c r="AM233" t="str">
        <f t="shared" si="184"/>
        <v/>
      </c>
    </row>
    <row r="234" spans="3:39" x14ac:dyDescent="0.35">
      <c r="D234" t="s">
        <v>35</v>
      </c>
      <c r="E234" t="s">
        <v>49</v>
      </c>
      <c r="G234" s="4">
        <v>0.23588480928647723</v>
      </c>
      <c r="H234" s="4">
        <v>0.32910115042162963</v>
      </c>
      <c r="I234" s="4">
        <v>0.43501404029189311</v>
      </c>
      <c r="K234">
        <v>3.3</v>
      </c>
      <c r="L234">
        <v>3.47</v>
      </c>
      <c r="M234">
        <v>2.42</v>
      </c>
      <c r="N234" s="4">
        <v>0.30303030303030304</v>
      </c>
      <c r="O234" s="4">
        <v>0.28818443804034583</v>
      </c>
      <c r="P234" s="4">
        <v>0.41322314049586778</v>
      </c>
      <c r="R234" t="s">
        <v>103</v>
      </c>
      <c r="S234">
        <v>2</v>
      </c>
      <c r="T234">
        <v>1</v>
      </c>
      <c r="V234" t="s">
        <v>105</v>
      </c>
      <c r="W234">
        <v>0</v>
      </c>
      <c r="Z234" t="s">
        <v>117</v>
      </c>
      <c r="AB234" t="str">
        <f t="shared" si="185"/>
        <v/>
      </c>
      <c r="AC234" t="str">
        <f t="shared" si="186"/>
        <v/>
      </c>
      <c r="AD234">
        <f t="shared" si="187"/>
        <v>0</v>
      </c>
      <c r="AE234" t="str">
        <f t="shared" si="188"/>
        <v>A</v>
      </c>
      <c r="AF234">
        <f t="shared" si="189"/>
        <v>0</v>
      </c>
      <c r="AH234" t="str">
        <f t="shared" si="190"/>
        <v/>
      </c>
      <c r="AI234" t="str">
        <f t="shared" si="191"/>
        <v/>
      </c>
      <c r="AJ234">
        <f t="shared" si="192"/>
        <v>0</v>
      </c>
      <c r="AK234" t="str">
        <f t="shared" si="193"/>
        <v/>
      </c>
      <c r="AL234" t="str">
        <f t="shared" si="183"/>
        <v/>
      </c>
      <c r="AM234">
        <f t="shared" si="184"/>
        <v>-1</v>
      </c>
    </row>
    <row r="235" spans="3:39" x14ac:dyDescent="0.35">
      <c r="D235" t="s">
        <v>34</v>
      </c>
      <c r="E235" t="s">
        <v>29</v>
      </c>
      <c r="G235" s="4">
        <v>0.22511083568424997</v>
      </c>
      <c r="H235" s="4">
        <v>0.27527934374180368</v>
      </c>
      <c r="I235" s="4">
        <v>0.49960982057394604</v>
      </c>
      <c r="K235">
        <v>3.51</v>
      </c>
      <c r="L235">
        <v>3.88</v>
      </c>
      <c r="M235">
        <v>2.25</v>
      </c>
      <c r="N235" s="4">
        <v>0.28490028490028491</v>
      </c>
      <c r="O235" s="4">
        <v>0.25773195876288663</v>
      </c>
      <c r="P235" s="4">
        <v>0.44444444444444442</v>
      </c>
      <c r="R235" t="s">
        <v>103</v>
      </c>
      <c r="S235">
        <v>1</v>
      </c>
      <c r="T235">
        <v>0</v>
      </c>
      <c r="V235" t="s">
        <v>105</v>
      </c>
      <c r="W235">
        <v>0</v>
      </c>
      <c r="Z235" t="s">
        <v>117</v>
      </c>
      <c r="AB235" t="str">
        <f t="shared" si="185"/>
        <v/>
      </c>
      <c r="AC235" t="str">
        <f t="shared" si="186"/>
        <v/>
      </c>
      <c r="AD235">
        <f t="shared" si="187"/>
        <v>0</v>
      </c>
      <c r="AE235" t="str">
        <f t="shared" si="188"/>
        <v>A</v>
      </c>
      <c r="AF235">
        <f t="shared" si="189"/>
        <v>0</v>
      </c>
      <c r="AH235" t="str">
        <f t="shared" si="190"/>
        <v/>
      </c>
      <c r="AI235" t="str">
        <f t="shared" si="191"/>
        <v/>
      </c>
      <c r="AJ235">
        <f t="shared" si="192"/>
        <v>0</v>
      </c>
      <c r="AK235" t="str">
        <f t="shared" si="193"/>
        <v/>
      </c>
      <c r="AL235" t="str">
        <f t="shared" si="183"/>
        <v/>
      </c>
      <c r="AM235">
        <f t="shared" si="184"/>
        <v>-1</v>
      </c>
    </row>
    <row r="236" spans="3:39" x14ac:dyDescent="0.35">
      <c r="D236" t="s">
        <v>46</v>
      </c>
      <c r="E236" t="s">
        <v>25</v>
      </c>
      <c r="G236" s="4">
        <v>0.14528319835763465</v>
      </c>
      <c r="H236" s="4">
        <v>0.25988695690590607</v>
      </c>
      <c r="I236" s="4">
        <v>0.59482984473645928</v>
      </c>
      <c r="K236">
        <v>5.85</v>
      </c>
      <c r="L236">
        <v>4.05</v>
      </c>
      <c r="M236">
        <v>1.71</v>
      </c>
      <c r="N236" s="4">
        <v>0.17094017094017094</v>
      </c>
      <c r="O236" s="4">
        <v>0.24691358024691359</v>
      </c>
      <c r="P236" s="4">
        <v>0.58479532163742687</v>
      </c>
      <c r="R236" t="s">
        <v>105</v>
      </c>
      <c r="S236">
        <v>0</v>
      </c>
      <c r="T236">
        <v>3</v>
      </c>
      <c r="V236" t="s">
        <v>105</v>
      </c>
      <c r="W236">
        <v>1</v>
      </c>
      <c r="Z236">
        <v>1</v>
      </c>
      <c r="AB236" t="str">
        <f t="shared" si="185"/>
        <v/>
      </c>
      <c r="AC236" t="str">
        <f t="shared" si="186"/>
        <v/>
      </c>
      <c r="AD236">
        <f t="shared" si="187"/>
        <v>1</v>
      </c>
      <c r="AE236" t="str">
        <f t="shared" si="188"/>
        <v>A</v>
      </c>
      <c r="AF236">
        <f t="shared" si="189"/>
        <v>1</v>
      </c>
      <c r="AH236" t="str">
        <f t="shared" si="190"/>
        <v/>
      </c>
      <c r="AI236" t="str">
        <f t="shared" si="191"/>
        <v/>
      </c>
      <c r="AJ236">
        <f t="shared" si="192"/>
        <v>1</v>
      </c>
      <c r="AK236" t="str">
        <f t="shared" si="193"/>
        <v/>
      </c>
      <c r="AL236" t="str">
        <f t="shared" si="183"/>
        <v/>
      </c>
      <c r="AM236">
        <f t="shared" si="184"/>
        <v>0.71</v>
      </c>
    </row>
    <row r="237" spans="3:39" x14ac:dyDescent="0.35">
      <c r="D237" t="s">
        <v>36</v>
      </c>
      <c r="E237" t="s">
        <v>28</v>
      </c>
      <c r="G237" s="4">
        <v>0.6377118057395379</v>
      </c>
      <c r="H237" s="4">
        <v>0.22617002170824374</v>
      </c>
      <c r="I237" s="4">
        <v>0.13611817255221834</v>
      </c>
      <c r="K237">
        <v>1.3</v>
      </c>
      <c r="L237">
        <v>6.63</v>
      </c>
      <c r="M237">
        <v>12</v>
      </c>
      <c r="N237" s="4">
        <v>0.76923076923076916</v>
      </c>
      <c r="O237" s="4">
        <v>0.15082956259426847</v>
      </c>
      <c r="P237" s="4">
        <v>8.3333333333333329E-2</v>
      </c>
      <c r="R237" t="s">
        <v>103</v>
      </c>
      <c r="S237">
        <v>2</v>
      </c>
      <c r="T237">
        <v>1</v>
      </c>
      <c r="V237" t="s">
        <v>103</v>
      </c>
      <c r="W237">
        <v>1</v>
      </c>
      <c r="Z237">
        <v>0</v>
      </c>
      <c r="AB237">
        <f t="shared" si="185"/>
        <v>1</v>
      </c>
      <c r="AC237" t="str">
        <f t="shared" si="186"/>
        <v/>
      </c>
      <c r="AD237" t="str">
        <f t="shared" si="187"/>
        <v/>
      </c>
      <c r="AE237" t="str">
        <f t="shared" si="188"/>
        <v>H</v>
      </c>
      <c r="AF237">
        <f t="shared" si="189"/>
        <v>1</v>
      </c>
      <c r="AH237">
        <f t="shared" si="190"/>
        <v>1</v>
      </c>
      <c r="AI237" t="str">
        <f t="shared" si="191"/>
        <v/>
      </c>
      <c r="AJ237" t="str">
        <f t="shared" si="192"/>
        <v/>
      </c>
      <c r="AK237">
        <f t="shared" si="193"/>
        <v>0.30000000000000004</v>
      </c>
      <c r="AL237" t="str">
        <f t="shared" si="183"/>
        <v/>
      </c>
      <c r="AM237" t="str">
        <f t="shared" si="184"/>
        <v/>
      </c>
    </row>
    <row r="238" spans="3:39" x14ac:dyDescent="0.35">
      <c r="D238" t="s">
        <v>50</v>
      </c>
      <c r="E238" t="s">
        <v>30</v>
      </c>
      <c r="G238" s="4">
        <v>0.25144541831658884</v>
      </c>
      <c r="H238" s="4">
        <v>0.29893013487351516</v>
      </c>
      <c r="I238" s="4">
        <v>0.44962444680989605</v>
      </c>
      <c r="K238">
        <v>2.6</v>
      </c>
      <c r="L238">
        <v>3.57</v>
      </c>
      <c r="M238">
        <v>2.88</v>
      </c>
      <c r="N238" s="4">
        <v>0.38461538461538458</v>
      </c>
      <c r="O238" s="4">
        <v>0.28011204481792717</v>
      </c>
      <c r="P238" s="4">
        <v>0.34722222222222221</v>
      </c>
      <c r="R238" t="s">
        <v>104</v>
      </c>
      <c r="S238">
        <v>1</v>
      </c>
      <c r="T238">
        <v>1</v>
      </c>
      <c r="V238" t="s">
        <v>105</v>
      </c>
      <c r="W238">
        <v>0</v>
      </c>
      <c r="Z238" t="s">
        <v>117</v>
      </c>
      <c r="AB238" t="str">
        <f t="shared" si="185"/>
        <v/>
      </c>
      <c r="AC238" t="str">
        <f t="shared" si="186"/>
        <v/>
      </c>
      <c r="AD238">
        <f t="shared" si="187"/>
        <v>0</v>
      </c>
      <c r="AE238" t="str">
        <f t="shared" si="188"/>
        <v>H</v>
      </c>
      <c r="AF238">
        <f t="shared" si="189"/>
        <v>0</v>
      </c>
      <c r="AH238">
        <f t="shared" si="190"/>
        <v>0</v>
      </c>
      <c r="AI238" t="str">
        <f t="shared" si="191"/>
        <v/>
      </c>
      <c r="AJ238" t="str">
        <f t="shared" si="192"/>
        <v/>
      </c>
      <c r="AK238" t="str">
        <f t="shared" si="193"/>
        <v/>
      </c>
      <c r="AL238" t="str">
        <f t="shared" si="183"/>
        <v/>
      </c>
      <c r="AM238">
        <f t="shared" si="184"/>
        <v>-1</v>
      </c>
    </row>
    <row r="239" spans="3:39" x14ac:dyDescent="0.35">
      <c r="D239" t="s">
        <v>43</v>
      </c>
      <c r="E239" t="s">
        <v>38</v>
      </c>
      <c r="G239" s="4">
        <v>0.29766328554143595</v>
      </c>
      <c r="H239" s="4">
        <v>0.29627863450954445</v>
      </c>
      <c r="I239" s="4">
        <v>0.40605807994901966</v>
      </c>
      <c r="K239">
        <v>2.02</v>
      </c>
      <c r="L239">
        <v>4</v>
      </c>
      <c r="M239">
        <v>3.9</v>
      </c>
      <c r="N239" s="4">
        <v>0.49504950495049505</v>
      </c>
      <c r="O239" s="4">
        <v>0.25</v>
      </c>
      <c r="P239" s="4">
        <v>0.25641025641025644</v>
      </c>
      <c r="R239" t="s">
        <v>103</v>
      </c>
      <c r="S239">
        <v>4</v>
      </c>
      <c r="T239">
        <v>0</v>
      </c>
      <c r="V239" t="s">
        <v>105</v>
      </c>
      <c r="W239">
        <v>0</v>
      </c>
      <c r="Z239" t="s">
        <v>117</v>
      </c>
      <c r="AB239" t="str">
        <f t="shared" si="185"/>
        <v/>
      </c>
      <c r="AC239" t="str">
        <f t="shared" si="186"/>
        <v/>
      </c>
      <c r="AD239">
        <f t="shared" si="187"/>
        <v>0</v>
      </c>
      <c r="AE239" t="str">
        <f t="shared" si="188"/>
        <v>H</v>
      </c>
      <c r="AF239">
        <f t="shared" si="189"/>
        <v>1</v>
      </c>
      <c r="AH239">
        <f t="shared" si="190"/>
        <v>1</v>
      </c>
      <c r="AI239" t="str">
        <f t="shared" si="191"/>
        <v/>
      </c>
      <c r="AJ239" t="str">
        <f t="shared" si="192"/>
        <v/>
      </c>
      <c r="AK239" t="str">
        <f t="shared" si="193"/>
        <v/>
      </c>
      <c r="AL239" t="str">
        <f t="shared" si="183"/>
        <v/>
      </c>
      <c r="AM239">
        <f t="shared" si="184"/>
        <v>-1</v>
      </c>
    </row>
    <row r="240" spans="3:39" x14ac:dyDescent="0.35">
      <c r="D240" t="s">
        <v>40</v>
      </c>
      <c r="E240" t="s">
        <v>39</v>
      </c>
      <c r="G240" s="4">
        <v>0.22435414241979826</v>
      </c>
      <c r="H240" s="4">
        <v>0.27643644751365798</v>
      </c>
      <c r="I240" s="4">
        <v>0.49920941006654374</v>
      </c>
      <c r="K240">
        <v>2.65</v>
      </c>
      <c r="L240">
        <v>3.8</v>
      </c>
      <c r="M240">
        <v>2.7</v>
      </c>
      <c r="N240" s="4">
        <v>0.37735849056603776</v>
      </c>
      <c r="O240" s="4">
        <v>0.26315789473684209</v>
      </c>
      <c r="P240" s="4">
        <v>0.37037037037037035</v>
      </c>
      <c r="R240" t="s">
        <v>103</v>
      </c>
      <c r="S240">
        <v>2</v>
      </c>
      <c r="T240">
        <v>0</v>
      </c>
      <c r="V240" t="s">
        <v>105</v>
      </c>
      <c r="W240">
        <v>0</v>
      </c>
      <c r="Z240" t="s">
        <v>117</v>
      </c>
      <c r="AB240" t="str">
        <f t="shared" si="185"/>
        <v/>
      </c>
      <c r="AC240" t="str">
        <f t="shared" si="186"/>
        <v/>
      </c>
      <c r="AD240">
        <f t="shared" si="187"/>
        <v>0</v>
      </c>
      <c r="AE240" t="str">
        <f t="shared" si="188"/>
        <v>H</v>
      </c>
      <c r="AF240">
        <f t="shared" si="189"/>
        <v>1</v>
      </c>
      <c r="AH240">
        <f t="shared" si="190"/>
        <v>1</v>
      </c>
      <c r="AI240" t="str">
        <f t="shared" si="191"/>
        <v/>
      </c>
      <c r="AJ240" t="str">
        <f t="shared" si="192"/>
        <v/>
      </c>
      <c r="AK240" t="str">
        <f t="shared" si="193"/>
        <v/>
      </c>
      <c r="AL240" t="str">
        <f t="shared" si="183"/>
        <v/>
      </c>
      <c r="AM240">
        <f t="shared" si="184"/>
        <v>-1</v>
      </c>
    </row>
    <row r="241" spans="3:39" x14ac:dyDescent="0.35">
      <c r="D241" t="s">
        <v>41</v>
      </c>
      <c r="E241" t="s">
        <v>51</v>
      </c>
      <c r="G241" s="4">
        <v>0.5783292924088711</v>
      </c>
      <c r="H241" s="4">
        <v>0.28535603287217648</v>
      </c>
      <c r="I241" s="4">
        <v>0.13631467471895248</v>
      </c>
      <c r="K241">
        <v>1.25</v>
      </c>
      <c r="L241">
        <v>6.7</v>
      </c>
      <c r="M241">
        <v>15.75</v>
      </c>
      <c r="N241" s="4">
        <v>0.8</v>
      </c>
      <c r="O241" s="4">
        <v>0.14925373134328357</v>
      </c>
      <c r="P241" s="4">
        <v>6.3492063492063489E-2</v>
      </c>
      <c r="R241" t="s">
        <v>103</v>
      </c>
      <c r="S241">
        <v>2</v>
      </c>
      <c r="T241">
        <v>0</v>
      </c>
      <c r="V241" t="s">
        <v>103</v>
      </c>
      <c r="W241">
        <v>1</v>
      </c>
      <c r="Z241">
        <v>0</v>
      </c>
      <c r="AB241">
        <f t="shared" si="185"/>
        <v>1</v>
      </c>
      <c r="AC241" t="str">
        <f t="shared" si="186"/>
        <v/>
      </c>
      <c r="AD241" t="str">
        <f t="shared" si="187"/>
        <v/>
      </c>
      <c r="AE241" t="str">
        <f t="shared" si="188"/>
        <v>H</v>
      </c>
      <c r="AF241">
        <f t="shared" si="189"/>
        <v>1</v>
      </c>
      <c r="AH241">
        <f t="shared" si="190"/>
        <v>1</v>
      </c>
      <c r="AI241" t="str">
        <f t="shared" si="191"/>
        <v/>
      </c>
      <c r="AJ241" t="str">
        <f t="shared" si="192"/>
        <v/>
      </c>
      <c r="AK241">
        <f t="shared" si="193"/>
        <v>0.25</v>
      </c>
      <c r="AL241" t="str">
        <f t="shared" si="183"/>
        <v/>
      </c>
      <c r="AM241" t="str">
        <f t="shared" si="184"/>
        <v/>
      </c>
    </row>
    <row r="242" spans="3:39" x14ac:dyDescent="0.35">
      <c r="AB242" s="4"/>
      <c r="AC242" s="4"/>
      <c r="AD242" s="4"/>
    </row>
    <row r="245" spans="3:39" x14ac:dyDescent="0.35">
      <c r="C245" t="s">
        <v>140</v>
      </c>
      <c r="H245" s="21" t="s">
        <v>107</v>
      </c>
      <c r="K245" s="22" t="s">
        <v>106</v>
      </c>
      <c r="N245" t="s">
        <v>108</v>
      </c>
    </row>
    <row r="246" spans="3:39" x14ac:dyDescent="0.35">
      <c r="G246" t="s">
        <v>103</v>
      </c>
      <c r="H246" t="s">
        <v>104</v>
      </c>
      <c r="I246" t="s">
        <v>105</v>
      </c>
      <c r="K246" t="s">
        <v>103</v>
      </c>
      <c r="L246" t="s">
        <v>104</v>
      </c>
      <c r="M246" t="s">
        <v>105</v>
      </c>
      <c r="N246" t="s">
        <v>103</v>
      </c>
      <c r="O246" t="s">
        <v>104</v>
      </c>
      <c r="P246" t="s">
        <v>105</v>
      </c>
      <c r="R246" t="s">
        <v>110</v>
      </c>
      <c r="V246" t="s">
        <v>112</v>
      </c>
      <c r="W246" t="s">
        <v>111</v>
      </c>
      <c r="X246" s="28" t="s">
        <v>114</v>
      </c>
      <c r="Z246" t="s">
        <v>113</v>
      </c>
      <c r="AA246" s="28" t="s">
        <v>116</v>
      </c>
      <c r="AB246" t="s">
        <v>166</v>
      </c>
      <c r="AC246" t="s">
        <v>167</v>
      </c>
      <c r="AD246" t="s">
        <v>168</v>
      </c>
      <c r="AK246" t="str">
        <f t="shared" si="158"/>
        <v/>
      </c>
      <c r="AL246" t="str">
        <f t="shared" si="159"/>
        <v/>
      </c>
      <c r="AM246" t="str">
        <f t="shared" si="160"/>
        <v/>
      </c>
    </row>
    <row r="247" spans="3:39" x14ac:dyDescent="0.35">
      <c r="D247" t="s">
        <v>51</v>
      </c>
      <c r="E247" t="s">
        <v>43</v>
      </c>
      <c r="G247" s="4">
        <v>0.49812943489168748</v>
      </c>
      <c r="H247" s="4">
        <v>0.31308014050537325</v>
      </c>
      <c r="I247" s="4">
        <v>0.18879042460293891</v>
      </c>
      <c r="K247">
        <v>2.09</v>
      </c>
      <c r="L247">
        <v>3.55</v>
      </c>
      <c r="M247">
        <v>4.2</v>
      </c>
      <c r="N247" s="4">
        <v>0.47846889952153115</v>
      </c>
      <c r="O247" s="4">
        <v>0.28169014084507044</v>
      </c>
      <c r="P247" s="4">
        <v>0.23809523809523808</v>
      </c>
      <c r="R247" t="s">
        <v>103</v>
      </c>
      <c r="S247">
        <v>1</v>
      </c>
      <c r="T247">
        <v>0</v>
      </c>
      <c r="V247" t="s">
        <v>103</v>
      </c>
      <c r="W247">
        <v>1</v>
      </c>
      <c r="X247" s="28">
        <v>0.7</v>
      </c>
      <c r="Z247">
        <v>1</v>
      </c>
      <c r="AA247" s="28">
        <v>0.2857142857142857</v>
      </c>
      <c r="AB247">
        <f>IF(V247=$G$5, IF(W247=$R$2, 1,0), "")</f>
        <v>1</v>
      </c>
      <c r="AC247" t="str">
        <f>IF(V247=$H$5, IF(W247=$R$2, 1,0), "")</f>
        <v/>
      </c>
      <c r="AD247" t="str">
        <f>IF(V247=$I$5, IF(W247=$R$2, 1,0), "")</f>
        <v/>
      </c>
      <c r="AE247" t="str">
        <f>IF(MAX(N247:P247)=N247,$N$5,IF(MAX(N247:P247)=O247,$O$5,$P$5))</f>
        <v>H</v>
      </c>
      <c r="AF247">
        <f>IF(AE247=R247, $R$2,$R$3)</f>
        <v>1</v>
      </c>
      <c r="AG247" s="28">
        <f>COUNTIF(AF247:AF256, $R$2)/COUNT(AF247:AF256)</f>
        <v>0.6</v>
      </c>
      <c r="AH247">
        <f>IF(AE247=$G$5, IF(AF247=$R$2, 1,0), "")</f>
        <v>1</v>
      </c>
      <c r="AI247" t="str">
        <f>IF(AE247=$H$5, IF(AF247=$R$2, 1,0), "")</f>
        <v/>
      </c>
      <c r="AJ247" t="str">
        <f>IF(AE247=$I$5, IF(AF247=$R$2, 1,0), "")</f>
        <v/>
      </c>
      <c r="AK247">
        <f>IF(AB247=1, K247-1, IF(AB247=0, -1,""))</f>
        <v>1.0899999999999999</v>
      </c>
      <c r="AL247" t="str">
        <f t="shared" ref="AL247:AL256" si="194">IF(AC247=1, L247-1, IF(AC247=0, -1,""))</f>
        <v/>
      </c>
      <c r="AM247" t="str">
        <f t="shared" ref="AM247:AM256" si="195">IF(AD247=1, M247-1, IF(AD247=0, -1,""))</f>
        <v/>
      </c>
    </row>
    <row r="248" spans="3:39" x14ac:dyDescent="0.35">
      <c r="D248" t="s">
        <v>30</v>
      </c>
      <c r="E248" t="s">
        <v>40</v>
      </c>
      <c r="G248" s="4">
        <v>0.23246485926129093</v>
      </c>
      <c r="H248" s="4">
        <v>0.35157212841953889</v>
      </c>
      <c r="I248" s="4">
        <v>0.41596301231917038</v>
      </c>
      <c r="K248">
        <v>4.45</v>
      </c>
      <c r="L248">
        <v>4.0999999999999996</v>
      </c>
      <c r="M248">
        <v>1.9</v>
      </c>
      <c r="N248" s="4">
        <v>0.2247191011235955</v>
      </c>
      <c r="O248" s="4">
        <v>0.24390243902439027</v>
      </c>
      <c r="P248" s="4">
        <v>0.52631578947368418</v>
      </c>
      <c r="R248" t="s">
        <v>104</v>
      </c>
      <c r="S248">
        <v>1</v>
      </c>
      <c r="T248">
        <v>1</v>
      </c>
      <c r="V248" t="s">
        <v>105</v>
      </c>
      <c r="W248">
        <v>0</v>
      </c>
      <c r="Z248" t="s">
        <v>117</v>
      </c>
      <c r="AA248" s="29" t="s">
        <v>117</v>
      </c>
      <c r="AB248" t="str">
        <f t="shared" ref="AB248:AB256" si="196">IF(V248=$G$5, IF(W248=$R$2, 1,0), "")</f>
        <v/>
      </c>
      <c r="AC248" t="str">
        <f t="shared" ref="AC248:AC256" si="197">IF(V248=$H$5, IF(W248=$R$2, 1,0), "")</f>
        <v/>
      </c>
      <c r="AD248">
        <f t="shared" ref="AD248:AD256" si="198">IF(V248=$I$5, IF(W248=$R$2, 1,0), "")</f>
        <v>0</v>
      </c>
      <c r="AE248" t="str">
        <f t="shared" ref="AE248:AE256" si="199">IF(MAX(N248:P248)=N248,$N$5,IF(MAX(N248:P248)=O248,$O$5,$P$5))</f>
        <v>A</v>
      </c>
      <c r="AF248">
        <f t="shared" ref="AF248:AF256" si="200">IF(AE248=R248, $R$2,$R$3)</f>
        <v>0</v>
      </c>
      <c r="AH248" t="str">
        <f t="shared" ref="AH248:AH256" si="201">IF(AE248=$G$5, IF(AF248=$R$2, 1,0), "")</f>
        <v/>
      </c>
      <c r="AI248" t="str">
        <f t="shared" ref="AI248:AI256" si="202">IF(AE248=$H$5, IF(AF248=$R$2, 1,0), "")</f>
        <v/>
      </c>
      <c r="AJ248">
        <f t="shared" ref="AJ248:AJ256" si="203">IF(AE248=$I$5, IF(AF248=$R$2, 1,0), "")</f>
        <v>0</v>
      </c>
      <c r="AK248" t="str">
        <f t="shared" ref="AK248:AK256" si="204">IF(AB248=1, K248-1, IF(AB248=0, -1,""))</f>
        <v/>
      </c>
      <c r="AL248" t="str">
        <f t="shared" si="194"/>
        <v/>
      </c>
      <c r="AM248">
        <f t="shared" si="195"/>
        <v>-1</v>
      </c>
    </row>
    <row r="249" spans="3:39" x14ac:dyDescent="0.35">
      <c r="D249" t="s">
        <v>25</v>
      </c>
      <c r="E249" t="s">
        <v>34</v>
      </c>
      <c r="G249" s="4">
        <v>0.33831317664731581</v>
      </c>
      <c r="H249" s="4">
        <v>0.3170007146653962</v>
      </c>
      <c r="I249" s="4">
        <v>0.34468610868728833</v>
      </c>
      <c r="K249">
        <v>1.69</v>
      </c>
      <c r="L249">
        <v>4.17</v>
      </c>
      <c r="M249">
        <v>6</v>
      </c>
      <c r="N249" s="4">
        <v>0.59171597633136097</v>
      </c>
      <c r="O249" s="4">
        <v>0.23980815347721823</v>
      </c>
      <c r="P249" s="4">
        <v>0.16666666666666666</v>
      </c>
      <c r="R249" t="s">
        <v>105</v>
      </c>
      <c r="S249">
        <v>1</v>
      </c>
      <c r="T249">
        <v>2</v>
      </c>
      <c r="V249" t="s">
        <v>105</v>
      </c>
      <c r="W249">
        <v>1</v>
      </c>
      <c r="Z249">
        <v>1</v>
      </c>
      <c r="AB249" t="str">
        <f t="shared" si="196"/>
        <v/>
      </c>
      <c r="AC249" t="str">
        <f t="shared" si="197"/>
        <v/>
      </c>
      <c r="AD249">
        <f t="shared" si="198"/>
        <v>1</v>
      </c>
      <c r="AE249" t="str">
        <f t="shared" si="199"/>
        <v>H</v>
      </c>
      <c r="AF249">
        <f t="shared" si="200"/>
        <v>0</v>
      </c>
      <c r="AH249">
        <f t="shared" si="201"/>
        <v>0</v>
      </c>
      <c r="AI249" t="str">
        <f t="shared" si="202"/>
        <v/>
      </c>
      <c r="AJ249" t="str">
        <f t="shared" si="203"/>
        <v/>
      </c>
      <c r="AK249" t="str">
        <f t="shared" si="204"/>
        <v/>
      </c>
      <c r="AL249" t="str">
        <f t="shared" si="194"/>
        <v/>
      </c>
      <c r="AM249">
        <f t="shared" si="195"/>
        <v>5</v>
      </c>
    </row>
    <row r="250" spans="3:39" x14ac:dyDescent="0.35">
      <c r="D250" t="s">
        <v>49</v>
      </c>
      <c r="E250" t="s">
        <v>46</v>
      </c>
      <c r="G250" s="4">
        <v>0.48471511744661644</v>
      </c>
      <c r="H250" s="4">
        <v>0.31890421953133563</v>
      </c>
      <c r="I250" s="4">
        <v>0.19638066302204801</v>
      </c>
      <c r="K250">
        <v>1.5</v>
      </c>
      <c r="L250">
        <v>4.55</v>
      </c>
      <c r="M250">
        <v>9</v>
      </c>
      <c r="N250" s="4">
        <v>0.66666666666666663</v>
      </c>
      <c r="O250" s="4">
        <v>0.21978021978021978</v>
      </c>
      <c r="P250" s="4">
        <v>0.1111111111111111</v>
      </c>
      <c r="R250" t="s">
        <v>104</v>
      </c>
      <c r="S250">
        <v>1</v>
      </c>
      <c r="T250">
        <v>1</v>
      </c>
      <c r="V250" t="s">
        <v>103</v>
      </c>
      <c r="W250">
        <v>0</v>
      </c>
      <c r="Z250" t="s">
        <v>117</v>
      </c>
      <c r="AB250">
        <f t="shared" si="196"/>
        <v>0</v>
      </c>
      <c r="AC250" t="str">
        <f t="shared" si="197"/>
        <v/>
      </c>
      <c r="AD250" t="str">
        <f t="shared" si="198"/>
        <v/>
      </c>
      <c r="AE250" t="str">
        <f t="shared" si="199"/>
        <v>H</v>
      </c>
      <c r="AF250">
        <f t="shared" si="200"/>
        <v>0</v>
      </c>
      <c r="AH250">
        <f t="shared" si="201"/>
        <v>0</v>
      </c>
      <c r="AI250" t="str">
        <f t="shared" si="202"/>
        <v/>
      </c>
      <c r="AJ250" t="str">
        <f t="shared" si="203"/>
        <v/>
      </c>
      <c r="AK250">
        <f t="shared" si="204"/>
        <v>-1</v>
      </c>
      <c r="AL250" t="str">
        <f t="shared" si="194"/>
        <v/>
      </c>
      <c r="AM250" t="str">
        <f t="shared" si="195"/>
        <v/>
      </c>
    </row>
    <row r="251" spans="3:39" x14ac:dyDescent="0.35">
      <c r="D251" t="s">
        <v>28</v>
      </c>
      <c r="E251" t="s">
        <v>45</v>
      </c>
      <c r="G251" s="4">
        <v>0.42503368987245638</v>
      </c>
      <c r="H251" s="4">
        <v>0.32782208702859328</v>
      </c>
      <c r="I251" s="4">
        <v>0.24714422309895043</v>
      </c>
      <c r="K251">
        <v>1.97</v>
      </c>
      <c r="L251">
        <v>3.83</v>
      </c>
      <c r="M251">
        <v>4.49</v>
      </c>
      <c r="N251" s="4">
        <v>0.50761421319796951</v>
      </c>
      <c r="O251" s="4">
        <v>0.2610966057441253</v>
      </c>
      <c r="P251" s="4">
        <v>0.22271714922048996</v>
      </c>
      <c r="R251" t="s">
        <v>103</v>
      </c>
      <c r="S251">
        <v>1</v>
      </c>
      <c r="T251">
        <v>0</v>
      </c>
      <c r="V251" t="s">
        <v>103</v>
      </c>
      <c r="W251">
        <v>1</v>
      </c>
      <c r="Z251">
        <v>0</v>
      </c>
      <c r="AB251">
        <f t="shared" si="196"/>
        <v>1</v>
      </c>
      <c r="AC251" t="str">
        <f t="shared" si="197"/>
        <v/>
      </c>
      <c r="AD251" t="str">
        <f t="shared" si="198"/>
        <v/>
      </c>
      <c r="AE251" t="str">
        <f t="shared" si="199"/>
        <v>H</v>
      </c>
      <c r="AF251">
        <f t="shared" si="200"/>
        <v>1</v>
      </c>
      <c r="AH251">
        <f t="shared" si="201"/>
        <v>1</v>
      </c>
      <c r="AI251" t="str">
        <f t="shared" si="202"/>
        <v/>
      </c>
      <c r="AJ251" t="str">
        <f t="shared" si="203"/>
        <v/>
      </c>
      <c r="AK251">
        <f t="shared" si="204"/>
        <v>0.97</v>
      </c>
      <c r="AL251" t="str">
        <f t="shared" si="194"/>
        <v/>
      </c>
      <c r="AM251" t="str">
        <f t="shared" si="195"/>
        <v/>
      </c>
    </row>
    <row r="252" spans="3:39" x14ac:dyDescent="0.35">
      <c r="D252" t="s">
        <v>39</v>
      </c>
      <c r="E252" t="s">
        <v>50</v>
      </c>
      <c r="G252" s="4">
        <v>0.53797637569826529</v>
      </c>
      <c r="H252" s="4">
        <v>0.30859527802689979</v>
      </c>
      <c r="I252" s="4">
        <v>0.15342834627483473</v>
      </c>
      <c r="K252">
        <v>1.4</v>
      </c>
      <c r="L252">
        <v>5.5</v>
      </c>
      <c r="M252">
        <v>10</v>
      </c>
      <c r="N252" s="4">
        <v>0.7142857142857143</v>
      </c>
      <c r="O252" s="4">
        <v>0.18181818181818182</v>
      </c>
      <c r="P252" s="4">
        <v>0.1</v>
      </c>
      <c r="R252" t="s">
        <v>103</v>
      </c>
      <c r="S252">
        <v>4</v>
      </c>
      <c r="T252">
        <v>0</v>
      </c>
      <c r="V252" t="s">
        <v>103</v>
      </c>
      <c r="W252">
        <v>1</v>
      </c>
      <c r="Z252">
        <v>0</v>
      </c>
      <c r="AB252">
        <f t="shared" si="196"/>
        <v>1</v>
      </c>
      <c r="AC252" t="str">
        <f t="shared" si="197"/>
        <v/>
      </c>
      <c r="AD252" t="str">
        <f t="shared" si="198"/>
        <v/>
      </c>
      <c r="AE252" t="str">
        <f t="shared" si="199"/>
        <v>H</v>
      </c>
      <c r="AF252">
        <f t="shared" si="200"/>
        <v>1</v>
      </c>
      <c r="AH252">
        <f t="shared" si="201"/>
        <v>1</v>
      </c>
      <c r="AI252" t="str">
        <f t="shared" si="202"/>
        <v/>
      </c>
      <c r="AJ252" t="str">
        <f t="shared" si="203"/>
        <v/>
      </c>
      <c r="AK252">
        <f t="shared" si="204"/>
        <v>0.39999999999999991</v>
      </c>
      <c r="AL252" t="str">
        <f t="shared" si="194"/>
        <v/>
      </c>
      <c r="AM252" t="str">
        <f t="shared" si="195"/>
        <v/>
      </c>
    </row>
    <row r="253" spans="3:39" x14ac:dyDescent="0.35">
      <c r="D253" t="s">
        <v>42</v>
      </c>
      <c r="E253" t="s">
        <v>32</v>
      </c>
      <c r="G253" s="4">
        <v>0.52706715270451443</v>
      </c>
      <c r="H253" s="4">
        <v>0.2981553780575707</v>
      </c>
      <c r="I253" s="4">
        <v>0.17477746923791476</v>
      </c>
      <c r="K253">
        <v>1.33</v>
      </c>
      <c r="L253">
        <v>6</v>
      </c>
      <c r="M253">
        <v>13</v>
      </c>
      <c r="N253" s="4">
        <v>0.75187969924812026</v>
      </c>
      <c r="O253" s="4">
        <v>0.16666666666666666</v>
      </c>
      <c r="P253" s="4">
        <v>7.6923076923076927E-2</v>
      </c>
      <c r="R253" t="s">
        <v>103</v>
      </c>
      <c r="S253">
        <v>3</v>
      </c>
      <c r="T253">
        <v>0</v>
      </c>
      <c r="V253" t="s">
        <v>103</v>
      </c>
      <c r="W253">
        <v>1</v>
      </c>
      <c r="Z253">
        <v>0</v>
      </c>
      <c r="AB253">
        <f t="shared" si="196"/>
        <v>1</v>
      </c>
      <c r="AC253" t="str">
        <f t="shared" si="197"/>
        <v/>
      </c>
      <c r="AD253" t="str">
        <f t="shared" si="198"/>
        <v/>
      </c>
      <c r="AE253" t="str">
        <f t="shared" si="199"/>
        <v>H</v>
      </c>
      <c r="AF253">
        <f t="shared" si="200"/>
        <v>1</v>
      </c>
      <c r="AH253">
        <f t="shared" si="201"/>
        <v>1</v>
      </c>
      <c r="AI253" t="str">
        <f t="shared" si="202"/>
        <v/>
      </c>
      <c r="AJ253" t="str">
        <f t="shared" si="203"/>
        <v/>
      </c>
      <c r="AK253">
        <f t="shared" si="204"/>
        <v>0.33000000000000007</v>
      </c>
      <c r="AL253" t="str">
        <f t="shared" si="194"/>
        <v/>
      </c>
      <c r="AM253" t="str">
        <f t="shared" si="195"/>
        <v/>
      </c>
    </row>
    <row r="254" spans="3:39" x14ac:dyDescent="0.35">
      <c r="D254" t="s">
        <v>29</v>
      </c>
      <c r="E254" t="s">
        <v>41</v>
      </c>
      <c r="G254" s="4">
        <v>0.18567901803515988</v>
      </c>
      <c r="H254" s="4">
        <v>0.29934798102130872</v>
      </c>
      <c r="I254" s="4">
        <v>0.51497300094353116</v>
      </c>
      <c r="K254">
        <v>5</v>
      </c>
      <c r="L254">
        <v>4.4000000000000004</v>
      </c>
      <c r="M254">
        <v>1.74</v>
      </c>
      <c r="N254" s="4">
        <v>0.2</v>
      </c>
      <c r="O254" s="4">
        <v>0.22727272727272727</v>
      </c>
      <c r="P254" s="4">
        <v>0.57471264367816088</v>
      </c>
      <c r="R254" t="s">
        <v>105</v>
      </c>
      <c r="S254">
        <v>0</v>
      </c>
      <c r="T254">
        <v>1</v>
      </c>
      <c r="V254" t="s">
        <v>105</v>
      </c>
      <c r="W254">
        <v>1</v>
      </c>
      <c r="Z254">
        <v>0</v>
      </c>
      <c r="AB254" t="str">
        <f t="shared" si="196"/>
        <v/>
      </c>
      <c r="AC254" t="str">
        <f t="shared" si="197"/>
        <v/>
      </c>
      <c r="AD254">
        <f t="shared" si="198"/>
        <v>1</v>
      </c>
      <c r="AE254" t="str">
        <f t="shared" si="199"/>
        <v>A</v>
      </c>
      <c r="AF254">
        <f t="shared" si="200"/>
        <v>1</v>
      </c>
      <c r="AH254" t="str">
        <f t="shared" si="201"/>
        <v/>
      </c>
      <c r="AI254" t="str">
        <f t="shared" si="202"/>
        <v/>
      </c>
      <c r="AJ254">
        <f t="shared" si="203"/>
        <v>1</v>
      </c>
      <c r="AK254" t="str">
        <f t="shared" si="204"/>
        <v/>
      </c>
      <c r="AL254" t="str">
        <f t="shared" si="194"/>
        <v/>
      </c>
      <c r="AM254">
        <f t="shared" si="195"/>
        <v>0.74</v>
      </c>
    </row>
    <row r="255" spans="3:39" x14ac:dyDescent="0.35">
      <c r="D255" t="s">
        <v>38</v>
      </c>
      <c r="E255" t="s">
        <v>35</v>
      </c>
      <c r="G255" s="4">
        <v>0.41403342443029301</v>
      </c>
      <c r="H255" s="4">
        <v>0.33273704320267822</v>
      </c>
      <c r="I255" s="4">
        <v>0.25322953236702894</v>
      </c>
      <c r="K255">
        <v>2.72</v>
      </c>
      <c r="L255">
        <v>3.46</v>
      </c>
      <c r="M255">
        <v>2.85</v>
      </c>
      <c r="N255" s="4">
        <v>0.36764705882352938</v>
      </c>
      <c r="O255" s="4">
        <v>0.28901734104046245</v>
      </c>
      <c r="P255" s="4">
        <v>0.35087719298245612</v>
      </c>
      <c r="R255" t="s">
        <v>105</v>
      </c>
      <c r="S255">
        <v>0</v>
      </c>
      <c r="T255">
        <v>3</v>
      </c>
      <c r="V255" t="s">
        <v>103</v>
      </c>
      <c r="W255">
        <v>0</v>
      </c>
      <c r="Z255" t="s">
        <v>117</v>
      </c>
      <c r="AB255">
        <f t="shared" si="196"/>
        <v>0</v>
      </c>
      <c r="AC255" t="str">
        <f t="shared" si="197"/>
        <v/>
      </c>
      <c r="AD255" t="str">
        <f t="shared" si="198"/>
        <v/>
      </c>
      <c r="AE255" t="str">
        <f t="shared" si="199"/>
        <v>H</v>
      </c>
      <c r="AF255">
        <f t="shared" si="200"/>
        <v>0</v>
      </c>
      <c r="AH255">
        <f t="shared" si="201"/>
        <v>0</v>
      </c>
      <c r="AI255" t="str">
        <f t="shared" si="202"/>
        <v/>
      </c>
      <c r="AJ255" t="str">
        <f t="shared" si="203"/>
        <v/>
      </c>
      <c r="AK255">
        <f t="shared" si="204"/>
        <v>-1</v>
      </c>
      <c r="AL255" t="str">
        <f t="shared" si="194"/>
        <v/>
      </c>
      <c r="AM255" t="str">
        <f t="shared" si="195"/>
        <v/>
      </c>
    </row>
    <row r="256" spans="3:39" x14ac:dyDescent="0.35">
      <c r="D256" t="s">
        <v>52</v>
      </c>
      <c r="E256" t="s">
        <v>36</v>
      </c>
      <c r="G256" s="4">
        <v>8.7743086268540799E-2</v>
      </c>
      <c r="H256" s="4">
        <v>0.1601214028757251</v>
      </c>
      <c r="I256" s="4">
        <v>0.75213551085573405</v>
      </c>
      <c r="K256">
        <v>18</v>
      </c>
      <c r="L256">
        <v>9.15</v>
      </c>
      <c r="M256">
        <v>1.2</v>
      </c>
      <c r="N256" s="4">
        <v>5.5555555555555552E-2</v>
      </c>
      <c r="O256" s="4">
        <v>0.10928961748633879</v>
      </c>
      <c r="P256" s="4">
        <v>0.83333333333333337</v>
      </c>
      <c r="R256" t="s">
        <v>105</v>
      </c>
      <c r="S256">
        <v>1</v>
      </c>
      <c r="T256">
        <v>6</v>
      </c>
      <c r="V256" t="s">
        <v>105</v>
      </c>
      <c r="W256">
        <v>1</v>
      </c>
      <c r="Z256">
        <v>0</v>
      </c>
      <c r="AB256" t="str">
        <f t="shared" si="196"/>
        <v/>
      </c>
      <c r="AC256" t="str">
        <f t="shared" si="197"/>
        <v/>
      </c>
      <c r="AD256">
        <f t="shared" si="198"/>
        <v>1</v>
      </c>
      <c r="AE256" t="str">
        <f t="shared" si="199"/>
        <v>A</v>
      </c>
      <c r="AF256">
        <f t="shared" si="200"/>
        <v>1</v>
      </c>
      <c r="AH256" t="str">
        <f t="shared" si="201"/>
        <v/>
      </c>
      <c r="AI256" t="str">
        <f t="shared" si="202"/>
        <v/>
      </c>
      <c r="AJ256">
        <f t="shared" si="203"/>
        <v>1</v>
      </c>
      <c r="AK256" t="str">
        <f t="shared" si="204"/>
        <v/>
      </c>
      <c r="AL256" t="str">
        <f t="shared" si="194"/>
        <v/>
      </c>
      <c r="AM256">
        <f t="shared" si="195"/>
        <v>0.19999999999999996</v>
      </c>
    </row>
    <row r="257" spans="3:39" x14ac:dyDescent="0.35">
      <c r="AB257" s="4"/>
      <c r="AC257" s="4"/>
      <c r="AD257" s="4"/>
    </row>
    <row r="261" spans="3:39" x14ac:dyDescent="0.35">
      <c r="C261" t="s">
        <v>141</v>
      </c>
      <c r="H261" s="21" t="s">
        <v>107</v>
      </c>
      <c r="K261" s="22" t="s">
        <v>106</v>
      </c>
      <c r="N261" t="s">
        <v>108</v>
      </c>
    </row>
    <row r="262" spans="3:39" x14ac:dyDescent="0.35">
      <c r="G262" t="s">
        <v>103</v>
      </c>
      <c r="H262" t="s">
        <v>104</v>
      </c>
      <c r="I262" t="s">
        <v>105</v>
      </c>
      <c r="K262" t="s">
        <v>103</v>
      </c>
      <c r="L262" t="s">
        <v>104</v>
      </c>
      <c r="M262" t="s">
        <v>105</v>
      </c>
      <c r="N262" t="s">
        <v>103</v>
      </c>
      <c r="O262" t="s">
        <v>104</v>
      </c>
      <c r="P262" t="s">
        <v>105</v>
      </c>
      <c r="R262" t="s">
        <v>110</v>
      </c>
      <c r="V262" t="s">
        <v>112</v>
      </c>
      <c r="W262" t="s">
        <v>111</v>
      </c>
      <c r="X262" s="28" t="s">
        <v>114</v>
      </c>
      <c r="Z262" t="s">
        <v>113</v>
      </c>
      <c r="AA262" s="28" t="s">
        <v>116</v>
      </c>
      <c r="AB262" t="s">
        <v>166</v>
      </c>
      <c r="AC262" t="s">
        <v>167</v>
      </c>
      <c r="AD262" t="s">
        <v>168</v>
      </c>
      <c r="AK262" t="str">
        <f t="shared" si="158"/>
        <v/>
      </c>
      <c r="AL262" t="str">
        <f t="shared" si="159"/>
        <v/>
      </c>
      <c r="AM262" t="str">
        <f t="shared" si="160"/>
        <v/>
      </c>
    </row>
    <row r="263" spans="3:39" x14ac:dyDescent="0.35">
      <c r="D263" t="s">
        <v>35</v>
      </c>
      <c r="E263" t="s">
        <v>29</v>
      </c>
      <c r="G263" s="4">
        <v>0.3158956595943242</v>
      </c>
      <c r="H263" s="4">
        <v>0.3161448044992789</v>
      </c>
      <c r="I263" s="4">
        <v>0.36795953590639696</v>
      </c>
      <c r="K263">
        <v>3.3</v>
      </c>
      <c r="L263">
        <v>3.6</v>
      </c>
      <c r="M263">
        <v>2.35</v>
      </c>
      <c r="N263" s="4">
        <v>0.30303030303030304</v>
      </c>
      <c r="O263" s="4">
        <v>0.27777777777777779</v>
      </c>
      <c r="P263" s="4">
        <v>0.42553191489361702</v>
      </c>
      <c r="R263" t="s">
        <v>104</v>
      </c>
      <c r="S263">
        <v>0</v>
      </c>
      <c r="T263">
        <v>0</v>
      </c>
      <c r="V263" t="s">
        <v>105</v>
      </c>
      <c r="W263">
        <v>0</v>
      </c>
      <c r="X263" s="28">
        <v>0.2</v>
      </c>
      <c r="Z263" t="s">
        <v>117</v>
      </c>
      <c r="AA263" s="28">
        <v>0.5</v>
      </c>
      <c r="AB263" t="str">
        <f>IF(V263=$G$5, IF(W263=$R$2, 1,0), "")</f>
        <v/>
      </c>
      <c r="AC263" t="str">
        <f>IF(V263=$H$5, IF(W263=$R$2, 1,0), "")</f>
        <v/>
      </c>
      <c r="AD263">
        <f>IF(V263=$I$5, IF(W263=$R$2, 1,0), "")</f>
        <v>0</v>
      </c>
      <c r="AE263" t="str">
        <f>IF(MAX(N263:P263)=N263,$N$5,IF(MAX(N263:P263)=O263,$O$5,$P$5))</f>
        <v>A</v>
      </c>
      <c r="AF263">
        <f>IF(AE263=R263, $R$2,$R$3)</f>
        <v>0</v>
      </c>
      <c r="AG263" s="28">
        <f>COUNTIF(AF263:AF272, $R$2)/COUNT(AF263:AF272)</f>
        <v>0.2</v>
      </c>
      <c r="AH263" t="str">
        <f>IF(AE263=$G$5, IF(AF263=$R$2, 1,0), "")</f>
        <v/>
      </c>
      <c r="AI263" t="str">
        <f>IF(AE263=$H$5, IF(AF263=$R$2, 1,0), "")</f>
        <v/>
      </c>
      <c r="AJ263">
        <f>IF(AE263=$I$5, IF(AF263=$R$2, 1,0), "")</f>
        <v>0</v>
      </c>
      <c r="AK263" t="str">
        <f>IF(AB263=1, K263-1, IF(AB263=0, -1,""))</f>
        <v/>
      </c>
      <c r="AL263" t="str">
        <f t="shared" ref="AL263:AL272" si="205">IF(AC263=1, L263-1, IF(AC263=0, -1,""))</f>
        <v/>
      </c>
      <c r="AM263">
        <f t="shared" ref="AM263:AM272" si="206">IF(AD263=1, M263-1, IF(AD263=0, -1,""))</f>
        <v>-1</v>
      </c>
    </row>
    <row r="264" spans="3:39" x14ac:dyDescent="0.35">
      <c r="D264" t="s">
        <v>50</v>
      </c>
      <c r="E264" t="s">
        <v>38</v>
      </c>
      <c r="G264" s="4">
        <v>0.26677779592650092</v>
      </c>
      <c r="H264" s="4">
        <v>0.28777747311229729</v>
      </c>
      <c r="I264" s="4">
        <v>0.44544473096120163</v>
      </c>
      <c r="K264">
        <v>2.2999999999999998</v>
      </c>
      <c r="L264">
        <v>3.7</v>
      </c>
      <c r="M264">
        <v>3.3</v>
      </c>
      <c r="N264" s="4">
        <v>0.43478260869565222</v>
      </c>
      <c r="O264" s="4">
        <v>0.27027027027027023</v>
      </c>
      <c r="P264" s="4">
        <v>0.30303030303030304</v>
      </c>
      <c r="R264" t="s">
        <v>103</v>
      </c>
      <c r="S264">
        <v>1</v>
      </c>
      <c r="T264">
        <v>0</v>
      </c>
      <c r="V264" t="s">
        <v>105</v>
      </c>
      <c r="W264">
        <v>0</v>
      </c>
      <c r="Z264" t="s">
        <v>117</v>
      </c>
      <c r="AA264" s="29" t="s">
        <v>117</v>
      </c>
      <c r="AB264" t="str">
        <f t="shared" ref="AB264:AB272" si="207">IF(V264=$G$5, IF(W264=$R$2, 1,0), "")</f>
        <v/>
      </c>
      <c r="AC264" t="str">
        <f t="shared" ref="AC264:AC272" si="208">IF(V264=$H$5, IF(W264=$R$2, 1,0), "")</f>
        <v/>
      </c>
      <c r="AD264">
        <f t="shared" ref="AD264:AD272" si="209">IF(V264=$I$5, IF(W264=$R$2, 1,0), "")</f>
        <v>0</v>
      </c>
      <c r="AE264" t="str">
        <f t="shared" ref="AE264:AE272" si="210">IF(MAX(N264:P264)=N264,$N$5,IF(MAX(N264:P264)=O264,$O$5,$P$5))</f>
        <v>H</v>
      </c>
      <c r="AF264">
        <f t="shared" ref="AF264:AF272" si="211">IF(AE264=R264, $R$2,$R$3)</f>
        <v>1</v>
      </c>
      <c r="AH264">
        <f t="shared" ref="AH264:AH272" si="212">IF(AE264=$G$5, IF(AF264=$R$2, 1,0), "")</f>
        <v>1</v>
      </c>
      <c r="AI264" t="str">
        <f t="shared" ref="AI264:AI272" si="213">IF(AE264=$H$5, IF(AF264=$R$2, 1,0), "")</f>
        <v/>
      </c>
      <c r="AJ264" t="str">
        <f t="shared" ref="AJ264:AJ272" si="214">IF(AE264=$I$5, IF(AF264=$R$2, 1,0), "")</f>
        <v/>
      </c>
      <c r="AK264" t="str">
        <f t="shared" ref="AK264:AK272" si="215">IF(AB264=1, K264-1, IF(AB264=0, -1,""))</f>
        <v/>
      </c>
      <c r="AL264" t="str">
        <f t="shared" si="205"/>
        <v/>
      </c>
      <c r="AM264">
        <f t="shared" si="206"/>
        <v>-1</v>
      </c>
    </row>
    <row r="265" spans="3:39" x14ac:dyDescent="0.35">
      <c r="D265" t="s">
        <v>43</v>
      </c>
      <c r="E265" t="s">
        <v>28</v>
      </c>
      <c r="G265" s="4">
        <v>0.26766542965254059</v>
      </c>
      <c r="H265" s="4">
        <v>0.28283151825082625</v>
      </c>
      <c r="I265" s="4">
        <v>0.4495030520966331</v>
      </c>
      <c r="K265">
        <v>3.05</v>
      </c>
      <c r="L265">
        <v>3.6</v>
      </c>
      <c r="M265">
        <v>2.5</v>
      </c>
      <c r="N265" s="4">
        <v>0.32786885245901642</v>
      </c>
      <c r="O265" s="4">
        <v>0.27777777777777779</v>
      </c>
      <c r="P265" s="4">
        <v>0.4</v>
      </c>
      <c r="R265" t="s">
        <v>104</v>
      </c>
      <c r="S265">
        <v>1</v>
      </c>
      <c r="T265">
        <v>1</v>
      </c>
      <c r="V265" t="s">
        <v>105</v>
      </c>
      <c r="W265">
        <v>0</v>
      </c>
      <c r="Z265" t="s">
        <v>117</v>
      </c>
      <c r="AB265" t="str">
        <f t="shared" si="207"/>
        <v/>
      </c>
      <c r="AC265" t="str">
        <f t="shared" si="208"/>
        <v/>
      </c>
      <c r="AD265">
        <f t="shared" si="209"/>
        <v>0</v>
      </c>
      <c r="AE265" t="str">
        <f t="shared" si="210"/>
        <v>A</v>
      </c>
      <c r="AF265">
        <f t="shared" si="211"/>
        <v>0</v>
      </c>
      <c r="AH265" t="str">
        <f t="shared" si="212"/>
        <v/>
      </c>
      <c r="AI265" t="str">
        <f t="shared" si="213"/>
        <v/>
      </c>
      <c r="AJ265">
        <f t="shared" si="214"/>
        <v>0</v>
      </c>
      <c r="AK265" t="str">
        <f t="shared" si="215"/>
        <v/>
      </c>
      <c r="AL265" t="str">
        <f t="shared" si="205"/>
        <v/>
      </c>
      <c r="AM265">
        <f t="shared" si="206"/>
        <v>-1</v>
      </c>
    </row>
    <row r="266" spans="3:39" x14ac:dyDescent="0.35">
      <c r="D266" t="s">
        <v>34</v>
      </c>
      <c r="E266" t="s">
        <v>49</v>
      </c>
      <c r="G266" s="4">
        <v>0.17674407826203914</v>
      </c>
      <c r="H266" s="4">
        <v>0.29364200490495806</v>
      </c>
      <c r="I266" s="4">
        <v>0.52961391683300252</v>
      </c>
      <c r="K266">
        <v>2.46</v>
      </c>
      <c r="L266">
        <v>3.5</v>
      </c>
      <c r="M266">
        <v>3.2</v>
      </c>
      <c r="N266" s="4">
        <v>0.4065040650406504</v>
      </c>
      <c r="O266" s="4">
        <v>0.2857142857142857</v>
      </c>
      <c r="P266" s="4">
        <v>0.3125</v>
      </c>
      <c r="R266" t="s">
        <v>105</v>
      </c>
      <c r="S266">
        <v>2</v>
      </c>
      <c r="T266">
        <v>3</v>
      </c>
      <c r="V266" t="s">
        <v>105</v>
      </c>
      <c r="W266">
        <v>1</v>
      </c>
      <c r="Z266">
        <v>1</v>
      </c>
      <c r="AB266" t="str">
        <f t="shared" si="207"/>
        <v/>
      </c>
      <c r="AC266" t="str">
        <f t="shared" si="208"/>
        <v/>
      </c>
      <c r="AD266">
        <f t="shared" si="209"/>
        <v>1</v>
      </c>
      <c r="AE266" t="str">
        <f t="shared" si="210"/>
        <v>H</v>
      </c>
      <c r="AF266">
        <f t="shared" si="211"/>
        <v>0</v>
      </c>
      <c r="AH266">
        <f t="shared" si="212"/>
        <v>0</v>
      </c>
      <c r="AI266" t="str">
        <f t="shared" si="213"/>
        <v/>
      </c>
      <c r="AJ266" t="str">
        <f t="shared" si="214"/>
        <v/>
      </c>
      <c r="AK266" t="str">
        <f t="shared" si="215"/>
        <v/>
      </c>
      <c r="AL266" t="str">
        <f t="shared" si="205"/>
        <v/>
      </c>
      <c r="AM266">
        <f t="shared" si="206"/>
        <v>2.2000000000000002</v>
      </c>
    </row>
    <row r="267" spans="3:39" x14ac:dyDescent="0.35">
      <c r="D267" t="s">
        <v>36</v>
      </c>
      <c r="E267" t="s">
        <v>30</v>
      </c>
      <c r="G267" s="4">
        <v>0.70865226973367612</v>
      </c>
      <c r="H267" s="4">
        <v>0.20294626738907823</v>
      </c>
      <c r="I267" s="4">
        <v>8.8401462877245499E-2</v>
      </c>
      <c r="K267">
        <v>1.1299999999999999</v>
      </c>
      <c r="L267">
        <v>12</v>
      </c>
      <c r="M267">
        <v>30</v>
      </c>
      <c r="N267" s="4">
        <v>0.88495575221238942</v>
      </c>
      <c r="O267" s="4">
        <v>8.3333333333333329E-2</v>
      </c>
      <c r="P267" s="4">
        <v>3.3333333333333333E-2</v>
      </c>
      <c r="R267" t="s">
        <v>104</v>
      </c>
      <c r="S267">
        <v>2</v>
      </c>
      <c r="T267">
        <v>2</v>
      </c>
      <c r="V267" t="s">
        <v>103</v>
      </c>
      <c r="W267">
        <v>0</v>
      </c>
      <c r="Z267" t="s">
        <v>117</v>
      </c>
      <c r="AB267">
        <f t="shared" si="207"/>
        <v>0</v>
      </c>
      <c r="AC267" t="str">
        <f t="shared" si="208"/>
        <v/>
      </c>
      <c r="AD267" t="str">
        <f t="shared" si="209"/>
        <v/>
      </c>
      <c r="AE267" t="str">
        <f t="shared" si="210"/>
        <v>H</v>
      </c>
      <c r="AF267">
        <f t="shared" si="211"/>
        <v>0</v>
      </c>
      <c r="AH267">
        <f t="shared" si="212"/>
        <v>0</v>
      </c>
      <c r="AI267" t="str">
        <f t="shared" si="213"/>
        <v/>
      </c>
      <c r="AJ267" t="str">
        <f t="shared" si="214"/>
        <v/>
      </c>
      <c r="AK267">
        <f t="shared" si="215"/>
        <v>-1</v>
      </c>
      <c r="AL267" t="str">
        <f t="shared" si="205"/>
        <v/>
      </c>
      <c r="AM267" t="str">
        <f t="shared" si="206"/>
        <v/>
      </c>
    </row>
    <row r="268" spans="3:39" x14ac:dyDescent="0.35">
      <c r="D268" t="s">
        <v>45</v>
      </c>
      <c r="E268" t="s">
        <v>52</v>
      </c>
      <c r="G268" s="4">
        <v>0.45629564585298743</v>
      </c>
      <c r="H268" s="4">
        <v>0.28815656065284628</v>
      </c>
      <c r="I268" s="4">
        <v>0.25554779349416595</v>
      </c>
      <c r="K268">
        <v>1.72</v>
      </c>
      <c r="L268">
        <v>4.55</v>
      </c>
      <c r="M268">
        <v>5.25</v>
      </c>
      <c r="N268" s="4">
        <v>0.58139534883720934</v>
      </c>
      <c r="O268" s="4">
        <v>0.21978021978021978</v>
      </c>
      <c r="P268" s="4">
        <v>0.19047619047619047</v>
      </c>
      <c r="R268" t="s">
        <v>104</v>
      </c>
      <c r="S268">
        <v>1</v>
      </c>
      <c r="T268">
        <v>1</v>
      </c>
      <c r="V268" t="s">
        <v>103</v>
      </c>
      <c r="W268">
        <v>0</v>
      </c>
      <c r="Z268" t="s">
        <v>117</v>
      </c>
      <c r="AB268">
        <f t="shared" si="207"/>
        <v>0</v>
      </c>
      <c r="AC268" t="str">
        <f t="shared" si="208"/>
        <v/>
      </c>
      <c r="AD268" t="str">
        <f t="shared" si="209"/>
        <v/>
      </c>
      <c r="AE268" t="str">
        <f t="shared" si="210"/>
        <v>H</v>
      </c>
      <c r="AF268">
        <f t="shared" si="211"/>
        <v>0</v>
      </c>
      <c r="AH268">
        <f t="shared" si="212"/>
        <v>0</v>
      </c>
      <c r="AI268" t="str">
        <f t="shared" si="213"/>
        <v/>
      </c>
      <c r="AJ268" t="str">
        <f t="shared" si="214"/>
        <v/>
      </c>
      <c r="AK268">
        <f t="shared" si="215"/>
        <v>-1</v>
      </c>
      <c r="AL268" t="str">
        <f t="shared" si="205"/>
        <v/>
      </c>
      <c r="AM268" t="str">
        <f t="shared" si="206"/>
        <v/>
      </c>
    </row>
    <row r="269" spans="3:39" x14ac:dyDescent="0.35">
      <c r="D269" t="s">
        <v>40</v>
      </c>
      <c r="E269" t="s">
        <v>51</v>
      </c>
      <c r="G269" s="4">
        <v>0.3667640045112523</v>
      </c>
      <c r="H269" s="4">
        <v>0.33394922682313033</v>
      </c>
      <c r="I269" s="4">
        <v>0.29928676866561787</v>
      </c>
      <c r="K269">
        <v>1.9</v>
      </c>
      <c r="L269">
        <v>3.72</v>
      </c>
      <c r="M269">
        <v>4.7</v>
      </c>
      <c r="N269" s="4">
        <v>0.52631578947368418</v>
      </c>
      <c r="O269" s="4">
        <v>0.26881720430107525</v>
      </c>
      <c r="P269" s="4">
        <v>0.21276595744680851</v>
      </c>
      <c r="R269" t="s">
        <v>104</v>
      </c>
      <c r="S269">
        <v>1</v>
      </c>
      <c r="T269">
        <v>1</v>
      </c>
      <c r="V269" t="s">
        <v>103</v>
      </c>
      <c r="W269">
        <v>0</v>
      </c>
      <c r="Z269" t="s">
        <v>117</v>
      </c>
      <c r="AB269">
        <f t="shared" si="207"/>
        <v>0</v>
      </c>
      <c r="AC269" t="str">
        <f t="shared" si="208"/>
        <v/>
      </c>
      <c r="AD269" t="str">
        <f t="shared" si="209"/>
        <v/>
      </c>
      <c r="AE269" t="str">
        <f t="shared" si="210"/>
        <v>H</v>
      </c>
      <c r="AF269">
        <f t="shared" si="211"/>
        <v>0</v>
      </c>
      <c r="AH269">
        <f t="shared" si="212"/>
        <v>0</v>
      </c>
      <c r="AI269" t="str">
        <f t="shared" si="213"/>
        <v/>
      </c>
      <c r="AJ269" t="str">
        <f t="shared" si="214"/>
        <v/>
      </c>
      <c r="AK269">
        <f t="shared" si="215"/>
        <v>-1</v>
      </c>
      <c r="AL269" t="str">
        <f t="shared" si="205"/>
        <v/>
      </c>
      <c r="AM269" t="str">
        <f t="shared" si="206"/>
        <v/>
      </c>
    </row>
    <row r="270" spans="3:39" x14ac:dyDescent="0.35">
      <c r="D270" t="s">
        <v>46</v>
      </c>
      <c r="E270" t="s">
        <v>42</v>
      </c>
      <c r="G270" s="4">
        <v>0.15706621667519038</v>
      </c>
      <c r="H270" s="4">
        <v>0.26468342292516556</v>
      </c>
      <c r="I270" s="4">
        <v>0.57825036039964406</v>
      </c>
      <c r="K270">
        <v>6.4</v>
      </c>
      <c r="L270">
        <v>4.72</v>
      </c>
      <c r="M270">
        <v>1.57</v>
      </c>
      <c r="N270" s="4">
        <v>0.15625</v>
      </c>
      <c r="O270" s="4">
        <v>0.21186440677966104</v>
      </c>
      <c r="P270" s="4">
        <v>0.63694267515923564</v>
      </c>
      <c r="R270" t="s">
        <v>103</v>
      </c>
      <c r="S270">
        <v>1</v>
      </c>
      <c r="T270">
        <v>0</v>
      </c>
      <c r="V270" t="s">
        <v>105</v>
      </c>
      <c r="W270">
        <v>0</v>
      </c>
      <c r="Z270" t="s">
        <v>117</v>
      </c>
      <c r="AB270" t="str">
        <f t="shared" si="207"/>
        <v/>
      </c>
      <c r="AC270" t="str">
        <f t="shared" si="208"/>
        <v/>
      </c>
      <c r="AD270">
        <f t="shared" si="209"/>
        <v>0</v>
      </c>
      <c r="AE270" t="str">
        <f t="shared" si="210"/>
        <v>A</v>
      </c>
      <c r="AF270">
        <f t="shared" si="211"/>
        <v>0</v>
      </c>
      <c r="AH270" t="str">
        <f t="shared" si="212"/>
        <v/>
      </c>
      <c r="AI270" t="str">
        <f t="shared" si="213"/>
        <v/>
      </c>
      <c r="AJ270">
        <f t="shared" si="214"/>
        <v>0</v>
      </c>
      <c r="AK270" t="str">
        <f t="shared" si="215"/>
        <v/>
      </c>
      <c r="AL270" t="str">
        <f t="shared" si="205"/>
        <v/>
      </c>
      <c r="AM270">
        <f t="shared" si="206"/>
        <v>-1</v>
      </c>
    </row>
    <row r="271" spans="3:39" x14ac:dyDescent="0.35">
      <c r="D271" t="s">
        <v>32</v>
      </c>
      <c r="E271" t="s">
        <v>25</v>
      </c>
      <c r="G271" s="4">
        <v>0.16550756065991112</v>
      </c>
      <c r="H271" s="4">
        <v>0.24624401349481828</v>
      </c>
      <c r="I271" s="4">
        <v>0.58824842584527048</v>
      </c>
      <c r="K271">
        <v>4.3499999999999996</v>
      </c>
      <c r="L271">
        <v>3.9</v>
      </c>
      <c r="M271">
        <v>1.93</v>
      </c>
      <c r="N271" s="4">
        <v>0.22988505747126439</v>
      </c>
      <c r="O271" s="4">
        <v>0.25641025641025644</v>
      </c>
      <c r="P271" s="4">
        <v>0.5181347150259068</v>
      </c>
      <c r="R271" t="s">
        <v>103</v>
      </c>
      <c r="S271">
        <v>2</v>
      </c>
      <c r="T271">
        <v>1</v>
      </c>
      <c r="V271" t="s">
        <v>105</v>
      </c>
      <c r="W271">
        <v>0</v>
      </c>
      <c r="Z271" t="s">
        <v>117</v>
      </c>
      <c r="AB271" t="str">
        <f t="shared" si="207"/>
        <v/>
      </c>
      <c r="AC271" t="str">
        <f t="shared" si="208"/>
        <v/>
      </c>
      <c r="AD271">
        <f t="shared" si="209"/>
        <v>0</v>
      </c>
      <c r="AE271" t="str">
        <f t="shared" si="210"/>
        <v>A</v>
      </c>
      <c r="AF271">
        <f t="shared" si="211"/>
        <v>0</v>
      </c>
      <c r="AH271" t="str">
        <f t="shared" si="212"/>
        <v/>
      </c>
      <c r="AI271" t="str">
        <f t="shared" si="213"/>
        <v/>
      </c>
      <c r="AJ271">
        <f t="shared" si="214"/>
        <v>0</v>
      </c>
      <c r="AK271" t="str">
        <f t="shared" si="215"/>
        <v/>
      </c>
      <c r="AL271" t="str">
        <f t="shared" si="205"/>
        <v/>
      </c>
      <c r="AM271">
        <f t="shared" si="206"/>
        <v>-1</v>
      </c>
    </row>
    <row r="272" spans="3:39" x14ac:dyDescent="0.35">
      <c r="D272" t="s">
        <v>41</v>
      </c>
      <c r="E272" t="s">
        <v>39</v>
      </c>
      <c r="G272" s="4">
        <v>0.53301392140852533</v>
      </c>
      <c r="H272" s="4">
        <v>0.27617919164779914</v>
      </c>
      <c r="I272" s="4">
        <v>0.19080688694367529</v>
      </c>
      <c r="K272">
        <v>1.4</v>
      </c>
      <c r="L272">
        <v>5.4</v>
      </c>
      <c r="M272">
        <v>9.5</v>
      </c>
      <c r="N272" s="4">
        <v>0.7142857142857143</v>
      </c>
      <c r="O272" s="4">
        <v>0.18518518518518517</v>
      </c>
      <c r="P272" s="4">
        <v>0.10526315789473684</v>
      </c>
      <c r="R272" t="s">
        <v>103</v>
      </c>
      <c r="S272">
        <v>2</v>
      </c>
      <c r="T272">
        <v>0</v>
      </c>
      <c r="V272" t="s">
        <v>103</v>
      </c>
      <c r="W272">
        <v>1</v>
      </c>
      <c r="Z272">
        <v>0</v>
      </c>
      <c r="AB272">
        <f t="shared" si="207"/>
        <v>1</v>
      </c>
      <c r="AC272" t="str">
        <f t="shared" si="208"/>
        <v/>
      </c>
      <c r="AD272" t="str">
        <f t="shared" si="209"/>
        <v/>
      </c>
      <c r="AE272" t="str">
        <f t="shared" si="210"/>
        <v>H</v>
      </c>
      <c r="AF272">
        <f t="shared" si="211"/>
        <v>1</v>
      </c>
      <c r="AH272">
        <f t="shared" si="212"/>
        <v>1</v>
      </c>
      <c r="AI272" t="str">
        <f t="shared" si="213"/>
        <v/>
      </c>
      <c r="AJ272" t="str">
        <f t="shared" si="214"/>
        <v/>
      </c>
      <c r="AK272">
        <f t="shared" si="215"/>
        <v>0.39999999999999991</v>
      </c>
      <c r="AL272" t="str">
        <f t="shared" si="205"/>
        <v/>
      </c>
      <c r="AM272" t="str">
        <f t="shared" si="206"/>
        <v/>
      </c>
    </row>
    <row r="273" spans="3:39" x14ac:dyDescent="0.35">
      <c r="AB273" s="4"/>
      <c r="AC273" s="4"/>
      <c r="AD273" s="4"/>
    </row>
    <row r="277" spans="3:39" x14ac:dyDescent="0.35">
      <c r="C277" t="s">
        <v>142</v>
      </c>
      <c r="H277" s="21" t="s">
        <v>107</v>
      </c>
      <c r="K277" s="22" t="s">
        <v>106</v>
      </c>
      <c r="N277" t="s">
        <v>108</v>
      </c>
    </row>
    <row r="278" spans="3:39" x14ac:dyDescent="0.35">
      <c r="G278" t="s">
        <v>103</v>
      </c>
      <c r="H278" t="s">
        <v>104</v>
      </c>
      <c r="I278" t="s">
        <v>105</v>
      </c>
      <c r="K278" t="s">
        <v>103</v>
      </c>
      <c r="L278" t="s">
        <v>104</v>
      </c>
      <c r="M278" t="s">
        <v>105</v>
      </c>
      <c r="N278" t="s">
        <v>103</v>
      </c>
      <c r="O278" t="s">
        <v>104</v>
      </c>
      <c r="P278" t="s">
        <v>105</v>
      </c>
      <c r="R278" t="s">
        <v>110</v>
      </c>
      <c r="V278" t="s">
        <v>112</v>
      </c>
      <c r="W278" t="s">
        <v>111</v>
      </c>
      <c r="X278" s="28" t="s">
        <v>114</v>
      </c>
      <c r="Z278" t="s">
        <v>113</v>
      </c>
      <c r="AA278" s="28" t="s">
        <v>116</v>
      </c>
      <c r="AB278" t="s">
        <v>166</v>
      </c>
      <c r="AC278" t="s">
        <v>167</v>
      </c>
      <c r="AD278" t="s">
        <v>168</v>
      </c>
      <c r="AK278" t="str">
        <f t="shared" ref="AK278:AK325" si="216">IF(AB278=1, K278, IF(AB278=0, -1,""))</f>
        <v/>
      </c>
      <c r="AL278" t="str">
        <f t="shared" ref="AL278:AL325" si="217">IF(AC278=1, L278, IF(AC278=0, -1,""))</f>
        <v/>
      </c>
      <c r="AM278" t="str">
        <f t="shared" ref="AM278:AM325" si="218">IF(AD278=1, M278, IF(AD278=0, -1,""))</f>
        <v/>
      </c>
    </row>
    <row r="279" spans="3:39" x14ac:dyDescent="0.35">
      <c r="D279" t="s">
        <v>28</v>
      </c>
      <c r="E279" t="s">
        <v>46</v>
      </c>
      <c r="G279" s="4">
        <v>0.48200642767155566</v>
      </c>
      <c r="H279" s="4">
        <v>0.33890743563709858</v>
      </c>
      <c r="I279" s="4">
        <v>0.17908613669134571</v>
      </c>
      <c r="K279">
        <v>1.64</v>
      </c>
      <c r="L279">
        <v>4.3</v>
      </c>
      <c r="M279">
        <v>6.75</v>
      </c>
      <c r="N279" s="4">
        <v>0.6097560975609756</v>
      </c>
      <c r="O279" s="4">
        <v>0.23255813953488372</v>
      </c>
      <c r="P279" s="4">
        <v>0.14814814814814814</v>
      </c>
      <c r="R279" t="s">
        <v>104</v>
      </c>
      <c r="S279">
        <v>2</v>
      </c>
      <c r="T279">
        <v>2</v>
      </c>
      <c r="V279" t="s">
        <v>103</v>
      </c>
      <c r="W279">
        <v>0</v>
      </c>
      <c r="X279" s="28">
        <v>0.5</v>
      </c>
      <c r="Z279" t="s">
        <v>117</v>
      </c>
      <c r="AA279" s="28">
        <v>0.4</v>
      </c>
      <c r="AB279">
        <f>IF(V279=$G$5, IF(W279=$R$2, 1,0), "")</f>
        <v>0</v>
      </c>
      <c r="AC279" t="str">
        <f>IF(V279=$H$5, IF(W279=$R$2, 1,0), "")</f>
        <v/>
      </c>
      <c r="AD279" t="str">
        <f>IF(V279=$I$5, IF(W279=$R$2, 1,0), "")</f>
        <v/>
      </c>
      <c r="AE279" t="str">
        <f>IF(MAX(N279:P279)=N279,$N$5,IF(MAX(N279:P279)=O279,$O$5,$P$5))</f>
        <v>H</v>
      </c>
      <c r="AF279">
        <f>IF(AE279=R279, $R$2,$R$3)</f>
        <v>0</v>
      </c>
      <c r="AG279" s="28">
        <f>COUNTIF(AF279:AF288, $R$2)/COUNT(AF279:AF288)</f>
        <v>0.5</v>
      </c>
      <c r="AH279">
        <f>IF(AE279=$G$5, IF(AF279=$R$2, 1,0), "")</f>
        <v>0</v>
      </c>
      <c r="AI279" t="str">
        <f>IF(AE279=$H$5, IF(AF279=$R$2, 1,0), "")</f>
        <v/>
      </c>
      <c r="AJ279" t="str">
        <f>IF(AE279=$I$5, IF(AF279=$R$2, 1,0), "")</f>
        <v/>
      </c>
      <c r="AK279">
        <f>IF(AB279=1, K279-1, IF(AB279=0, -1,""))</f>
        <v>-1</v>
      </c>
      <c r="AL279" t="str">
        <f t="shared" ref="AL279:AL288" si="219">IF(AC279=1, L279-1, IF(AC279=0, -1,""))</f>
        <v/>
      </c>
      <c r="AM279" t="str">
        <f t="shared" ref="AM279:AM288" si="220">IF(AD279=1, M279-1, IF(AD279=0, -1,""))</f>
        <v/>
      </c>
    </row>
    <row r="280" spans="3:39" x14ac:dyDescent="0.35">
      <c r="D280" t="s">
        <v>52</v>
      </c>
      <c r="E280" t="s">
        <v>35</v>
      </c>
      <c r="G280" s="4">
        <v>0.34664349085560492</v>
      </c>
      <c r="H280" s="4">
        <v>0.30127923463185241</v>
      </c>
      <c r="I280" s="4">
        <v>0.352077274512543</v>
      </c>
      <c r="K280">
        <v>3</v>
      </c>
      <c r="L280">
        <v>3.65</v>
      </c>
      <c r="M280">
        <v>2.58</v>
      </c>
      <c r="N280" s="4">
        <v>0.33333333333333331</v>
      </c>
      <c r="O280" s="4">
        <v>0.27397260273972601</v>
      </c>
      <c r="P280" s="4">
        <v>0.38759689922480617</v>
      </c>
      <c r="R280" t="s">
        <v>103</v>
      </c>
      <c r="S280">
        <v>2</v>
      </c>
      <c r="T280">
        <v>1</v>
      </c>
      <c r="V280" t="s">
        <v>105</v>
      </c>
      <c r="W280">
        <v>0</v>
      </c>
      <c r="Z280" t="s">
        <v>117</v>
      </c>
      <c r="AA280" s="29" t="s">
        <v>117</v>
      </c>
      <c r="AB280" t="str">
        <f t="shared" ref="AB280:AB288" si="221">IF(V280=$G$5, IF(W280=$R$2, 1,0), "")</f>
        <v/>
      </c>
      <c r="AC280" t="str">
        <f t="shared" ref="AC280:AC288" si="222">IF(V280=$H$5, IF(W280=$R$2, 1,0), "")</f>
        <v/>
      </c>
      <c r="AD280">
        <f t="shared" ref="AD280:AD288" si="223">IF(V280=$I$5, IF(W280=$R$2, 1,0), "")</f>
        <v>0</v>
      </c>
      <c r="AE280" t="str">
        <f t="shared" ref="AE280:AE288" si="224">IF(MAX(N280:P280)=N280,$N$5,IF(MAX(N280:P280)=O280,$O$5,$P$5))</f>
        <v>A</v>
      </c>
      <c r="AF280">
        <f t="shared" ref="AF280:AF288" si="225">IF(AE280=R280, $R$2,$R$3)</f>
        <v>0</v>
      </c>
      <c r="AH280" t="str">
        <f t="shared" ref="AH280:AH288" si="226">IF(AE280=$G$5, IF(AF280=$R$2, 1,0), "")</f>
        <v/>
      </c>
      <c r="AI280" t="str">
        <f t="shared" ref="AI280:AI288" si="227">IF(AE280=$H$5, IF(AF280=$R$2, 1,0), "")</f>
        <v/>
      </c>
      <c r="AJ280">
        <f t="shared" ref="AJ280:AJ288" si="228">IF(AE280=$I$5, IF(AF280=$R$2, 1,0), "")</f>
        <v>0</v>
      </c>
      <c r="AK280" t="str">
        <f t="shared" ref="AK280:AK288" si="229">IF(AB280=1, K280-1, IF(AB280=0, -1,""))</f>
        <v/>
      </c>
      <c r="AL280" t="str">
        <f t="shared" si="219"/>
        <v/>
      </c>
      <c r="AM280">
        <f t="shared" si="220"/>
        <v>-1</v>
      </c>
    </row>
    <row r="281" spans="3:39" x14ac:dyDescent="0.35">
      <c r="D281" t="s">
        <v>30</v>
      </c>
      <c r="E281" t="s">
        <v>34</v>
      </c>
      <c r="G281" s="4">
        <v>0.21120977813074313</v>
      </c>
      <c r="H281" s="4">
        <v>0.32294732183065405</v>
      </c>
      <c r="I281" s="4">
        <v>0.4658429000386024</v>
      </c>
      <c r="K281">
        <v>2.85</v>
      </c>
      <c r="L281">
        <v>3.35</v>
      </c>
      <c r="M281">
        <v>2.84</v>
      </c>
      <c r="N281" s="4">
        <v>0.35087719298245612</v>
      </c>
      <c r="O281" s="4">
        <v>0.29850746268656714</v>
      </c>
      <c r="P281" s="4">
        <v>0.35211267605633806</v>
      </c>
      <c r="R281" t="s">
        <v>105</v>
      </c>
      <c r="S281">
        <v>0</v>
      </c>
      <c r="T281">
        <v>2</v>
      </c>
      <c r="V281" t="s">
        <v>105</v>
      </c>
      <c r="W281">
        <v>1</v>
      </c>
      <c r="Z281">
        <v>1</v>
      </c>
      <c r="AB281" t="str">
        <f t="shared" si="221"/>
        <v/>
      </c>
      <c r="AC281" t="str">
        <f t="shared" si="222"/>
        <v/>
      </c>
      <c r="AD281">
        <f t="shared" si="223"/>
        <v>1</v>
      </c>
      <c r="AE281" t="str">
        <f t="shared" si="224"/>
        <v>A</v>
      </c>
      <c r="AF281">
        <f t="shared" si="225"/>
        <v>1</v>
      </c>
      <c r="AH281" t="str">
        <f t="shared" si="226"/>
        <v/>
      </c>
      <c r="AI281" t="str">
        <f t="shared" si="227"/>
        <v/>
      </c>
      <c r="AJ281">
        <f t="shared" si="228"/>
        <v>1</v>
      </c>
      <c r="AK281" t="str">
        <f t="shared" si="229"/>
        <v/>
      </c>
      <c r="AL281" t="str">
        <f t="shared" si="219"/>
        <v/>
      </c>
      <c r="AM281">
        <f t="shared" si="220"/>
        <v>1.8399999999999999</v>
      </c>
    </row>
    <row r="282" spans="3:39" x14ac:dyDescent="0.35">
      <c r="D282" t="s">
        <v>51</v>
      </c>
      <c r="E282" t="s">
        <v>36</v>
      </c>
      <c r="G282" s="4">
        <v>0.19033033856549614</v>
      </c>
      <c r="H282" s="4">
        <v>0.26536472853020093</v>
      </c>
      <c r="I282" s="4">
        <v>0.54430493290430271</v>
      </c>
      <c r="K282">
        <v>8.5</v>
      </c>
      <c r="L282">
        <v>5.13</v>
      </c>
      <c r="M282">
        <v>1.47</v>
      </c>
      <c r="N282" s="4">
        <v>0.11764705882352941</v>
      </c>
      <c r="O282" s="4">
        <v>0.19493177387914232</v>
      </c>
      <c r="P282" s="4">
        <v>0.68027210884353739</v>
      </c>
      <c r="R282" t="s">
        <v>105</v>
      </c>
      <c r="S282">
        <v>0</v>
      </c>
      <c r="T282">
        <v>1</v>
      </c>
      <c r="V282" t="s">
        <v>105</v>
      </c>
      <c r="W282">
        <v>1</v>
      </c>
      <c r="Z282">
        <v>0</v>
      </c>
      <c r="AB282" t="str">
        <f t="shared" si="221"/>
        <v/>
      </c>
      <c r="AC282" t="str">
        <f t="shared" si="222"/>
        <v/>
      </c>
      <c r="AD282">
        <f t="shared" si="223"/>
        <v>1</v>
      </c>
      <c r="AE282" t="str">
        <f t="shared" si="224"/>
        <v>A</v>
      </c>
      <c r="AF282">
        <f t="shared" si="225"/>
        <v>1</v>
      </c>
      <c r="AH282" t="str">
        <f t="shared" si="226"/>
        <v/>
      </c>
      <c r="AI282" t="str">
        <f t="shared" si="227"/>
        <v/>
      </c>
      <c r="AJ282">
        <f t="shared" si="228"/>
        <v>1</v>
      </c>
      <c r="AK282" t="str">
        <f t="shared" si="229"/>
        <v/>
      </c>
      <c r="AL282" t="str">
        <f t="shared" si="219"/>
        <v/>
      </c>
      <c r="AM282">
        <f t="shared" si="220"/>
        <v>0.47</v>
      </c>
    </row>
    <row r="283" spans="3:39" x14ac:dyDescent="0.35">
      <c r="D283" t="s">
        <v>38</v>
      </c>
      <c r="E283" t="s">
        <v>45</v>
      </c>
      <c r="G283" s="4">
        <v>0.31724490012317663</v>
      </c>
      <c r="H283" s="4">
        <v>0.32580784962441506</v>
      </c>
      <c r="I283" s="4">
        <v>0.35694725025240825</v>
      </c>
      <c r="K283">
        <v>3.1</v>
      </c>
      <c r="L283">
        <v>3.45</v>
      </c>
      <c r="M283">
        <v>2.6</v>
      </c>
      <c r="N283" s="4">
        <v>0.32258064516129031</v>
      </c>
      <c r="O283" s="4">
        <v>0.28985507246376813</v>
      </c>
      <c r="P283" s="4">
        <v>0.38461538461538458</v>
      </c>
      <c r="R283" t="s">
        <v>103</v>
      </c>
      <c r="S283">
        <v>3</v>
      </c>
      <c r="T283">
        <v>1</v>
      </c>
      <c r="V283" t="s">
        <v>105</v>
      </c>
      <c r="W283">
        <v>0</v>
      </c>
      <c r="Z283" t="s">
        <v>117</v>
      </c>
      <c r="AB283" t="str">
        <f t="shared" si="221"/>
        <v/>
      </c>
      <c r="AC283" t="str">
        <f t="shared" si="222"/>
        <v/>
      </c>
      <c r="AD283">
        <f t="shared" si="223"/>
        <v>0</v>
      </c>
      <c r="AE283" t="str">
        <f t="shared" si="224"/>
        <v>A</v>
      </c>
      <c r="AF283">
        <f t="shared" si="225"/>
        <v>0</v>
      </c>
      <c r="AH283" t="str">
        <f t="shared" si="226"/>
        <v/>
      </c>
      <c r="AI283" t="str">
        <f t="shared" si="227"/>
        <v/>
      </c>
      <c r="AJ283">
        <f t="shared" si="228"/>
        <v>0</v>
      </c>
      <c r="AK283" t="str">
        <f t="shared" si="229"/>
        <v/>
      </c>
      <c r="AL283" t="str">
        <f t="shared" si="219"/>
        <v/>
      </c>
      <c r="AM283">
        <f t="shared" si="220"/>
        <v>-1</v>
      </c>
    </row>
    <row r="284" spans="3:39" x14ac:dyDescent="0.35">
      <c r="D284" t="s">
        <v>42</v>
      </c>
      <c r="E284" t="s">
        <v>40</v>
      </c>
      <c r="G284" s="4">
        <v>0.46754437553758721</v>
      </c>
      <c r="H284" s="4">
        <v>0.3231677091292296</v>
      </c>
      <c r="I284" s="4">
        <v>0.20928791533318283</v>
      </c>
      <c r="K284">
        <v>1.79</v>
      </c>
      <c r="L284">
        <v>4.0999999999999996</v>
      </c>
      <c r="M284">
        <v>5.2</v>
      </c>
      <c r="N284" s="4">
        <v>0.55865921787709494</v>
      </c>
      <c r="O284" s="4">
        <v>0.24390243902439027</v>
      </c>
      <c r="P284" s="4">
        <v>0.19230769230769229</v>
      </c>
      <c r="R284" t="s">
        <v>104</v>
      </c>
      <c r="S284">
        <v>2</v>
      </c>
      <c r="T284">
        <v>2</v>
      </c>
      <c r="V284" t="s">
        <v>103</v>
      </c>
      <c r="W284">
        <v>0</v>
      </c>
      <c r="Z284" t="s">
        <v>117</v>
      </c>
      <c r="AB284">
        <f t="shared" si="221"/>
        <v>0</v>
      </c>
      <c r="AC284" t="str">
        <f t="shared" si="222"/>
        <v/>
      </c>
      <c r="AD284" t="str">
        <f t="shared" si="223"/>
        <v/>
      </c>
      <c r="AE284" t="str">
        <f t="shared" si="224"/>
        <v>H</v>
      </c>
      <c r="AF284">
        <f t="shared" si="225"/>
        <v>0</v>
      </c>
      <c r="AH284">
        <f t="shared" si="226"/>
        <v>0</v>
      </c>
      <c r="AI284" t="str">
        <f t="shared" si="227"/>
        <v/>
      </c>
      <c r="AJ284" t="str">
        <f t="shared" si="228"/>
        <v/>
      </c>
      <c r="AK284">
        <f t="shared" si="229"/>
        <v>-1</v>
      </c>
      <c r="AL284" t="str">
        <f t="shared" si="219"/>
        <v/>
      </c>
      <c r="AM284" t="str">
        <f t="shared" si="220"/>
        <v/>
      </c>
    </row>
    <row r="285" spans="3:39" x14ac:dyDescent="0.35">
      <c r="D285" t="s">
        <v>25</v>
      </c>
      <c r="E285" t="s">
        <v>43</v>
      </c>
      <c r="G285" s="4">
        <v>0.44760918461513888</v>
      </c>
      <c r="H285" s="4">
        <v>0.31904881497363063</v>
      </c>
      <c r="I285" s="4">
        <v>0.23334200041123015</v>
      </c>
      <c r="K285">
        <v>1.62</v>
      </c>
      <c r="L285">
        <v>4.75</v>
      </c>
      <c r="M285">
        <v>6.25</v>
      </c>
      <c r="N285" s="4">
        <v>0.61728395061728392</v>
      </c>
      <c r="O285" s="4">
        <v>0.21052631578947367</v>
      </c>
      <c r="P285" s="4">
        <v>0.16</v>
      </c>
      <c r="R285" t="s">
        <v>103</v>
      </c>
      <c r="S285">
        <v>4</v>
      </c>
      <c r="T285">
        <v>1</v>
      </c>
      <c r="V285" t="s">
        <v>103</v>
      </c>
      <c r="W285">
        <v>1</v>
      </c>
      <c r="Z285">
        <v>0</v>
      </c>
      <c r="AB285">
        <f t="shared" si="221"/>
        <v>1</v>
      </c>
      <c r="AC285" t="str">
        <f t="shared" si="222"/>
        <v/>
      </c>
      <c r="AD285" t="str">
        <f t="shared" si="223"/>
        <v/>
      </c>
      <c r="AE285" t="str">
        <f t="shared" si="224"/>
        <v>H</v>
      </c>
      <c r="AF285">
        <f t="shared" si="225"/>
        <v>1</v>
      </c>
      <c r="AH285">
        <f t="shared" si="226"/>
        <v>1</v>
      </c>
      <c r="AI285" t="str">
        <f t="shared" si="227"/>
        <v/>
      </c>
      <c r="AJ285" t="str">
        <f t="shared" si="228"/>
        <v/>
      </c>
      <c r="AK285">
        <f t="shared" si="229"/>
        <v>0.62000000000000011</v>
      </c>
      <c r="AL285" t="str">
        <f t="shared" si="219"/>
        <v/>
      </c>
      <c r="AM285" t="str">
        <f t="shared" si="220"/>
        <v/>
      </c>
    </row>
    <row r="286" spans="3:39" x14ac:dyDescent="0.35">
      <c r="D286" t="s">
        <v>29</v>
      </c>
      <c r="E286" t="s">
        <v>50</v>
      </c>
      <c r="G286" s="4">
        <v>0.57432026180664109</v>
      </c>
      <c r="H286" s="4">
        <v>0.29221608693216772</v>
      </c>
      <c r="I286" s="4">
        <v>0.13346365126119131</v>
      </c>
      <c r="K286">
        <v>1.45</v>
      </c>
      <c r="L286">
        <v>5.15</v>
      </c>
      <c r="M286">
        <v>8.25</v>
      </c>
      <c r="N286" s="4">
        <v>0.68965517241379315</v>
      </c>
      <c r="O286" s="4">
        <v>0.1941747572815534</v>
      </c>
      <c r="P286" s="4">
        <v>0.12121212121212122</v>
      </c>
      <c r="R286" t="s">
        <v>103</v>
      </c>
      <c r="S286">
        <v>2</v>
      </c>
      <c r="T286">
        <v>1</v>
      </c>
      <c r="V286" t="s">
        <v>103</v>
      </c>
      <c r="W286">
        <v>1</v>
      </c>
      <c r="Z286">
        <v>0</v>
      </c>
      <c r="AB286">
        <f t="shared" si="221"/>
        <v>1</v>
      </c>
      <c r="AC286" t="str">
        <f t="shared" si="222"/>
        <v/>
      </c>
      <c r="AD286" t="str">
        <f t="shared" si="223"/>
        <v/>
      </c>
      <c r="AE286" t="str">
        <f t="shared" si="224"/>
        <v>H</v>
      </c>
      <c r="AF286">
        <f t="shared" si="225"/>
        <v>1</v>
      </c>
      <c r="AH286">
        <f t="shared" si="226"/>
        <v>1</v>
      </c>
      <c r="AI286" t="str">
        <f t="shared" si="227"/>
        <v/>
      </c>
      <c r="AJ286" t="str">
        <f t="shared" si="228"/>
        <v/>
      </c>
      <c r="AK286">
        <f t="shared" si="229"/>
        <v>0.44999999999999996</v>
      </c>
      <c r="AL286" t="str">
        <f t="shared" si="219"/>
        <v/>
      </c>
      <c r="AM286" t="str">
        <f t="shared" si="220"/>
        <v/>
      </c>
    </row>
    <row r="287" spans="3:39" x14ac:dyDescent="0.35">
      <c r="D287" t="s">
        <v>39</v>
      </c>
      <c r="E287" t="s">
        <v>32</v>
      </c>
      <c r="G287" s="4">
        <v>0.55534146545670016</v>
      </c>
      <c r="H287" s="4">
        <v>0.27899117391243544</v>
      </c>
      <c r="I287" s="4">
        <v>0.1656673606308646</v>
      </c>
      <c r="K287">
        <v>1.45</v>
      </c>
      <c r="L287">
        <v>4.9000000000000004</v>
      </c>
      <c r="M287">
        <v>9.5</v>
      </c>
      <c r="N287" s="4">
        <v>0.68965517241379315</v>
      </c>
      <c r="O287" s="4">
        <v>0.2040816326530612</v>
      </c>
      <c r="P287" s="4">
        <v>0.10526315789473684</v>
      </c>
      <c r="R287" t="s">
        <v>105</v>
      </c>
      <c r="S287">
        <v>0</v>
      </c>
      <c r="T287">
        <v>2</v>
      </c>
      <c r="V287" t="s">
        <v>103</v>
      </c>
      <c r="W287">
        <v>0</v>
      </c>
      <c r="Z287" t="s">
        <v>117</v>
      </c>
      <c r="AB287">
        <f t="shared" si="221"/>
        <v>0</v>
      </c>
      <c r="AC287" t="str">
        <f t="shared" si="222"/>
        <v/>
      </c>
      <c r="AD287" t="str">
        <f t="shared" si="223"/>
        <v/>
      </c>
      <c r="AE287" t="str">
        <f t="shared" si="224"/>
        <v>H</v>
      </c>
      <c r="AF287">
        <f t="shared" si="225"/>
        <v>0</v>
      </c>
      <c r="AH287">
        <f t="shared" si="226"/>
        <v>0</v>
      </c>
      <c r="AI287" t="str">
        <f t="shared" si="227"/>
        <v/>
      </c>
      <c r="AJ287" t="str">
        <f t="shared" si="228"/>
        <v/>
      </c>
      <c r="AK287">
        <f t="shared" si="229"/>
        <v>-1</v>
      </c>
      <c r="AL287" t="str">
        <f t="shared" si="219"/>
        <v/>
      </c>
      <c r="AM287" t="str">
        <f t="shared" si="220"/>
        <v/>
      </c>
    </row>
    <row r="288" spans="3:39" x14ac:dyDescent="0.35">
      <c r="D288" t="s">
        <v>49</v>
      </c>
      <c r="E288" t="s">
        <v>41</v>
      </c>
      <c r="G288" s="4">
        <v>0.12583539977132471</v>
      </c>
      <c r="H288" s="4">
        <v>0.26590794411203655</v>
      </c>
      <c r="I288" s="4">
        <v>0.60825665611663882</v>
      </c>
      <c r="K288">
        <v>6</v>
      </c>
      <c r="L288">
        <v>4.05</v>
      </c>
      <c r="M288">
        <v>1.69</v>
      </c>
      <c r="N288" s="4">
        <v>0.16666666666666666</v>
      </c>
      <c r="O288" s="4">
        <v>0.24691358024691359</v>
      </c>
      <c r="P288" s="4">
        <v>0.59171597633136097</v>
      </c>
      <c r="R288" t="s">
        <v>105</v>
      </c>
      <c r="S288">
        <v>1</v>
      </c>
      <c r="T288">
        <v>2</v>
      </c>
      <c r="V288" t="s">
        <v>105</v>
      </c>
      <c r="W288">
        <v>1</v>
      </c>
      <c r="Z288">
        <v>1</v>
      </c>
      <c r="AB288" t="str">
        <f t="shared" si="221"/>
        <v/>
      </c>
      <c r="AC288" t="str">
        <f t="shared" si="222"/>
        <v/>
      </c>
      <c r="AD288">
        <f t="shared" si="223"/>
        <v>1</v>
      </c>
      <c r="AE288" t="str">
        <f t="shared" si="224"/>
        <v>A</v>
      </c>
      <c r="AF288">
        <f t="shared" si="225"/>
        <v>1</v>
      </c>
      <c r="AH288" t="str">
        <f t="shared" si="226"/>
        <v/>
      </c>
      <c r="AI288" t="str">
        <f t="shared" si="227"/>
        <v/>
      </c>
      <c r="AJ288">
        <f t="shared" si="228"/>
        <v>1</v>
      </c>
      <c r="AK288" t="str">
        <f t="shared" si="229"/>
        <v/>
      </c>
      <c r="AL288" t="str">
        <f t="shared" si="219"/>
        <v/>
      </c>
      <c r="AM288">
        <f t="shared" si="220"/>
        <v>0.69</v>
      </c>
    </row>
    <row r="289" spans="3:39" x14ac:dyDescent="0.35">
      <c r="AB289" s="4"/>
      <c r="AC289" s="4"/>
      <c r="AD289" s="4"/>
    </row>
    <row r="293" spans="3:39" x14ac:dyDescent="0.35">
      <c r="C293" s="30" t="s">
        <v>143</v>
      </c>
      <c r="H293" s="21" t="s">
        <v>107</v>
      </c>
      <c r="K293" s="22" t="s">
        <v>106</v>
      </c>
      <c r="N293" t="s">
        <v>108</v>
      </c>
    </row>
    <row r="294" spans="3:39" x14ac:dyDescent="0.35">
      <c r="G294" t="s">
        <v>103</v>
      </c>
      <c r="H294" t="s">
        <v>104</v>
      </c>
      <c r="I294" t="s">
        <v>105</v>
      </c>
      <c r="K294" t="s">
        <v>103</v>
      </c>
      <c r="L294" t="s">
        <v>104</v>
      </c>
      <c r="M294" t="s">
        <v>105</v>
      </c>
      <c r="N294" t="s">
        <v>103</v>
      </c>
      <c r="O294" t="s">
        <v>104</v>
      </c>
      <c r="P294" t="s">
        <v>105</v>
      </c>
      <c r="R294" t="s">
        <v>110</v>
      </c>
      <c r="V294" t="s">
        <v>112</v>
      </c>
      <c r="W294" t="s">
        <v>111</v>
      </c>
      <c r="X294" s="28" t="s">
        <v>114</v>
      </c>
      <c r="Z294" t="s">
        <v>113</v>
      </c>
      <c r="AA294" s="28" t="s">
        <v>116</v>
      </c>
      <c r="AB294" t="s">
        <v>166</v>
      </c>
      <c r="AC294" t="s">
        <v>167</v>
      </c>
      <c r="AD294" t="s">
        <v>168</v>
      </c>
      <c r="AK294" t="str">
        <f t="shared" si="216"/>
        <v/>
      </c>
      <c r="AL294" t="str">
        <f t="shared" si="217"/>
        <v/>
      </c>
      <c r="AM294" t="str">
        <f t="shared" si="218"/>
        <v/>
      </c>
    </row>
    <row r="295" spans="3:39" x14ac:dyDescent="0.35">
      <c r="D295" t="s">
        <v>43</v>
      </c>
      <c r="E295" t="s">
        <v>41</v>
      </c>
      <c r="G295" s="4">
        <v>8.6388325058923354E-2</v>
      </c>
      <c r="H295" s="4">
        <v>0.18906957305633684</v>
      </c>
      <c r="I295" s="4">
        <v>0.72454210188474</v>
      </c>
      <c r="K295">
        <v>10</v>
      </c>
      <c r="L295">
        <v>5.9</v>
      </c>
      <c r="M295">
        <v>1.36</v>
      </c>
      <c r="N295" s="4">
        <v>0.1</v>
      </c>
      <c r="O295" s="4">
        <v>0.16949152542372881</v>
      </c>
      <c r="P295" s="4">
        <v>0.73529411764705876</v>
      </c>
      <c r="R295" t="s">
        <v>105</v>
      </c>
      <c r="S295">
        <v>0</v>
      </c>
      <c r="T295">
        <v>2</v>
      </c>
      <c r="V295" t="s">
        <v>105</v>
      </c>
      <c r="W295">
        <v>1</v>
      </c>
      <c r="X295" s="28">
        <v>0.5</v>
      </c>
      <c r="Z295">
        <v>0</v>
      </c>
      <c r="AA295" s="28">
        <v>0.4</v>
      </c>
      <c r="AB295" t="str">
        <f>IF(V295=$G$5, IF(W295=$R$2, 1,0), "")</f>
        <v/>
      </c>
      <c r="AC295" t="str">
        <f>IF(V295=$H$5, IF(W295=$R$2, 1,0), "")</f>
        <v/>
      </c>
      <c r="AD295">
        <f>IF(V295=$I$5, IF(W295=$R$2, 1,0), "")</f>
        <v>1</v>
      </c>
      <c r="AE295" t="str">
        <f>IF(MAX(N295:P295)=N295,$N$5,IF(MAX(N295:P295)=O295,$O$5,$P$5))</f>
        <v>A</v>
      </c>
      <c r="AF295">
        <f>IF(AE295=R295, $R$2,$R$3)</f>
        <v>1</v>
      </c>
      <c r="AG295" s="28">
        <f>COUNTIF(AF295:AF305, $R$2)/COUNT(AF295:AF305)</f>
        <v>0.45454545454545453</v>
      </c>
      <c r="AH295" t="str">
        <f>IF(AE295=$G$5, IF(AF295=$R$2, 1,0), "")</f>
        <v/>
      </c>
      <c r="AI295" t="str">
        <f>IF(AE295=$H$5, IF(AF295=$R$2, 1,0), "")</f>
        <v/>
      </c>
      <c r="AJ295">
        <f>IF(AE295=$I$5, IF(AF295=$R$2, 1,0), "")</f>
        <v>1</v>
      </c>
      <c r="AK295" t="str">
        <f>IF(AB295=1, K295-1, IF(AB295=0, -1,""))</f>
        <v/>
      </c>
      <c r="AL295" t="str">
        <f t="shared" ref="AL295:AL304" si="230">IF(AC295=1, L295-1, IF(AC295=0, -1,""))</f>
        <v/>
      </c>
      <c r="AM295">
        <f t="shared" ref="AM295:AM304" si="231">IF(AD295=1, M295-1, IF(AD295=0, -1,""))</f>
        <v>0.3600000000000001</v>
      </c>
    </row>
    <row r="296" spans="3:39" x14ac:dyDescent="0.35">
      <c r="D296" t="s">
        <v>25</v>
      </c>
      <c r="E296" t="s">
        <v>42</v>
      </c>
      <c r="G296" s="4">
        <v>0.3021570482966261</v>
      </c>
      <c r="H296" s="4">
        <v>0.29557069011926895</v>
      </c>
      <c r="I296" s="4">
        <v>0.40227226158410501</v>
      </c>
      <c r="K296">
        <v>2.6</v>
      </c>
      <c r="L296">
        <v>3.75</v>
      </c>
      <c r="M296">
        <v>2.82</v>
      </c>
      <c r="N296" s="4">
        <v>0.38461538461538458</v>
      </c>
      <c r="O296" s="4">
        <v>0.26666666666666666</v>
      </c>
      <c r="P296" s="4">
        <v>0.3546099290780142</v>
      </c>
      <c r="R296" t="s">
        <v>104</v>
      </c>
      <c r="S296">
        <v>2</v>
      </c>
      <c r="T296">
        <v>2</v>
      </c>
      <c r="V296" t="s">
        <v>105</v>
      </c>
      <c r="W296">
        <v>0</v>
      </c>
      <c r="Z296" t="s">
        <v>117</v>
      </c>
      <c r="AA296" s="29" t="s">
        <v>117</v>
      </c>
      <c r="AB296" t="str">
        <f t="shared" ref="AB296:AB305" si="232">IF(V296=$G$5, IF(W296=$R$2, 1,0), "")</f>
        <v/>
      </c>
      <c r="AC296" t="str">
        <f t="shared" ref="AC296:AC305" si="233">IF(V296=$H$5, IF(W296=$R$2, 1,0), "")</f>
        <v/>
      </c>
      <c r="AD296">
        <f t="shared" ref="AD296:AD305" si="234">IF(V296=$I$5, IF(W296=$R$2, 1,0), "")</f>
        <v>0</v>
      </c>
      <c r="AE296" t="str">
        <f t="shared" ref="AE296:AE304" si="235">IF(MAX(N296:P296)=N296,$N$5,IF(MAX(N296:P296)=O296,$O$5,$P$5))</f>
        <v>H</v>
      </c>
      <c r="AF296">
        <f t="shared" ref="AF296:AF304" si="236">IF(AE296=R296, $R$2,$R$3)</f>
        <v>0</v>
      </c>
      <c r="AH296">
        <f t="shared" ref="AH296:AH305" si="237">IF(AE296=$G$5, IF(AF296=$R$2, 1,0), "")</f>
        <v>0</v>
      </c>
      <c r="AI296" t="str">
        <f t="shared" ref="AI296:AI305" si="238">IF(AE296=$H$5, IF(AF296=$R$2, 1,0), "")</f>
        <v/>
      </c>
      <c r="AJ296" t="str">
        <f t="shared" ref="AJ296:AJ305" si="239">IF(AE296=$I$5, IF(AF296=$R$2, 1,0), "")</f>
        <v/>
      </c>
      <c r="AK296" t="str">
        <f t="shared" ref="AK296:AK304" si="240">IF(AB296=1, K296-1, IF(AB296=0, -1,""))</f>
        <v/>
      </c>
      <c r="AL296" t="str">
        <f t="shared" si="230"/>
        <v/>
      </c>
      <c r="AM296">
        <f t="shared" si="231"/>
        <v>-1</v>
      </c>
    </row>
    <row r="297" spans="3:39" x14ac:dyDescent="0.35">
      <c r="D297" t="s">
        <v>35</v>
      </c>
      <c r="E297" t="s">
        <v>28</v>
      </c>
      <c r="G297" s="4">
        <v>0.29776654317223494</v>
      </c>
      <c r="H297" s="4">
        <v>0.31973233449051974</v>
      </c>
      <c r="I297" s="4">
        <v>0.38250112233724537</v>
      </c>
      <c r="K297">
        <v>2.85</v>
      </c>
      <c r="L297">
        <v>3.42</v>
      </c>
      <c r="M297">
        <v>2.75</v>
      </c>
      <c r="N297" s="4">
        <v>0.35087719298245612</v>
      </c>
      <c r="O297" s="4">
        <v>0.29239766081871343</v>
      </c>
      <c r="P297" s="4">
        <v>0.36363636363636365</v>
      </c>
      <c r="R297" t="s">
        <v>105</v>
      </c>
      <c r="S297">
        <v>2</v>
      </c>
      <c r="T297">
        <v>3</v>
      </c>
      <c r="V297" t="s">
        <v>105</v>
      </c>
      <c r="W297">
        <v>1</v>
      </c>
      <c r="Z297">
        <v>1</v>
      </c>
      <c r="AB297" t="str">
        <f t="shared" si="232"/>
        <v/>
      </c>
      <c r="AC297" t="str">
        <f t="shared" si="233"/>
        <v/>
      </c>
      <c r="AD297">
        <f t="shared" si="234"/>
        <v>1</v>
      </c>
      <c r="AE297" t="str">
        <f t="shared" si="235"/>
        <v>A</v>
      </c>
      <c r="AF297">
        <f t="shared" si="236"/>
        <v>1</v>
      </c>
      <c r="AH297" t="str">
        <f t="shared" si="237"/>
        <v/>
      </c>
      <c r="AI297" t="str">
        <f t="shared" si="238"/>
        <v/>
      </c>
      <c r="AJ297">
        <f t="shared" si="239"/>
        <v>1</v>
      </c>
      <c r="AK297" t="str">
        <f t="shared" si="240"/>
        <v/>
      </c>
      <c r="AL297" t="str">
        <f t="shared" si="230"/>
        <v/>
      </c>
      <c r="AM297">
        <f t="shared" si="231"/>
        <v>1.75</v>
      </c>
    </row>
    <row r="298" spans="3:39" x14ac:dyDescent="0.35">
      <c r="D298" t="s">
        <v>38</v>
      </c>
      <c r="E298" t="s">
        <v>52</v>
      </c>
      <c r="G298" s="4">
        <v>0.36272727799766069</v>
      </c>
      <c r="H298" s="4">
        <v>0.29426550253985034</v>
      </c>
      <c r="I298" s="4">
        <v>0.34300721946248913</v>
      </c>
      <c r="K298">
        <v>2.2200000000000002</v>
      </c>
      <c r="L298">
        <v>3.7</v>
      </c>
      <c r="M298">
        <v>3.55</v>
      </c>
      <c r="N298" s="4">
        <v>0.4504504504504504</v>
      </c>
      <c r="O298" s="4">
        <v>0.27027027027027023</v>
      </c>
      <c r="P298" s="4">
        <v>0.28169014084507044</v>
      </c>
      <c r="R298" t="s">
        <v>103</v>
      </c>
      <c r="S298">
        <v>2</v>
      </c>
      <c r="T298">
        <v>1</v>
      </c>
      <c r="V298" t="s">
        <v>103</v>
      </c>
      <c r="W298">
        <v>1</v>
      </c>
      <c r="Z298">
        <v>0</v>
      </c>
      <c r="AB298">
        <f t="shared" si="232"/>
        <v>1</v>
      </c>
      <c r="AC298" t="str">
        <f t="shared" si="233"/>
        <v/>
      </c>
      <c r="AD298" t="str">
        <f t="shared" si="234"/>
        <v/>
      </c>
      <c r="AE298" t="str">
        <f t="shared" si="235"/>
        <v>H</v>
      </c>
      <c r="AF298">
        <f t="shared" si="236"/>
        <v>1</v>
      </c>
      <c r="AH298">
        <f t="shared" si="237"/>
        <v>1</v>
      </c>
      <c r="AI298" t="str">
        <f t="shared" si="238"/>
        <v/>
      </c>
      <c r="AJ298" t="str">
        <f t="shared" si="239"/>
        <v/>
      </c>
      <c r="AK298">
        <f t="shared" si="240"/>
        <v>1.2200000000000002</v>
      </c>
      <c r="AL298" t="str">
        <f t="shared" si="230"/>
        <v/>
      </c>
      <c r="AM298" t="str">
        <f t="shared" si="231"/>
        <v/>
      </c>
    </row>
    <row r="299" spans="3:39" x14ac:dyDescent="0.35">
      <c r="D299" t="s">
        <v>30</v>
      </c>
      <c r="E299" t="s">
        <v>51</v>
      </c>
      <c r="G299" s="4">
        <v>0.27945873393553994</v>
      </c>
      <c r="H299" s="4">
        <v>0.40247229878724294</v>
      </c>
      <c r="I299" s="4">
        <v>0.31806896727721701</v>
      </c>
      <c r="K299">
        <v>3.2</v>
      </c>
      <c r="L299">
        <v>3.18</v>
      </c>
      <c r="M299">
        <v>2.65</v>
      </c>
      <c r="N299" s="4">
        <v>0.3125</v>
      </c>
      <c r="O299" s="4">
        <v>0.31446540880503143</v>
      </c>
      <c r="P299" s="4">
        <v>0.37735849056603776</v>
      </c>
      <c r="R299" t="s">
        <v>105</v>
      </c>
      <c r="S299">
        <v>0</v>
      </c>
      <c r="T299">
        <v>1</v>
      </c>
      <c r="V299" t="s">
        <v>104</v>
      </c>
      <c r="W299">
        <v>0</v>
      </c>
      <c r="Z299" t="s">
        <v>117</v>
      </c>
      <c r="AB299" t="str">
        <f t="shared" si="232"/>
        <v/>
      </c>
      <c r="AC299">
        <f t="shared" si="233"/>
        <v>0</v>
      </c>
      <c r="AD299" t="str">
        <f t="shared" si="234"/>
        <v/>
      </c>
      <c r="AE299" t="str">
        <f t="shared" si="235"/>
        <v>A</v>
      </c>
      <c r="AF299">
        <f t="shared" si="236"/>
        <v>1</v>
      </c>
      <c r="AH299" t="str">
        <f t="shared" si="237"/>
        <v/>
      </c>
      <c r="AI299" t="str">
        <f t="shared" si="238"/>
        <v/>
      </c>
      <c r="AJ299">
        <f t="shared" si="239"/>
        <v>1</v>
      </c>
      <c r="AK299" t="str">
        <f t="shared" si="240"/>
        <v/>
      </c>
      <c r="AL299">
        <f t="shared" si="230"/>
        <v>-1</v>
      </c>
      <c r="AM299" t="str">
        <f t="shared" si="231"/>
        <v/>
      </c>
    </row>
    <row r="300" spans="3:39" x14ac:dyDescent="0.35">
      <c r="D300" t="s">
        <v>46</v>
      </c>
      <c r="E300" t="s">
        <v>50</v>
      </c>
      <c r="G300" s="4">
        <v>0.31080660282859673</v>
      </c>
      <c r="H300" s="4">
        <v>0.37137263044144236</v>
      </c>
      <c r="I300" s="4">
        <v>0.3178207667299614</v>
      </c>
      <c r="K300">
        <v>2.3199999999999998</v>
      </c>
      <c r="L300">
        <v>3.5</v>
      </c>
      <c r="M300">
        <v>3.45</v>
      </c>
      <c r="N300" s="4">
        <v>0.43103448275862072</v>
      </c>
      <c r="O300" s="4">
        <v>0.2857142857142857</v>
      </c>
      <c r="P300" s="4">
        <v>0.28985507246376813</v>
      </c>
      <c r="R300" t="s">
        <v>104</v>
      </c>
      <c r="S300">
        <v>0</v>
      </c>
      <c r="T300">
        <v>0</v>
      </c>
      <c r="V300" t="s">
        <v>104</v>
      </c>
      <c r="W300">
        <v>1</v>
      </c>
      <c r="Z300">
        <v>1</v>
      </c>
      <c r="AB300" t="str">
        <f t="shared" si="232"/>
        <v/>
      </c>
      <c r="AC300">
        <f t="shared" si="233"/>
        <v>1</v>
      </c>
      <c r="AD300" t="str">
        <f t="shared" si="234"/>
        <v/>
      </c>
      <c r="AE300" t="str">
        <f t="shared" si="235"/>
        <v>H</v>
      </c>
      <c r="AF300">
        <f t="shared" si="236"/>
        <v>0</v>
      </c>
      <c r="AH300">
        <f t="shared" si="237"/>
        <v>0</v>
      </c>
      <c r="AI300" t="str">
        <f t="shared" si="238"/>
        <v/>
      </c>
      <c r="AJ300" t="str">
        <f t="shared" si="239"/>
        <v/>
      </c>
      <c r="AK300" t="str">
        <f t="shared" si="240"/>
        <v/>
      </c>
      <c r="AL300">
        <f t="shared" si="230"/>
        <v>2.5</v>
      </c>
      <c r="AM300" t="str">
        <f t="shared" si="231"/>
        <v/>
      </c>
    </row>
    <row r="301" spans="3:39" x14ac:dyDescent="0.35">
      <c r="D301" t="s">
        <v>41</v>
      </c>
      <c r="E301" t="s">
        <v>34</v>
      </c>
      <c r="G301" s="4">
        <v>0.54392858874183381</v>
      </c>
      <c r="H301" s="4">
        <v>0.26768329484509706</v>
      </c>
      <c r="I301" s="4">
        <v>0.18838811641306916</v>
      </c>
      <c r="K301">
        <v>1.31</v>
      </c>
      <c r="L301">
        <v>6.2</v>
      </c>
      <c r="M301">
        <v>12.37</v>
      </c>
      <c r="N301" s="4">
        <v>0.76335877862595414</v>
      </c>
      <c r="O301" s="4">
        <v>0.16129032258064516</v>
      </c>
      <c r="P301" s="4">
        <v>8.084074373484236E-2</v>
      </c>
      <c r="R301" t="s">
        <v>103</v>
      </c>
      <c r="S301">
        <v>4</v>
      </c>
      <c r="T301">
        <v>0</v>
      </c>
      <c r="V301" t="s">
        <v>103</v>
      </c>
      <c r="W301">
        <v>1</v>
      </c>
      <c r="Z301">
        <v>0</v>
      </c>
      <c r="AB301">
        <f t="shared" si="232"/>
        <v>1</v>
      </c>
      <c r="AC301" t="str">
        <f t="shared" si="233"/>
        <v/>
      </c>
      <c r="AD301" t="str">
        <f t="shared" si="234"/>
        <v/>
      </c>
      <c r="AE301" t="str">
        <f t="shared" si="235"/>
        <v>H</v>
      </c>
      <c r="AF301">
        <f t="shared" si="236"/>
        <v>1</v>
      </c>
      <c r="AH301">
        <f t="shared" si="237"/>
        <v>1</v>
      </c>
      <c r="AI301" t="str">
        <f t="shared" si="238"/>
        <v/>
      </c>
      <c r="AJ301" t="str">
        <f t="shared" si="239"/>
        <v/>
      </c>
      <c r="AK301">
        <f t="shared" si="240"/>
        <v>0.31000000000000005</v>
      </c>
      <c r="AL301" t="str">
        <f t="shared" si="230"/>
        <v/>
      </c>
      <c r="AM301" t="str">
        <f t="shared" si="231"/>
        <v/>
      </c>
    </row>
    <row r="302" spans="3:39" x14ac:dyDescent="0.35">
      <c r="D302" t="s">
        <v>43</v>
      </c>
      <c r="E302" t="s">
        <v>45</v>
      </c>
      <c r="G302" s="4">
        <v>0.3463846370848454</v>
      </c>
      <c r="H302" s="4">
        <v>0.29146022671230615</v>
      </c>
      <c r="I302" s="4">
        <v>0.36215513620284795</v>
      </c>
      <c r="K302">
        <v>2.68</v>
      </c>
      <c r="L302">
        <v>3.45</v>
      </c>
      <c r="M302">
        <v>2.9</v>
      </c>
      <c r="N302" s="4">
        <v>0.37313432835820892</v>
      </c>
      <c r="O302" s="4">
        <v>0.28985507246376813</v>
      </c>
      <c r="P302" s="4">
        <v>0.34482758620689657</v>
      </c>
      <c r="R302" t="s">
        <v>104</v>
      </c>
      <c r="S302">
        <v>3</v>
      </c>
      <c r="T302">
        <v>3</v>
      </c>
      <c r="V302" t="s">
        <v>105</v>
      </c>
      <c r="W302">
        <v>0</v>
      </c>
      <c r="Z302" t="s">
        <v>117</v>
      </c>
      <c r="AB302" t="str">
        <f t="shared" si="232"/>
        <v/>
      </c>
      <c r="AC302" t="str">
        <f t="shared" si="233"/>
        <v/>
      </c>
      <c r="AD302">
        <f t="shared" si="234"/>
        <v>0</v>
      </c>
      <c r="AE302" t="str">
        <f t="shared" si="235"/>
        <v>H</v>
      </c>
      <c r="AF302">
        <f t="shared" si="236"/>
        <v>0</v>
      </c>
      <c r="AH302">
        <f t="shared" si="237"/>
        <v>0</v>
      </c>
      <c r="AI302" t="str">
        <f t="shared" si="238"/>
        <v/>
      </c>
      <c r="AJ302" t="str">
        <f t="shared" si="239"/>
        <v/>
      </c>
      <c r="AK302" t="str">
        <f t="shared" si="240"/>
        <v/>
      </c>
      <c r="AL302" t="str">
        <f t="shared" si="230"/>
        <v/>
      </c>
      <c r="AM302">
        <f t="shared" si="231"/>
        <v>-1</v>
      </c>
    </row>
    <row r="303" spans="3:39" x14ac:dyDescent="0.35">
      <c r="D303" t="s">
        <v>39</v>
      </c>
      <c r="E303" t="s">
        <v>49</v>
      </c>
      <c r="G303" s="4">
        <v>0.36004259917611597</v>
      </c>
      <c r="H303" s="4">
        <v>0.33639915816227051</v>
      </c>
      <c r="I303" s="4">
        <v>0.30355824266161358</v>
      </c>
      <c r="K303">
        <v>2.33</v>
      </c>
      <c r="L303">
        <v>3.35</v>
      </c>
      <c r="M303">
        <v>3.7</v>
      </c>
      <c r="N303" s="4">
        <v>0.42918454935622319</v>
      </c>
      <c r="O303" s="4">
        <v>0.29850746268656714</v>
      </c>
      <c r="P303" s="4">
        <v>0.27027027027027023</v>
      </c>
      <c r="R303" t="s">
        <v>104</v>
      </c>
      <c r="S303">
        <v>0</v>
      </c>
      <c r="T303">
        <v>0</v>
      </c>
      <c r="V303" t="s">
        <v>103</v>
      </c>
      <c r="W303">
        <v>0</v>
      </c>
      <c r="Z303" t="s">
        <v>117</v>
      </c>
      <c r="AB303">
        <f t="shared" si="232"/>
        <v>0</v>
      </c>
      <c r="AC303" t="str">
        <f t="shared" si="233"/>
        <v/>
      </c>
      <c r="AD303" t="str">
        <f t="shared" si="234"/>
        <v/>
      </c>
      <c r="AE303" t="str">
        <f t="shared" si="235"/>
        <v>H</v>
      </c>
      <c r="AF303">
        <f t="shared" si="236"/>
        <v>0</v>
      </c>
      <c r="AH303">
        <f t="shared" si="237"/>
        <v>0</v>
      </c>
      <c r="AI303" t="str">
        <f t="shared" si="238"/>
        <v/>
      </c>
      <c r="AJ303" t="str">
        <f t="shared" si="239"/>
        <v/>
      </c>
      <c r="AK303">
        <f t="shared" si="240"/>
        <v>-1</v>
      </c>
      <c r="AL303" t="str">
        <f t="shared" si="230"/>
        <v/>
      </c>
      <c r="AM303" t="str">
        <f t="shared" si="231"/>
        <v/>
      </c>
    </row>
    <row r="304" spans="3:39" x14ac:dyDescent="0.35">
      <c r="D304" t="s">
        <v>32</v>
      </c>
      <c r="E304" t="s">
        <v>40</v>
      </c>
      <c r="G304" s="4">
        <v>0.27949220519771206</v>
      </c>
      <c r="H304" s="4">
        <v>0.32484759272679542</v>
      </c>
      <c r="I304" s="4">
        <v>0.39566020207549291</v>
      </c>
      <c r="K304">
        <v>3.95</v>
      </c>
      <c r="L304">
        <v>3.65</v>
      </c>
      <c r="M304">
        <v>2.1</v>
      </c>
      <c r="N304" s="4">
        <v>0.25316455696202528</v>
      </c>
      <c r="O304" s="4">
        <v>0.27397260273972601</v>
      </c>
      <c r="P304" s="4">
        <v>0.47619047619047616</v>
      </c>
      <c r="R304" t="s">
        <v>104</v>
      </c>
      <c r="S304">
        <v>0</v>
      </c>
      <c r="T304">
        <v>0</v>
      </c>
      <c r="V304" t="s">
        <v>105</v>
      </c>
      <c r="W304">
        <v>0</v>
      </c>
      <c r="Z304" t="s">
        <v>117</v>
      </c>
      <c r="AB304" t="str">
        <f t="shared" si="232"/>
        <v/>
      </c>
      <c r="AC304" t="str">
        <f t="shared" si="233"/>
        <v/>
      </c>
      <c r="AD304">
        <f t="shared" si="234"/>
        <v>0</v>
      </c>
      <c r="AE304" t="str">
        <f t="shared" si="235"/>
        <v>A</v>
      </c>
      <c r="AF304">
        <f t="shared" si="236"/>
        <v>0</v>
      </c>
      <c r="AH304" t="str">
        <f t="shared" si="237"/>
        <v/>
      </c>
      <c r="AI304" t="str">
        <f t="shared" si="238"/>
        <v/>
      </c>
      <c r="AJ304">
        <f t="shared" si="239"/>
        <v>0</v>
      </c>
      <c r="AK304" t="str">
        <f t="shared" si="240"/>
        <v/>
      </c>
      <c r="AL304" t="str">
        <f t="shared" si="230"/>
        <v/>
      </c>
      <c r="AM304">
        <f t="shared" si="231"/>
        <v>-1</v>
      </c>
    </row>
    <row r="305" spans="3:39" x14ac:dyDescent="0.35">
      <c r="D305" t="s">
        <v>29</v>
      </c>
      <c r="E305" t="s">
        <v>36</v>
      </c>
      <c r="G305" s="4">
        <v>0.2094028048252625</v>
      </c>
      <c r="H305" s="4">
        <v>0.25190834757487091</v>
      </c>
      <c r="I305" s="4">
        <v>0.53868884759986657</v>
      </c>
      <c r="K305">
        <v>6</v>
      </c>
      <c r="L305">
        <v>4.75</v>
      </c>
      <c r="M305">
        <v>1.62</v>
      </c>
      <c r="N305" s="4">
        <v>0.16666666666666666</v>
      </c>
      <c r="O305" s="4">
        <v>0.21052631578947367</v>
      </c>
      <c r="P305" s="4">
        <v>0.61728395061728392</v>
      </c>
      <c r="R305" t="s">
        <v>103</v>
      </c>
      <c r="S305">
        <v>2</v>
      </c>
      <c r="T305">
        <v>0</v>
      </c>
      <c r="V305" t="s">
        <v>105</v>
      </c>
      <c r="W305">
        <v>0</v>
      </c>
      <c r="Z305" t="s">
        <v>117</v>
      </c>
      <c r="AB305" t="str">
        <f t="shared" si="232"/>
        <v/>
      </c>
      <c r="AC305" t="str">
        <f t="shared" si="233"/>
        <v/>
      </c>
      <c r="AD305">
        <f t="shared" si="234"/>
        <v>0</v>
      </c>
      <c r="AE305" t="str">
        <f t="shared" ref="AE305" si="241">IF(MAX(N305:P305)=N305,$N$5,IF(MAX(N305:P305)=O305,$O$5,$P$5))</f>
        <v>A</v>
      </c>
      <c r="AF305">
        <f t="shared" ref="AF305" si="242">IF(AE305=R305, $R$2,$R$3)</f>
        <v>0</v>
      </c>
      <c r="AH305" t="str">
        <f t="shared" si="237"/>
        <v/>
      </c>
      <c r="AI305" t="str">
        <f t="shared" si="238"/>
        <v/>
      </c>
      <c r="AJ305">
        <f t="shared" si="239"/>
        <v>0</v>
      </c>
      <c r="AK305" t="str">
        <f t="shared" ref="AK305" si="243">IF(AB305=1, K305-1, IF(AB305=0, -1,""))</f>
        <v/>
      </c>
      <c r="AL305" t="str">
        <f t="shared" ref="AL305" si="244">IF(AC305=1, L305-1, IF(AC305=0, -1,""))</f>
        <v/>
      </c>
      <c r="AM305">
        <f t="shared" ref="AM305" si="245">IF(AD305=1, M305-1, IF(AD305=0, -1,""))</f>
        <v>-1</v>
      </c>
    </row>
    <row r="309" spans="3:39" x14ac:dyDescent="0.35">
      <c r="C309" t="s">
        <v>144</v>
      </c>
      <c r="H309" s="21" t="s">
        <v>107</v>
      </c>
      <c r="K309" s="22" t="s">
        <v>106</v>
      </c>
      <c r="N309" t="s">
        <v>108</v>
      </c>
    </row>
    <row r="310" spans="3:39" x14ac:dyDescent="0.35">
      <c r="G310" t="s">
        <v>103</v>
      </c>
      <c r="H310" t="s">
        <v>104</v>
      </c>
      <c r="I310" t="s">
        <v>105</v>
      </c>
      <c r="K310" t="s">
        <v>103</v>
      </c>
      <c r="L310" t="s">
        <v>104</v>
      </c>
      <c r="M310" t="s">
        <v>105</v>
      </c>
      <c r="N310" t="s">
        <v>103</v>
      </c>
      <c r="O310" t="s">
        <v>104</v>
      </c>
      <c r="P310" t="s">
        <v>105</v>
      </c>
      <c r="R310" t="s">
        <v>110</v>
      </c>
      <c r="V310" t="s">
        <v>112</v>
      </c>
      <c r="W310" t="s">
        <v>111</v>
      </c>
      <c r="X310" s="28" t="s">
        <v>114</v>
      </c>
      <c r="Z310" t="s">
        <v>113</v>
      </c>
      <c r="AA310" s="28" t="s">
        <v>116</v>
      </c>
      <c r="AB310" t="s">
        <v>166</v>
      </c>
      <c r="AC310" t="s">
        <v>167</v>
      </c>
      <c r="AD310" t="s">
        <v>168</v>
      </c>
      <c r="AK310" t="str">
        <f t="shared" si="216"/>
        <v/>
      </c>
      <c r="AL310" t="str">
        <f t="shared" si="217"/>
        <v/>
      </c>
      <c r="AM310" t="str">
        <f t="shared" si="218"/>
        <v/>
      </c>
    </row>
    <row r="311" spans="3:39" x14ac:dyDescent="0.35">
      <c r="D311" t="s">
        <v>28</v>
      </c>
      <c r="E311" t="s">
        <v>30</v>
      </c>
      <c r="G311" s="4">
        <v>0.43208103772258222</v>
      </c>
      <c r="H311" s="4">
        <v>0.3460286626335386</v>
      </c>
      <c r="I311" s="4">
        <v>0.22189029964387935</v>
      </c>
      <c r="K311">
        <v>1.68</v>
      </c>
      <c r="L311">
        <v>3.93</v>
      </c>
      <c r="M311">
        <v>6.75</v>
      </c>
      <c r="N311" s="4">
        <v>0.59523809523809523</v>
      </c>
      <c r="O311" s="4">
        <v>0.2544529262086514</v>
      </c>
      <c r="P311" s="4">
        <v>0.14814814814814814</v>
      </c>
      <c r="R311" t="s">
        <v>103</v>
      </c>
      <c r="S311">
        <v>3</v>
      </c>
      <c r="T311">
        <v>1</v>
      </c>
      <c r="V311" t="s">
        <v>103</v>
      </c>
      <c r="W311">
        <v>1</v>
      </c>
      <c r="X311" s="28">
        <v>0.7</v>
      </c>
      <c r="Z311">
        <v>0</v>
      </c>
      <c r="AA311" s="28">
        <v>0.2857142857142857</v>
      </c>
      <c r="AB311">
        <f>IF(V311=$G$5, IF(W311=$R$2, 1,0), "")</f>
        <v>1</v>
      </c>
      <c r="AC311" t="str">
        <f>IF(V311=$H$5, IF(W311=$R$2, 1,0), "")</f>
        <v/>
      </c>
      <c r="AD311" t="str">
        <f>IF(V311=$I$5, IF(W311=$R$2, 1,0), "")</f>
        <v/>
      </c>
      <c r="AE311" t="str">
        <f>IF(MAX(N311:P311)=N311,$N$5,IF(MAX(N311:P311)=O311,$O$5,$P$5))</f>
        <v>H</v>
      </c>
      <c r="AF311">
        <f>IF(AE311=R311, $R$2,$R$3)</f>
        <v>1</v>
      </c>
      <c r="AG311" s="28">
        <f>COUNTIF(AF311:AF320, $R$2)/COUNT(AF311:AF320)</f>
        <v>0.6</v>
      </c>
      <c r="AH311">
        <f>IF(AE311=$G$5, IF(AF311=$R$2, 1,0), "")</f>
        <v>1</v>
      </c>
      <c r="AI311" t="str">
        <f>IF(AE311=$H$5, IF(AF311=$R$2, 1,0), "")</f>
        <v/>
      </c>
      <c r="AJ311" t="str">
        <f>IF(AE311=$I$5, IF(AF311=$R$2, 1,0), "")</f>
        <v/>
      </c>
      <c r="AK311">
        <f>IF(AB311=1, K311-1, IF(AB311=0, -1,""))</f>
        <v>0.67999999999999994</v>
      </c>
      <c r="AL311" t="str">
        <f t="shared" ref="AL311:AL320" si="246">IF(AC311=1, L311-1, IF(AC311=0, -1,""))</f>
        <v/>
      </c>
      <c r="AM311" t="str">
        <f t="shared" ref="AM311:AM320" si="247">IF(AD311=1, M311-1, IF(AD311=0, -1,""))</f>
        <v/>
      </c>
    </row>
    <row r="312" spans="3:39" x14ac:dyDescent="0.35">
      <c r="D312" t="s">
        <v>45</v>
      </c>
      <c r="E312" t="s">
        <v>35</v>
      </c>
      <c r="G312" s="4">
        <v>0.42963166992947249</v>
      </c>
      <c r="H312" s="4">
        <v>0.33759377852931988</v>
      </c>
      <c r="I312" s="4">
        <v>0.23277455154120755</v>
      </c>
      <c r="K312">
        <v>2.23</v>
      </c>
      <c r="L312">
        <v>3.5</v>
      </c>
      <c r="M312">
        <v>3.75</v>
      </c>
      <c r="N312" s="4">
        <v>0.44843049327354262</v>
      </c>
      <c r="O312" s="4">
        <v>0.2857142857142857</v>
      </c>
      <c r="P312" s="4">
        <v>0.26666666666666666</v>
      </c>
      <c r="R312" t="s">
        <v>104</v>
      </c>
      <c r="S312">
        <v>1</v>
      </c>
      <c r="T312">
        <v>1</v>
      </c>
      <c r="V312" t="s">
        <v>103</v>
      </c>
      <c r="W312">
        <v>0</v>
      </c>
      <c r="Z312" t="s">
        <v>117</v>
      </c>
      <c r="AA312" s="29" t="s">
        <v>117</v>
      </c>
      <c r="AB312">
        <f t="shared" ref="AB312:AB320" si="248">IF(V312=$G$5, IF(W312=$R$2, 1,0), "")</f>
        <v>0</v>
      </c>
      <c r="AC312" t="str">
        <f t="shared" ref="AC312:AC320" si="249">IF(V312=$H$5, IF(W312=$R$2, 1,0), "")</f>
        <v/>
      </c>
      <c r="AD312" t="str">
        <f t="shared" ref="AD312:AD320" si="250">IF(V312=$I$5, IF(W312=$R$2, 1,0), "")</f>
        <v/>
      </c>
      <c r="AE312" t="str">
        <f t="shared" ref="AE312:AE320" si="251">IF(MAX(N312:P312)=N312,$N$5,IF(MAX(N312:P312)=O312,$O$5,$P$5))</f>
        <v>H</v>
      </c>
      <c r="AF312">
        <f t="shared" ref="AF312:AF320" si="252">IF(AE312=R312, $R$2,$R$3)</f>
        <v>0</v>
      </c>
      <c r="AH312">
        <f t="shared" ref="AH312:AH320" si="253">IF(AE312=$G$5, IF(AF312=$R$2, 1,0), "")</f>
        <v>0</v>
      </c>
      <c r="AI312" t="str">
        <f t="shared" ref="AI312:AI320" si="254">IF(AE312=$H$5, IF(AF312=$R$2, 1,0), "")</f>
        <v/>
      </c>
      <c r="AJ312" t="str">
        <f t="shared" ref="AJ312:AJ320" si="255">IF(AE312=$I$5, IF(AF312=$R$2, 1,0), "")</f>
        <v/>
      </c>
      <c r="AK312">
        <f t="shared" ref="AK312:AK320" si="256">IF(AB312=1, K312-1, IF(AB312=0, -1,""))</f>
        <v>-1</v>
      </c>
      <c r="AL312" t="str">
        <f t="shared" si="246"/>
        <v/>
      </c>
      <c r="AM312" t="str">
        <f t="shared" si="247"/>
        <v/>
      </c>
    </row>
    <row r="313" spans="3:39" x14ac:dyDescent="0.35">
      <c r="D313" t="s">
        <v>51</v>
      </c>
      <c r="E313" t="s">
        <v>38</v>
      </c>
      <c r="G313" s="4">
        <v>0.44733574916995533</v>
      </c>
      <c r="H313" s="4">
        <v>0.33923767306875602</v>
      </c>
      <c r="I313" s="4">
        <v>0.21342657776128895</v>
      </c>
      <c r="K313">
        <v>1.79</v>
      </c>
      <c r="L313">
        <v>3.65</v>
      </c>
      <c r="M313">
        <v>5.9</v>
      </c>
      <c r="N313" s="4">
        <v>0.55865921787709494</v>
      </c>
      <c r="O313" s="4">
        <v>0.27397260273972601</v>
      </c>
      <c r="P313" s="4">
        <v>0.16949152542372881</v>
      </c>
      <c r="R313" t="s">
        <v>103</v>
      </c>
      <c r="S313">
        <v>2</v>
      </c>
      <c r="T313">
        <v>1</v>
      </c>
      <c r="V313" t="s">
        <v>103</v>
      </c>
      <c r="W313">
        <v>1</v>
      </c>
      <c r="Z313">
        <v>0</v>
      </c>
      <c r="AB313">
        <f t="shared" si="248"/>
        <v>1</v>
      </c>
      <c r="AC313" t="str">
        <f t="shared" si="249"/>
        <v/>
      </c>
      <c r="AD313" t="str">
        <f t="shared" si="250"/>
        <v/>
      </c>
      <c r="AE313" t="str">
        <f t="shared" si="251"/>
        <v>H</v>
      </c>
      <c r="AF313">
        <f t="shared" si="252"/>
        <v>1</v>
      </c>
      <c r="AH313">
        <f t="shared" si="253"/>
        <v>1</v>
      </c>
      <c r="AI313" t="str">
        <f t="shared" si="254"/>
        <v/>
      </c>
      <c r="AJ313" t="str">
        <f t="shared" si="255"/>
        <v/>
      </c>
      <c r="AK313">
        <f t="shared" si="256"/>
        <v>0.79</v>
      </c>
      <c r="AL313" t="str">
        <f t="shared" si="246"/>
        <v/>
      </c>
      <c r="AM313" t="str">
        <f t="shared" si="247"/>
        <v/>
      </c>
    </row>
    <row r="314" spans="3:39" x14ac:dyDescent="0.35">
      <c r="D314" t="s">
        <v>49</v>
      </c>
      <c r="E314" t="s">
        <v>25</v>
      </c>
      <c r="G314" s="4">
        <v>0.19854244742657046</v>
      </c>
      <c r="H314" s="4">
        <v>0.27045587857977399</v>
      </c>
      <c r="I314" s="4">
        <v>0.53100167399365539</v>
      </c>
      <c r="K314">
        <v>2.65</v>
      </c>
      <c r="L314">
        <v>3.38</v>
      </c>
      <c r="M314">
        <v>3.05</v>
      </c>
      <c r="N314" s="4">
        <v>0.37735849056603776</v>
      </c>
      <c r="O314" s="4">
        <v>0.29585798816568049</v>
      </c>
      <c r="P314" s="4">
        <v>0.32786885245901642</v>
      </c>
      <c r="R314" t="s">
        <v>104</v>
      </c>
      <c r="S314">
        <v>0</v>
      </c>
      <c r="T314">
        <v>0</v>
      </c>
      <c r="V314" t="s">
        <v>105</v>
      </c>
      <c r="W314">
        <v>0</v>
      </c>
      <c r="Z314" t="s">
        <v>117</v>
      </c>
      <c r="AB314" t="str">
        <f t="shared" si="248"/>
        <v/>
      </c>
      <c r="AC314" t="str">
        <f t="shared" si="249"/>
        <v/>
      </c>
      <c r="AD314">
        <f t="shared" si="250"/>
        <v>0</v>
      </c>
      <c r="AE314" t="str">
        <f t="shared" si="251"/>
        <v>H</v>
      </c>
      <c r="AF314">
        <f t="shared" si="252"/>
        <v>0</v>
      </c>
      <c r="AH314">
        <f t="shared" si="253"/>
        <v>0</v>
      </c>
      <c r="AI314" t="str">
        <f t="shared" si="254"/>
        <v/>
      </c>
      <c r="AJ314" t="str">
        <f t="shared" si="255"/>
        <v/>
      </c>
      <c r="AK314" t="str">
        <f t="shared" si="256"/>
        <v/>
      </c>
      <c r="AL314" t="str">
        <f t="shared" si="246"/>
        <v/>
      </c>
      <c r="AM314">
        <f t="shared" si="247"/>
        <v>-1</v>
      </c>
    </row>
    <row r="315" spans="3:39" x14ac:dyDescent="0.35">
      <c r="D315" t="s">
        <v>34</v>
      </c>
      <c r="E315" t="s">
        <v>32</v>
      </c>
      <c r="G315" s="4">
        <v>0.27170445233430413</v>
      </c>
      <c r="H315" s="4">
        <v>0.31188186295379755</v>
      </c>
      <c r="I315" s="4">
        <v>0.41641368471189827</v>
      </c>
      <c r="K315">
        <v>1.85</v>
      </c>
      <c r="L315">
        <v>3.85</v>
      </c>
      <c r="M315">
        <v>5.0999999999999996</v>
      </c>
      <c r="N315" s="4">
        <v>0.54054054054054046</v>
      </c>
      <c r="O315" s="4">
        <v>0.25974025974025972</v>
      </c>
      <c r="P315" s="4">
        <v>0.19607843137254904</v>
      </c>
      <c r="R315" t="s">
        <v>105</v>
      </c>
      <c r="S315">
        <v>1</v>
      </c>
      <c r="T315">
        <v>2</v>
      </c>
      <c r="V315" t="s">
        <v>105</v>
      </c>
      <c r="W315">
        <v>1</v>
      </c>
      <c r="Z315">
        <v>1</v>
      </c>
      <c r="AB315" t="str">
        <f t="shared" si="248"/>
        <v/>
      </c>
      <c r="AC315" t="str">
        <f t="shared" si="249"/>
        <v/>
      </c>
      <c r="AD315">
        <f t="shared" si="250"/>
        <v>1</v>
      </c>
      <c r="AE315" t="str">
        <f t="shared" si="251"/>
        <v>H</v>
      </c>
      <c r="AF315">
        <f t="shared" si="252"/>
        <v>0</v>
      </c>
      <c r="AH315">
        <f t="shared" si="253"/>
        <v>0</v>
      </c>
      <c r="AI315" t="str">
        <f t="shared" si="254"/>
        <v/>
      </c>
      <c r="AJ315" t="str">
        <f t="shared" si="255"/>
        <v/>
      </c>
      <c r="AK315" t="str">
        <f t="shared" si="256"/>
        <v/>
      </c>
      <c r="AL315" t="str">
        <f t="shared" si="246"/>
        <v/>
      </c>
      <c r="AM315">
        <f t="shared" si="247"/>
        <v>4.0999999999999996</v>
      </c>
    </row>
    <row r="316" spans="3:39" x14ac:dyDescent="0.35">
      <c r="D316" t="s">
        <v>50</v>
      </c>
      <c r="E316" t="s">
        <v>41</v>
      </c>
      <c r="G316" s="4">
        <v>5.6126386667338657E-2</v>
      </c>
      <c r="H316" s="4">
        <v>0.14952337908232091</v>
      </c>
      <c r="I316" s="4">
        <v>0.79435023425034035</v>
      </c>
      <c r="K316">
        <v>12</v>
      </c>
      <c r="L316">
        <v>6.4</v>
      </c>
      <c r="M316">
        <v>1.31</v>
      </c>
      <c r="N316" s="4">
        <v>8.3333333333333329E-2</v>
      </c>
      <c r="O316" s="4">
        <v>0.15625</v>
      </c>
      <c r="P316" s="4">
        <v>0.76335877862595414</v>
      </c>
      <c r="R316" t="s">
        <v>105</v>
      </c>
      <c r="S316">
        <v>0</v>
      </c>
      <c r="T316">
        <v>1</v>
      </c>
      <c r="V316" t="s">
        <v>105</v>
      </c>
      <c r="W316">
        <v>1</v>
      </c>
      <c r="Z316">
        <v>1</v>
      </c>
      <c r="AB316" t="str">
        <f t="shared" si="248"/>
        <v/>
      </c>
      <c r="AC316" t="str">
        <f t="shared" si="249"/>
        <v/>
      </c>
      <c r="AD316">
        <f t="shared" si="250"/>
        <v>1</v>
      </c>
      <c r="AE316" t="str">
        <f t="shared" si="251"/>
        <v>A</v>
      </c>
      <c r="AF316">
        <f t="shared" si="252"/>
        <v>1</v>
      </c>
      <c r="AH316" t="str">
        <f t="shared" si="253"/>
        <v/>
      </c>
      <c r="AI316" t="str">
        <f t="shared" si="254"/>
        <v/>
      </c>
      <c r="AJ316">
        <f t="shared" si="255"/>
        <v>1</v>
      </c>
      <c r="AK316" t="str">
        <f t="shared" si="256"/>
        <v/>
      </c>
      <c r="AL316" t="str">
        <f t="shared" si="246"/>
        <v/>
      </c>
      <c r="AM316">
        <f t="shared" si="247"/>
        <v>0.31000000000000005</v>
      </c>
    </row>
    <row r="317" spans="3:39" x14ac:dyDescent="0.35">
      <c r="D317" t="s">
        <v>52</v>
      </c>
      <c r="E317" t="s">
        <v>29</v>
      </c>
      <c r="G317" s="4">
        <v>0.25855588234576704</v>
      </c>
      <c r="H317" s="4">
        <v>0.27974238539778451</v>
      </c>
      <c r="I317" s="4">
        <v>0.46170173225644828</v>
      </c>
      <c r="K317">
        <v>4.25</v>
      </c>
      <c r="L317">
        <v>3.9</v>
      </c>
      <c r="M317">
        <v>1.95</v>
      </c>
      <c r="N317" s="4">
        <v>0.23529411764705882</v>
      </c>
      <c r="O317" s="4">
        <v>0.25641025641025644</v>
      </c>
      <c r="P317" s="4">
        <v>0.51282051282051289</v>
      </c>
      <c r="R317" t="s">
        <v>105</v>
      </c>
      <c r="S317">
        <v>2</v>
      </c>
      <c r="T317">
        <v>3</v>
      </c>
      <c r="V317" t="s">
        <v>105</v>
      </c>
      <c r="W317">
        <v>1</v>
      </c>
      <c r="Z317">
        <v>0</v>
      </c>
      <c r="AB317" t="str">
        <f t="shared" si="248"/>
        <v/>
      </c>
      <c r="AC317" t="str">
        <f t="shared" si="249"/>
        <v/>
      </c>
      <c r="AD317">
        <f t="shared" si="250"/>
        <v>1</v>
      </c>
      <c r="AE317" t="str">
        <f t="shared" si="251"/>
        <v>A</v>
      </c>
      <c r="AF317">
        <f t="shared" si="252"/>
        <v>1</v>
      </c>
      <c r="AH317" t="str">
        <f t="shared" si="253"/>
        <v/>
      </c>
      <c r="AI317" t="str">
        <f t="shared" si="254"/>
        <v/>
      </c>
      <c r="AJ317">
        <f t="shared" si="255"/>
        <v>1</v>
      </c>
      <c r="AK317" t="str">
        <f t="shared" si="256"/>
        <v/>
      </c>
      <c r="AL317" t="str">
        <f t="shared" si="246"/>
        <v/>
      </c>
      <c r="AM317">
        <f t="shared" si="247"/>
        <v>0.95</v>
      </c>
    </row>
    <row r="318" spans="3:39" x14ac:dyDescent="0.35">
      <c r="D318" t="s">
        <v>40</v>
      </c>
      <c r="E318" t="s">
        <v>46</v>
      </c>
      <c r="G318" s="4">
        <v>0.47005449978819697</v>
      </c>
      <c r="H318" s="4">
        <v>0.31269092563918149</v>
      </c>
      <c r="I318" s="4">
        <v>0.21725457457262198</v>
      </c>
      <c r="K318">
        <v>1.47</v>
      </c>
      <c r="L318">
        <v>4.9800000000000004</v>
      </c>
      <c r="M318">
        <v>8.75</v>
      </c>
      <c r="N318" s="4">
        <v>0.68027210884353739</v>
      </c>
      <c r="O318" s="4">
        <v>0.20080321285140559</v>
      </c>
      <c r="P318" s="4">
        <v>0.11428571428571428</v>
      </c>
      <c r="R318" t="s">
        <v>103</v>
      </c>
      <c r="S318">
        <v>4</v>
      </c>
      <c r="T318">
        <v>0</v>
      </c>
      <c r="V318" t="s">
        <v>103</v>
      </c>
      <c r="W318">
        <v>1</v>
      </c>
      <c r="Z318">
        <v>0</v>
      </c>
      <c r="AB318">
        <f t="shared" si="248"/>
        <v>1</v>
      </c>
      <c r="AC318" t="str">
        <f t="shared" si="249"/>
        <v/>
      </c>
      <c r="AD318" t="str">
        <f t="shared" si="250"/>
        <v/>
      </c>
      <c r="AE318" t="str">
        <f t="shared" si="251"/>
        <v>H</v>
      </c>
      <c r="AF318">
        <f t="shared" si="252"/>
        <v>1</v>
      </c>
      <c r="AH318">
        <f t="shared" si="253"/>
        <v>1</v>
      </c>
      <c r="AI318" t="str">
        <f t="shared" si="254"/>
        <v/>
      </c>
      <c r="AJ318" t="str">
        <f t="shared" si="255"/>
        <v/>
      </c>
      <c r="AK318">
        <f t="shared" si="256"/>
        <v>0.47</v>
      </c>
      <c r="AL318" t="str">
        <f t="shared" si="246"/>
        <v/>
      </c>
      <c r="AM318" t="str">
        <f t="shared" si="247"/>
        <v/>
      </c>
    </row>
    <row r="319" spans="3:39" x14ac:dyDescent="0.35">
      <c r="D319" t="s">
        <v>42</v>
      </c>
      <c r="E319" t="s">
        <v>39</v>
      </c>
      <c r="G319" s="4">
        <v>0.47277950549942127</v>
      </c>
      <c r="H319" s="4">
        <v>0.31034077125880333</v>
      </c>
      <c r="I319" s="4">
        <v>0.21687972324177537</v>
      </c>
      <c r="K319">
        <v>1.93</v>
      </c>
      <c r="L319">
        <v>3.8</v>
      </c>
      <c r="M319">
        <v>4.5999999999999996</v>
      </c>
      <c r="N319" s="4">
        <v>0.5181347150259068</v>
      </c>
      <c r="O319" s="4">
        <v>0.26315789473684209</v>
      </c>
      <c r="P319" s="4">
        <v>0.21739130434782611</v>
      </c>
      <c r="R319" t="s">
        <v>105</v>
      </c>
      <c r="S319">
        <v>0</v>
      </c>
      <c r="T319">
        <v>2</v>
      </c>
      <c r="V319" t="s">
        <v>103</v>
      </c>
      <c r="W319">
        <v>0</v>
      </c>
      <c r="Z319" t="s">
        <v>117</v>
      </c>
      <c r="AB319">
        <f t="shared" si="248"/>
        <v>0</v>
      </c>
      <c r="AC319" t="str">
        <f t="shared" si="249"/>
        <v/>
      </c>
      <c r="AD319" t="str">
        <f t="shared" si="250"/>
        <v/>
      </c>
      <c r="AE319" t="str">
        <f t="shared" si="251"/>
        <v>H</v>
      </c>
      <c r="AF319">
        <f t="shared" si="252"/>
        <v>0</v>
      </c>
      <c r="AH319">
        <f t="shared" si="253"/>
        <v>0</v>
      </c>
      <c r="AI319" t="str">
        <f t="shared" si="254"/>
        <v/>
      </c>
      <c r="AJ319" t="str">
        <f t="shared" si="255"/>
        <v/>
      </c>
      <c r="AK319">
        <f t="shared" si="256"/>
        <v>-1</v>
      </c>
      <c r="AL319" t="str">
        <f t="shared" si="246"/>
        <v/>
      </c>
      <c r="AM319" t="str">
        <f t="shared" si="247"/>
        <v/>
      </c>
    </row>
    <row r="320" spans="3:39" x14ac:dyDescent="0.35">
      <c r="D320" t="s">
        <v>36</v>
      </c>
      <c r="E320" t="s">
        <v>43</v>
      </c>
      <c r="G320" s="4">
        <v>0.76357898057410911</v>
      </c>
      <c r="H320" s="4">
        <v>0.16480244313315681</v>
      </c>
      <c r="I320" s="4">
        <v>7.1618576292734076E-2</v>
      </c>
      <c r="K320">
        <v>1.1499999999999999</v>
      </c>
      <c r="L320">
        <v>10.5</v>
      </c>
      <c r="M320">
        <v>23</v>
      </c>
      <c r="N320" s="4">
        <v>0.86956521739130443</v>
      </c>
      <c r="O320" s="4">
        <v>9.5238095238095233E-2</v>
      </c>
      <c r="P320" s="4">
        <v>4.3478260869565216E-2</v>
      </c>
      <c r="R320" t="s">
        <v>103</v>
      </c>
      <c r="S320">
        <v>2</v>
      </c>
      <c r="T320">
        <v>0</v>
      </c>
      <c r="V320" t="s">
        <v>103</v>
      </c>
      <c r="W320">
        <v>1</v>
      </c>
      <c r="Z320">
        <v>0</v>
      </c>
      <c r="AB320">
        <f t="shared" si="248"/>
        <v>1</v>
      </c>
      <c r="AC320" t="str">
        <f t="shared" si="249"/>
        <v/>
      </c>
      <c r="AD320" t="str">
        <f t="shared" si="250"/>
        <v/>
      </c>
      <c r="AE320" t="str">
        <f t="shared" si="251"/>
        <v>H</v>
      </c>
      <c r="AF320">
        <f t="shared" si="252"/>
        <v>1</v>
      </c>
      <c r="AH320">
        <f t="shared" si="253"/>
        <v>1</v>
      </c>
      <c r="AI320" t="str">
        <f t="shared" si="254"/>
        <v/>
      </c>
      <c r="AJ320" t="str">
        <f t="shared" si="255"/>
        <v/>
      </c>
      <c r="AK320">
        <f t="shared" si="256"/>
        <v>0.14999999999999991</v>
      </c>
      <c r="AL320" t="str">
        <f t="shared" si="246"/>
        <v/>
      </c>
      <c r="AM320" t="str">
        <f t="shared" si="247"/>
        <v/>
      </c>
    </row>
    <row r="321" spans="3:39" x14ac:dyDescent="0.35">
      <c r="G321" s="4"/>
      <c r="H321" s="4"/>
      <c r="I321" s="4"/>
      <c r="N321" s="4"/>
      <c r="O321" s="4"/>
      <c r="P321" s="4"/>
      <c r="AB321" s="4"/>
      <c r="AC321" s="4"/>
      <c r="AD321" s="4"/>
    </row>
    <row r="324" spans="3:39" x14ac:dyDescent="0.35">
      <c r="C324" t="s">
        <v>145</v>
      </c>
      <c r="H324" s="21" t="s">
        <v>107</v>
      </c>
      <c r="K324" s="22" t="s">
        <v>106</v>
      </c>
      <c r="N324" t="s">
        <v>108</v>
      </c>
    </row>
    <row r="325" spans="3:39" x14ac:dyDescent="0.35">
      <c r="G325" t="s">
        <v>103</v>
      </c>
      <c r="H325" t="s">
        <v>104</v>
      </c>
      <c r="I325" t="s">
        <v>105</v>
      </c>
      <c r="K325" t="s">
        <v>103</v>
      </c>
      <c r="L325" t="s">
        <v>104</v>
      </c>
      <c r="M325" t="s">
        <v>105</v>
      </c>
      <c r="N325" t="s">
        <v>103</v>
      </c>
      <c r="O325" t="s">
        <v>104</v>
      </c>
      <c r="P325" t="s">
        <v>105</v>
      </c>
      <c r="R325" t="s">
        <v>110</v>
      </c>
      <c r="V325" t="s">
        <v>112</v>
      </c>
      <c r="W325" t="s">
        <v>111</v>
      </c>
      <c r="X325" s="28" t="s">
        <v>114</v>
      </c>
      <c r="Z325" t="s">
        <v>113</v>
      </c>
      <c r="AA325" s="28" t="s">
        <v>116</v>
      </c>
      <c r="AB325" t="s">
        <v>166</v>
      </c>
      <c r="AC325" t="s">
        <v>167</v>
      </c>
      <c r="AD325" t="s">
        <v>168</v>
      </c>
      <c r="AK325" t="str">
        <f t="shared" si="216"/>
        <v/>
      </c>
      <c r="AL325" t="str">
        <f t="shared" si="217"/>
        <v/>
      </c>
      <c r="AM325" t="str">
        <f t="shared" si="218"/>
        <v/>
      </c>
    </row>
    <row r="326" spans="3:39" x14ac:dyDescent="0.35">
      <c r="D326" t="s">
        <v>42</v>
      </c>
      <c r="E326" t="s">
        <v>29</v>
      </c>
      <c r="G326" s="4">
        <v>0.51114176586509674</v>
      </c>
      <c r="H326" s="4">
        <v>0.28272178904621015</v>
      </c>
      <c r="I326" s="4">
        <v>0.20613644508869322</v>
      </c>
      <c r="K326">
        <v>1.78</v>
      </c>
      <c r="L326">
        <v>4.05</v>
      </c>
      <c r="M326">
        <v>5.0999999999999996</v>
      </c>
      <c r="N326" s="4">
        <v>0.5617977528089888</v>
      </c>
      <c r="O326" s="4">
        <v>0.24691358024691359</v>
      </c>
      <c r="P326" s="4">
        <v>0.19607843137254904</v>
      </c>
      <c r="R326" t="s">
        <v>103</v>
      </c>
      <c r="S326">
        <v>2</v>
      </c>
      <c r="T326">
        <v>1</v>
      </c>
      <c r="V326" t="s">
        <v>103</v>
      </c>
      <c r="W326">
        <v>1</v>
      </c>
      <c r="X326" s="28">
        <v>0.6</v>
      </c>
      <c r="Z326">
        <v>0</v>
      </c>
      <c r="AA326" s="28">
        <v>0.16666666666666666</v>
      </c>
      <c r="AB326">
        <f>IF(V326=$G$5, IF(W326=$R$2, 1,0), "")</f>
        <v>1</v>
      </c>
      <c r="AC326" t="str">
        <f>IF(V326=$H$5, IF(W326=$R$2, 1,0), "")</f>
        <v/>
      </c>
      <c r="AD326" t="str">
        <f>IF(V326=$I$5, IF(W326=$R$2, 1,0), "")</f>
        <v/>
      </c>
      <c r="AE326" t="str">
        <f>IF(MAX(N326:P326)=N326,$N$5,IF(MAX(N326:P326)=O326,$O$5,$P$5))</f>
        <v>H</v>
      </c>
      <c r="AF326">
        <f>IF(AE326=R326, $R$2,$R$3)</f>
        <v>1</v>
      </c>
      <c r="AG326" s="28">
        <f>COUNTIF(AF326:AF335, $R$2)/COUNT(AF326:AF335)</f>
        <v>0.9</v>
      </c>
      <c r="AH326">
        <f>IF(AE326=$G$5, IF(AF326=$R$2, 1,0), "")</f>
        <v>1</v>
      </c>
      <c r="AI326" t="str">
        <f>IF(AE326=$H$5, IF(AF326=$R$2, 1,0), "")</f>
        <v/>
      </c>
      <c r="AJ326" t="str">
        <f>IF(AE326=$I$5, IF(AF326=$R$2, 1,0), "")</f>
        <v/>
      </c>
      <c r="AK326">
        <f>IF(AB326=1, K326-1, IF(AB326=0, -1,""))</f>
        <v>0.78</v>
      </c>
      <c r="AL326" t="str">
        <f t="shared" ref="AL326:AL335" si="257">IF(AC326=1, L326-1, IF(AC326=0, -1,""))</f>
        <v/>
      </c>
      <c r="AM326" t="str">
        <f t="shared" ref="AM326:AM335" si="258">IF(AD326=1, M326-1, IF(AD326=0, -1,""))</f>
        <v/>
      </c>
    </row>
    <row r="327" spans="3:39" x14ac:dyDescent="0.35">
      <c r="D327" t="s">
        <v>32</v>
      </c>
      <c r="E327" t="s">
        <v>38</v>
      </c>
      <c r="G327" s="4">
        <v>0.38752428396952993</v>
      </c>
      <c r="H327" s="4">
        <v>0.32979410110495022</v>
      </c>
      <c r="I327" s="4">
        <v>0.28268161492551996</v>
      </c>
      <c r="K327">
        <v>2.25</v>
      </c>
      <c r="L327">
        <v>3.4</v>
      </c>
      <c r="M327">
        <v>3.8</v>
      </c>
      <c r="N327" s="4">
        <v>0.44444444444444442</v>
      </c>
      <c r="O327" s="4">
        <v>0.29411764705882354</v>
      </c>
      <c r="P327" s="4">
        <v>0.26315789473684209</v>
      </c>
      <c r="R327" t="s">
        <v>103</v>
      </c>
      <c r="S327">
        <v>3</v>
      </c>
      <c r="T327">
        <v>0</v>
      </c>
      <c r="V327" t="s">
        <v>103</v>
      </c>
      <c r="W327">
        <v>1</v>
      </c>
      <c r="Z327">
        <v>0</v>
      </c>
      <c r="AA327" s="29" t="s">
        <v>117</v>
      </c>
      <c r="AB327">
        <f t="shared" ref="AB327:AB335" si="259">IF(V327=$G$5, IF(W327=$R$2, 1,0), "")</f>
        <v>1</v>
      </c>
      <c r="AC327" t="str">
        <f t="shared" ref="AC327:AC335" si="260">IF(V327=$H$5, IF(W327=$R$2, 1,0), "")</f>
        <v/>
      </c>
      <c r="AD327" t="str">
        <f t="shared" ref="AD327:AD335" si="261">IF(V327=$I$5, IF(W327=$R$2, 1,0), "")</f>
        <v/>
      </c>
      <c r="AE327" t="str">
        <f t="shared" ref="AE327:AE335" si="262">IF(MAX(N327:P327)=N327,$N$5,IF(MAX(N327:P327)=O327,$O$5,$P$5))</f>
        <v>H</v>
      </c>
      <c r="AF327">
        <f t="shared" ref="AF327:AF335" si="263">IF(AE327=R327, $R$2,$R$3)</f>
        <v>1</v>
      </c>
      <c r="AH327">
        <f t="shared" ref="AH327:AH335" si="264">IF(AE327=$G$5, IF(AF327=$R$2, 1,0), "")</f>
        <v>1</v>
      </c>
      <c r="AI327" t="str">
        <f t="shared" ref="AI327:AI335" si="265">IF(AE327=$H$5, IF(AF327=$R$2, 1,0), "")</f>
        <v/>
      </c>
      <c r="AJ327" t="str">
        <f t="shared" ref="AJ327:AJ335" si="266">IF(AE327=$I$5, IF(AF327=$R$2, 1,0), "")</f>
        <v/>
      </c>
      <c r="AK327">
        <f t="shared" ref="AK327:AK335" si="267">IF(AB327=1, K327-1, IF(AB327=0, -1,""))</f>
        <v>1.25</v>
      </c>
      <c r="AL327" t="str">
        <f t="shared" si="257"/>
        <v/>
      </c>
      <c r="AM327" t="str">
        <f t="shared" si="258"/>
        <v/>
      </c>
    </row>
    <row r="328" spans="3:39" x14ac:dyDescent="0.35">
      <c r="D328" t="s">
        <v>51</v>
      </c>
      <c r="E328" t="s">
        <v>45</v>
      </c>
      <c r="G328" s="4">
        <v>0.43603131545027912</v>
      </c>
      <c r="H328" s="4">
        <v>0.31357323896434081</v>
      </c>
      <c r="I328" s="4">
        <v>0.25039544558537935</v>
      </c>
      <c r="K328">
        <v>2.02</v>
      </c>
      <c r="L328">
        <v>3.43</v>
      </c>
      <c r="M328">
        <v>4.5</v>
      </c>
      <c r="N328" s="4">
        <v>0.49504950495049505</v>
      </c>
      <c r="O328" s="4">
        <v>0.29154518950437314</v>
      </c>
      <c r="P328" s="4">
        <v>0.22222222222222221</v>
      </c>
      <c r="R328" t="s">
        <v>104</v>
      </c>
      <c r="S328">
        <v>1</v>
      </c>
      <c r="T328">
        <v>1</v>
      </c>
      <c r="V328" t="s">
        <v>103</v>
      </c>
      <c r="W328">
        <v>0</v>
      </c>
      <c r="Z328" t="s">
        <v>117</v>
      </c>
      <c r="AB328">
        <f t="shared" si="259"/>
        <v>0</v>
      </c>
      <c r="AC328" t="str">
        <f t="shared" si="260"/>
        <v/>
      </c>
      <c r="AD328" t="str">
        <f t="shared" si="261"/>
        <v/>
      </c>
      <c r="AE328" t="str">
        <f t="shared" si="262"/>
        <v>H</v>
      </c>
      <c r="AF328">
        <f t="shared" si="263"/>
        <v>0</v>
      </c>
      <c r="AH328">
        <f t="shared" si="264"/>
        <v>0</v>
      </c>
      <c r="AI328" t="str">
        <f t="shared" si="265"/>
        <v/>
      </c>
      <c r="AJ328" t="str">
        <f t="shared" si="266"/>
        <v/>
      </c>
      <c r="AK328">
        <f t="shared" si="267"/>
        <v>-1</v>
      </c>
      <c r="AL328" t="str">
        <f t="shared" si="257"/>
        <v/>
      </c>
      <c r="AM328" t="str">
        <f t="shared" si="258"/>
        <v/>
      </c>
    </row>
    <row r="329" spans="3:39" x14ac:dyDescent="0.35">
      <c r="D329" t="s">
        <v>30</v>
      </c>
      <c r="E329" t="s">
        <v>46</v>
      </c>
      <c r="G329" s="4">
        <v>0.38285935207510569</v>
      </c>
      <c r="H329" s="4">
        <v>0.3884627515585608</v>
      </c>
      <c r="I329" s="4">
        <v>0.22867789636633337</v>
      </c>
      <c r="K329">
        <v>2.0499999999999998</v>
      </c>
      <c r="L329">
        <v>3.5</v>
      </c>
      <c r="M329">
        <v>4.75</v>
      </c>
      <c r="N329" s="4">
        <v>0.48780487804878053</v>
      </c>
      <c r="O329" s="4">
        <v>0.2857142857142857</v>
      </c>
      <c r="P329" s="4">
        <v>0.21052631578947367</v>
      </c>
      <c r="R329" t="s">
        <v>103</v>
      </c>
      <c r="S329">
        <v>1</v>
      </c>
      <c r="T329">
        <v>0</v>
      </c>
      <c r="V329" t="s">
        <v>104</v>
      </c>
      <c r="W329">
        <v>0</v>
      </c>
      <c r="Z329" t="s">
        <v>117</v>
      </c>
      <c r="AB329" t="str">
        <f t="shared" si="259"/>
        <v/>
      </c>
      <c r="AC329">
        <f t="shared" si="260"/>
        <v>0</v>
      </c>
      <c r="AD329" t="str">
        <f t="shared" si="261"/>
        <v/>
      </c>
      <c r="AE329" t="str">
        <f t="shared" si="262"/>
        <v>H</v>
      </c>
      <c r="AF329">
        <f t="shared" si="263"/>
        <v>1</v>
      </c>
      <c r="AH329">
        <f t="shared" si="264"/>
        <v>1</v>
      </c>
      <c r="AI329" t="str">
        <f t="shared" si="265"/>
        <v/>
      </c>
      <c r="AJ329" t="str">
        <f t="shared" si="266"/>
        <v/>
      </c>
      <c r="AK329" t="str">
        <f t="shared" si="267"/>
        <v/>
      </c>
      <c r="AL329">
        <f t="shared" si="257"/>
        <v>-1</v>
      </c>
      <c r="AM329" t="str">
        <f t="shared" si="258"/>
        <v/>
      </c>
    </row>
    <row r="330" spans="3:39" x14ac:dyDescent="0.35">
      <c r="D330" t="s">
        <v>34</v>
      </c>
      <c r="E330" t="s">
        <v>52</v>
      </c>
      <c r="G330" s="4">
        <v>0.32485545213822592</v>
      </c>
      <c r="H330" s="4">
        <v>0.28161219144543209</v>
      </c>
      <c r="I330" s="4">
        <v>0.39353235641634182</v>
      </c>
      <c r="K330">
        <v>1.7</v>
      </c>
      <c r="L330">
        <v>4.4000000000000004</v>
      </c>
      <c r="M330">
        <v>5.5</v>
      </c>
      <c r="N330" s="4">
        <v>0.58823529411764708</v>
      </c>
      <c r="O330" s="4">
        <v>0.22727272727272727</v>
      </c>
      <c r="P330" s="4">
        <v>0.18181818181818182</v>
      </c>
      <c r="R330" t="s">
        <v>103</v>
      </c>
      <c r="S330">
        <v>2</v>
      </c>
      <c r="T330">
        <v>0</v>
      </c>
      <c r="V330" t="s">
        <v>105</v>
      </c>
      <c r="W330">
        <v>0</v>
      </c>
      <c r="Z330" t="s">
        <v>117</v>
      </c>
      <c r="AB330" t="str">
        <f t="shared" si="259"/>
        <v/>
      </c>
      <c r="AC330" t="str">
        <f t="shared" si="260"/>
        <v/>
      </c>
      <c r="AD330">
        <f t="shared" si="261"/>
        <v>0</v>
      </c>
      <c r="AE330" t="str">
        <f t="shared" si="262"/>
        <v>H</v>
      </c>
      <c r="AF330">
        <f t="shared" si="263"/>
        <v>1</v>
      </c>
      <c r="AH330">
        <f t="shared" si="264"/>
        <v>1</v>
      </c>
      <c r="AI330" t="str">
        <f t="shared" si="265"/>
        <v/>
      </c>
      <c r="AJ330" t="str">
        <f t="shared" si="266"/>
        <v/>
      </c>
      <c r="AK330" t="str">
        <f t="shared" si="267"/>
        <v/>
      </c>
      <c r="AL330" t="str">
        <f t="shared" si="257"/>
        <v/>
      </c>
      <c r="AM330">
        <f t="shared" si="258"/>
        <v>-1</v>
      </c>
    </row>
    <row r="331" spans="3:39" x14ac:dyDescent="0.35">
      <c r="D331" t="s">
        <v>25</v>
      </c>
      <c r="E331" t="s">
        <v>36</v>
      </c>
      <c r="G331" s="4">
        <v>0.15964243542918419</v>
      </c>
      <c r="H331" s="4">
        <v>0.22864062661876627</v>
      </c>
      <c r="I331" s="4">
        <v>0.61171693795204929</v>
      </c>
      <c r="K331">
        <v>4.75</v>
      </c>
      <c r="L331">
        <v>4.4000000000000004</v>
      </c>
      <c r="M331">
        <v>1.83</v>
      </c>
      <c r="N331" s="4">
        <v>0.21052631578947367</v>
      </c>
      <c r="O331" s="4">
        <v>0.22727272727272727</v>
      </c>
      <c r="P331" s="4">
        <v>0.54644808743169393</v>
      </c>
      <c r="R331" t="s">
        <v>105</v>
      </c>
      <c r="S331">
        <v>0</v>
      </c>
      <c r="T331">
        <v>1</v>
      </c>
      <c r="V331" t="s">
        <v>105</v>
      </c>
      <c r="W331">
        <v>1</v>
      </c>
      <c r="Z331">
        <v>1</v>
      </c>
      <c r="AB331" t="str">
        <f t="shared" si="259"/>
        <v/>
      </c>
      <c r="AC331" t="str">
        <f t="shared" si="260"/>
        <v/>
      </c>
      <c r="AD331">
        <f t="shared" si="261"/>
        <v>1</v>
      </c>
      <c r="AE331" t="str">
        <f t="shared" si="262"/>
        <v>A</v>
      </c>
      <c r="AF331">
        <f t="shared" si="263"/>
        <v>1</v>
      </c>
      <c r="AH331" t="str">
        <f t="shared" si="264"/>
        <v/>
      </c>
      <c r="AI331" t="str">
        <f t="shared" si="265"/>
        <v/>
      </c>
      <c r="AJ331">
        <f t="shared" si="266"/>
        <v>1</v>
      </c>
      <c r="AK331" t="str">
        <f t="shared" si="267"/>
        <v/>
      </c>
      <c r="AL331" t="str">
        <f t="shared" si="257"/>
        <v/>
      </c>
      <c r="AM331">
        <f t="shared" si="258"/>
        <v>0.83000000000000007</v>
      </c>
    </row>
    <row r="332" spans="3:39" x14ac:dyDescent="0.35">
      <c r="D332" t="s">
        <v>49</v>
      </c>
      <c r="E332" t="s">
        <v>50</v>
      </c>
      <c r="G332" s="4">
        <v>0.44410222186973364</v>
      </c>
      <c r="H332" s="4">
        <v>0.34845988292536051</v>
      </c>
      <c r="I332" s="4">
        <v>0.20743789520490571</v>
      </c>
      <c r="K332">
        <v>1.57</v>
      </c>
      <c r="L332">
        <v>4.5</v>
      </c>
      <c r="M332">
        <v>7.05</v>
      </c>
      <c r="N332" s="4">
        <v>0.63694267515923564</v>
      </c>
      <c r="O332" s="4">
        <v>0.22222222222222221</v>
      </c>
      <c r="P332" s="4">
        <v>0.14184397163120568</v>
      </c>
      <c r="R332" t="s">
        <v>103</v>
      </c>
      <c r="S332">
        <v>3</v>
      </c>
      <c r="T332">
        <v>0</v>
      </c>
      <c r="V332" t="s">
        <v>103</v>
      </c>
      <c r="W332">
        <v>1</v>
      </c>
      <c r="Z332">
        <v>0</v>
      </c>
      <c r="AB332">
        <f t="shared" si="259"/>
        <v>1</v>
      </c>
      <c r="AC332" t="str">
        <f t="shared" si="260"/>
        <v/>
      </c>
      <c r="AD332" t="str">
        <f t="shared" si="261"/>
        <v/>
      </c>
      <c r="AE332" t="str">
        <f t="shared" si="262"/>
        <v>H</v>
      </c>
      <c r="AF332">
        <f t="shared" si="263"/>
        <v>1</v>
      </c>
      <c r="AH332">
        <f t="shared" si="264"/>
        <v>1</v>
      </c>
      <c r="AI332" t="str">
        <f t="shared" si="265"/>
        <v/>
      </c>
      <c r="AJ332" t="str">
        <f t="shared" si="266"/>
        <v/>
      </c>
      <c r="AK332">
        <f t="shared" si="267"/>
        <v>0.57000000000000006</v>
      </c>
      <c r="AL332" t="str">
        <f t="shared" si="257"/>
        <v/>
      </c>
      <c r="AM332" t="str">
        <f t="shared" si="258"/>
        <v/>
      </c>
    </row>
    <row r="333" spans="3:39" x14ac:dyDescent="0.35">
      <c r="D333" t="s">
        <v>39</v>
      </c>
      <c r="E333" t="s">
        <v>35</v>
      </c>
      <c r="G333" s="4">
        <v>0.55671438307945598</v>
      </c>
      <c r="H333" s="4">
        <v>0.29235204061813747</v>
      </c>
      <c r="I333" s="4">
        <v>0.1509335763024067</v>
      </c>
      <c r="K333">
        <v>1.65</v>
      </c>
      <c r="L333">
        <v>4.2</v>
      </c>
      <c r="M333">
        <v>6.5</v>
      </c>
      <c r="N333" s="4">
        <v>0.60606060606060608</v>
      </c>
      <c r="O333" s="4">
        <v>0.23809523809523808</v>
      </c>
      <c r="P333" s="4">
        <v>0.15384615384615385</v>
      </c>
      <c r="R333" t="s">
        <v>103</v>
      </c>
      <c r="S333">
        <v>3</v>
      </c>
      <c r="T333">
        <v>0</v>
      </c>
      <c r="V333" t="s">
        <v>103</v>
      </c>
      <c r="W333">
        <v>1</v>
      </c>
      <c r="Z333">
        <v>0</v>
      </c>
      <c r="AB333">
        <f t="shared" si="259"/>
        <v>1</v>
      </c>
      <c r="AC333" t="str">
        <f t="shared" si="260"/>
        <v/>
      </c>
      <c r="AD333" t="str">
        <f t="shared" si="261"/>
        <v/>
      </c>
      <c r="AE333" t="str">
        <f t="shared" si="262"/>
        <v>H</v>
      </c>
      <c r="AF333">
        <f t="shared" si="263"/>
        <v>1</v>
      </c>
      <c r="AH333">
        <f t="shared" si="264"/>
        <v>1</v>
      </c>
      <c r="AI333" t="str">
        <f t="shared" si="265"/>
        <v/>
      </c>
      <c r="AJ333" t="str">
        <f t="shared" si="266"/>
        <v/>
      </c>
      <c r="AK333">
        <f t="shared" si="267"/>
        <v>0.64999999999999991</v>
      </c>
      <c r="AL333" t="str">
        <f t="shared" si="257"/>
        <v/>
      </c>
      <c r="AM333" t="str">
        <f t="shared" si="258"/>
        <v/>
      </c>
    </row>
    <row r="334" spans="3:39" x14ac:dyDescent="0.35">
      <c r="D334" t="s">
        <v>40</v>
      </c>
      <c r="E334" t="s">
        <v>28</v>
      </c>
      <c r="G334" s="4">
        <v>0.30876006667847256</v>
      </c>
      <c r="H334" s="4">
        <v>0.29381577978978923</v>
      </c>
      <c r="I334" s="4">
        <v>0.39742415353173849</v>
      </c>
      <c r="K334">
        <v>2.12</v>
      </c>
      <c r="L334">
        <v>3.8</v>
      </c>
      <c r="M334">
        <v>3.88</v>
      </c>
      <c r="N334" s="4">
        <v>0.47169811320754712</v>
      </c>
      <c r="O334" s="4">
        <v>0.26315789473684209</v>
      </c>
      <c r="P334" s="4">
        <v>0.25773195876288663</v>
      </c>
      <c r="R334" t="s">
        <v>103</v>
      </c>
      <c r="S334">
        <v>3</v>
      </c>
      <c r="T334">
        <v>2</v>
      </c>
      <c r="V334" t="s">
        <v>105</v>
      </c>
      <c r="W334">
        <v>0</v>
      </c>
      <c r="Z334" t="s">
        <v>117</v>
      </c>
      <c r="AB334" t="str">
        <f t="shared" si="259"/>
        <v/>
      </c>
      <c r="AC334" t="str">
        <f t="shared" si="260"/>
        <v/>
      </c>
      <c r="AD334">
        <f t="shared" si="261"/>
        <v>0</v>
      </c>
      <c r="AE334" t="str">
        <f t="shared" si="262"/>
        <v>H</v>
      </c>
      <c r="AF334">
        <f t="shared" si="263"/>
        <v>1</v>
      </c>
      <c r="AH334">
        <f t="shared" si="264"/>
        <v>1</v>
      </c>
      <c r="AI334" t="str">
        <f t="shared" si="265"/>
        <v/>
      </c>
      <c r="AJ334" t="str">
        <f t="shared" si="266"/>
        <v/>
      </c>
      <c r="AK334" t="str">
        <f t="shared" si="267"/>
        <v/>
      </c>
      <c r="AL334" t="str">
        <f t="shared" si="257"/>
        <v/>
      </c>
      <c r="AM334">
        <f t="shared" si="258"/>
        <v>-1</v>
      </c>
    </row>
    <row r="335" spans="3:39" x14ac:dyDescent="0.35">
      <c r="D335" t="s">
        <v>41</v>
      </c>
      <c r="E335" t="s">
        <v>43</v>
      </c>
      <c r="G335" s="4">
        <v>0.76447008876990352</v>
      </c>
      <c r="H335" s="4">
        <v>0.1698343783440342</v>
      </c>
      <c r="I335" s="4">
        <v>6.5695532886062377E-2</v>
      </c>
      <c r="K335">
        <v>1.19</v>
      </c>
      <c r="L335">
        <v>8.8000000000000007</v>
      </c>
      <c r="M335">
        <v>19</v>
      </c>
      <c r="N335" s="4">
        <v>0.84033613445378152</v>
      </c>
      <c r="O335" s="4">
        <v>0.11363636363636363</v>
      </c>
      <c r="P335" s="4">
        <v>5.2631578947368418E-2</v>
      </c>
      <c r="R335" t="s">
        <v>103</v>
      </c>
      <c r="S335">
        <v>3</v>
      </c>
      <c r="T335">
        <v>2</v>
      </c>
      <c r="V335" t="s">
        <v>103</v>
      </c>
      <c r="W335">
        <v>1</v>
      </c>
      <c r="Z335">
        <v>0</v>
      </c>
      <c r="AB335">
        <f t="shared" si="259"/>
        <v>1</v>
      </c>
      <c r="AC335" t="str">
        <f t="shared" si="260"/>
        <v/>
      </c>
      <c r="AD335" t="str">
        <f t="shared" si="261"/>
        <v/>
      </c>
      <c r="AE335" t="str">
        <f t="shared" si="262"/>
        <v>H</v>
      </c>
      <c r="AF335">
        <f t="shared" si="263"/>
        <v>1</v>
      </c>
      <c r="AH335">
        <f t="shared" si="264"/>
        <v>1</v>
      </c>
      <c r="AI335" t="str">
        <f t="shared" si="265"/>
        <v/>
      </c>
      <c r="AJ335" t="str">
        <f t="shared" si="266"/>
        <v/>
      </c>
      <c r="AK335">
        <f t="shared" si="267"/>
        <v>0.18999999999999995</v>
      </c>
      <c r="AL335" t="str">
        <f t="shared" si="257"/>
        <v/>
      </c>
      <c r="AM335" t="str">
        <f t="shared" si="258"/>
        <v/>
      </c>
    </row>
    <row r="336" spans="3:39" x14ac:dyDescent="0.35">
      <c r="G336" s="4"/>
      <c r="H336" s="4"/>
      <c r="I336" s="4"/>
      <c r="N336" s="4"/>
      <c r="O336" s="4"/>
      <c r="P336" s="4"/>
      <c r="AB336" s="4"/>
      <c r="AC336" s="4"/>
      <c r="AD336" s="4"/>
    </row>
    <row r="341" spans="3:39" x14ac:dyDescent="0.35">
      <c r="C341" t="s">
        <v>146</v>
      </c>
      <c r="H341" s="21" t="s">
        <v>107</v>
      </c>
      <c r="K341" s="22" t="s">
        <v>106</v>
      </c>
      <c r="N341" t="s">
        <v>108</v>
      </c>
    </row>
    <row r="342" spans="3:39" x14ac:dyDescent="0.35">
      <c r="G342" t="s">
        <v>103</v>
      </c>
      <c r="H342" t="s">
        <v>104</v>
      </c>
      <c r="I342" t="s">
        <v>105</v>
      </c>
      <c r="K342" t="s">
        <v>103</v>
      </c>
      <c r="L342" t="s">
        <v>104</v>
      </c>
      <c r="M342" t="s">
        <v>105</v>
      </c>
      <c r="N342" t="s">
        <v>103</v>
      </c>
      <c r="O342" t="s">
        <v>104</v>
      </c>
      <c r="P342" t="s">
        <v>105</v>
      </c>
      <c r="R342" t="s">
        <v>110</v>
      </c>
      <c r="V342" t="s">
        <v>112</v>
      </c>
      <c r="W342" t="s">
        <v>111</v>
      </c>
      <c r="X342" s="28" t="s">
        <v>114</v>
      </c>
      <c r="Z342" t="s">
        <v>113</v>
      </c>
      <c r="AA342" s="28" t="s">
        <v>116</v>
      </c>
      <c r="AB342" t="s">
        <v>166</v>
      </c>
      <c r="AC342" t="s">
        <v>167</v>
      </c>
      <c r="AD342" t="s">
        <v>168</v>
      </c>
      <c r="AK342" t="str">
        <f t="shared" ref="AK342:AK389" si="268">IF(AB342=1, K342, IF(AB342=0, -1,""))</f>
        <v/>
      </c>
      <c r="AL342" t="str">
        <f t="shared" ref="AL342:AL389" si="269">IF(AC342=1, L342, IF(AC342=0, -1,""))</f>
        <v/>
      </c>
      <c r="AM342" t="str">
        <f t="shared" ref="AM342:AM389" si="270">IF(AD342=1, M342, IF(AD342=0, -1,""))</f>
        <v/>
      </c>
    </row>
    <row r="343" spans="3:39" x14ac:dyDescent="0.35">
      <c r="D343" t="s">
        <v>50</v>
      </c>
      <c r="E343" t="s">
        <v>25</v>
      </c>
      <c r="G343" s="4">
        <v>8.5789024828723651E-2</v>
      </c>
      <c r="H343" s="4">
        <v>0.17226369253924817</v>
      </c>
      <c r="I343" s="4">
        <v>0.74194728263202803</v>
      </c>
      <c r="K343">
        <v>5.0999999999999996</v>
      </c>
      <c r="L343">
        <v>4.16</v>
      </c>
      <c r="M343">
        <v>1.78</v>
      </c>
      <c r="N343" s="4">
        <v>0.19607843137254904</v>
      </c>
      <c r="O343" s="4">
        <v>0.24038461538461536</v>
      </c>
      <c r="P343" s="4">
        <v>0.5617977528089888</v>
      </c>
      <c r="R343" t="s">
        <v>103</v>
      </c>
      <c r="S343">
        <v>1</v>
      </c>
      <c r="T343">
        <v>0</v>
      </c>
      <c r="V343" t="s">
        <v>105</v>
      </c>
      <c r="W343">
        <v>0</v>
      </c>
      <c r="X343" s="28">
        <v>0.2</v>
      </c>
      <c r="Z343" t="s">
        <v>117</v>
      </c>
      <c r="AA343" s="28">
        <v>0.5</v>
      </c>
      <c r="AB343" t="str">
        <f>IF(V343=$G$5, IF(W343=$R$2, 1,0), "")</f>
        <v/>
      </c>
      <c r="AC343" t="str">
        <f>IF(V343=$H$5, IF(W343=$R$2, 1,0), "")</f>
        <v/>
      </c>
      <c r="AD343">
        <f>IF(V343=$I$5, IF(W343=$R$2, 1,0), "")</f>
        <v>0</v>
      </c>
      <c r="AE343" t="str">
        <f>IF(MAX(N343:P343)=N343,$N$5,IF(MAX(N343:P343)=O343,$O$5,$P$5))</f>
        <v>A</v>
      </c>
      <c r="AF343">
        <f>IF(AE343=R343, $R$2,$R$3)</f>
        <v>0</v>
      </c>
      <c r="AG343" s="28">
        <f>COUNTIF(AF343:AF352, $R$2)/COUNT(AF343:AF352)</f>
        <v>0.1</v>
      </c>
      <c r="AH343" t="str">
        <f>IF(AE343=$G$5, IF(AF343=$R$2, 1,0), "")</f>
        <v/>
      </c>
      <c r="AI343" t="str">
        <f>IF(AE343=$H$5, IF(AF343=$R$2, 1,0), "")</f>
        <v/>
      </c>
      <c r="AJ343">
        <f>IF(AE343=$I$5, IF(AF343=$R$2, 1,0), "")</f>
        <v>0</v>
      </c>
      <c r="AK343" t="str">
        <f>IF(AB343=1, K343-1, IF(AB343=0, -1,""))</f>
        <v/>
      </c>
      <c r="AL343" t="str">
        <f t="shared" ref="AL343:AL352" si="271">IF(AC343=1, L343-1, IF(AC343=0, -1,""))</f>
        <v/>
      </c>
      <c r="AM343">
        <f t="shared" ref="AM343:AM352" si="272">IF(AD343=1, M343-1, IF(AD343=0, -1,""))</f>
        <v>-1</v>
      </c>
    </row>
    <row r="344" spans="3:39" x14ac:dyDescent="0.35">
      <c r="D344" t="s">
        <v>45</v>
      </c>
      <c r="E344" t="s">
        <v>30</v>
      </c>
      <c r="G344" s="4">
        <v>0.42649411733798764</v>
      </c>
      <c r="H344" s="4">
        <v>0.34936679571343321</v>
      </c>
      <c r="I344" s="4">
        <v>0.22413908694857895</v>
      </c>
      <c r="K344">
        <v>2.15</v>
      </c>
      <c r="L344">
        <v>3.34</v>
      </c>
      <c r="M344">
        <v>4.1500000000000004</v>
      </c>
      <c r="N344" s="4">
        <v>0.46511627906976744</v>
      </c>
      <c r="O344" s="4">
        <v>0.29940119760479045</v>
      </c>
      <c r="P344" s="4">
        <v>0.24096385542168672</v>
      </c>
      <c r="R344" t="s">
        <v>105</v>
      </c>
      <c r="S344">
        <v>0</v>
      </c>
      <c r="T344">
        <v>1</v>
      </c>
      <c r="V344" t="s">
        <v>103</v>
      </c>
      <c r="W344">
        <v>0</v>
      </c>
      <c r="Z344" t="s">
        <v>117</v>
      </c>
      <c r="AA344" s="29" t="s">
        <v>117</v>
      </c>
      <c r="AB344">
        <f t="shared" ref="AB344:AB352" si="273">IF(V344=$G$5, IF(W344=$R$2, 1,0), "")</f>
        <v>0</v>
      </c>
      <c r="AC344" t="str">
        <f t="shared" ref="AC344:AC352" si="274">IF(V344=$H$5, IF(W344=$R$2, 1,0), "")</f>
        <v/>
      </c>
      <c r="AD344" t="str">
        <f t="shared" ref="AD344:AD352" si="275">IF(V344=$I$5, IF(W344=$R$2, 1,0), "")</f>
        <v/>
      </c>
      <c r="AE344" t="str">
        <f t="shared" ref="AE344:AE352" si="276">IF(MAX(N344:P344)=N344,$N$5,IF(MAX(N344:P344)=O344,$O$5,$P$5))</f>
        <v>H</v>
      </c>
      <c r="AF344">
        <f t="shared" ref="AF344:AF352" si="277">IF(AE344=R344, $R$2,$R$3)</f>
        <v>0</v>
      </c>
      <c r="AH344">
        <f t="shared" ref="AH344:AH352" si="278">IF(AE344=$G$5, IF(AF344=$R$2, 1,0), "")</f>
        <v>0</v>
      </c>
      <c r="AI344" t="str">
        <f t="shared" ref="AI344:AI352" si="279">IF(AE344=$H$5, IF(AF344=$R$2, 1,0), "")</f>
        <v/>
      </c>
      <c r="AJ344" t="str">
        <f t="shared" ref="AJ344:AJ352" si="280">IF(AE344=$I$5, IF(AF344=$R$2, 1,0), "")</f>
        <v/>
      </c>
      <c r="AK344">
        <f t="shared" ref="AK344:AK352" si="281">IF(AB344=1, K344-1, IF(AB344=0, -1,""))</f>
        <v>-1</v>
      </c>
      <c r="AL344" t="str">
        <f t="shared" si="271"/>
        <v/>
      </c>
      <c r="AM344" t="str">
        <f t="shared" si="272"/>
        <v/>
      </c>
    </row>
    <row r="345" spans="3:39" x14ac:dyDescent="0.35">
      <c r="D345" t="s">
        <v>46</v>
      </c>
      <c r="E345" t="s">
        <v>32</v>
      </c>
      <c r="G345" s="4">
        <v>0.22099817539144326</v>
      </c>
      <c r="H345" s="4">
        <v>0.34567374172968734</v>
      </c>
      <c r="I345" s="4">
        <v>0.43332808287886926</v>
      </c>
      <c r="K345">
        <v>2.8</v>
      </c>
      <c r="L345">
        <v>3.24</v>
      </c>
      <c r="M345">
        <v>3</v>
      </c>
      <c r="N345" s="4">
        <v>0.35714285714285715</v>
      </c>
      <c r="O345" s="4">
        <v>0.30864197530864196</v>
      </c>
      <c r="P345" s="4">
        <v>0.33333333333333331</v>
      </c>
      <c r="R345" t="s">
        <v>104</v>
      </c>
      <c r="S345">
        <v>0</v>
      </c>
      <c r="T345">
        <v>0</v>
      </c>
      <c r="V345" t="s">
        <v>105</v>
      </c>
      <c r="W345">
        <v>0</v>
      </c>
      <c r="Z345" t="s">
        <v>117</v>
      </c>
      <c r="AB345" t="str">
        <f t="shared" si="273"/>
        <v/>
      </c>
      <c r="AC345" t="str">
        <f t="shared" si="274"/>
        <v/>
      </c>
      <c r="AD345">
        <f t="shared" si="275"/>
        <v>0</v>
      </c>
      <c r="AE345" t="str">
        <f t="shared" si="276"/>
        <v>H</v>
      </c>
      <c r="AF345">
        <f t="shared" si="277"/>
        <v>0</v>
      </c>
      <c r="AH345">
        <f t="shared" si="278"/>
        <v>0</v>
      </c>
      <c r="AI345" t="str">
        <f t="shared" si="279"/>
        <v/>
      </c>
      <c r="AJ345" t="str">
        <f t="shared" si="280"/>
        <v/>
      </c>
      <c r="AK345" t="str">
        <f t="shared" si="281"/>
        <v/>
      </c>
      <c r="AL345" t="str">
        <f t="shared" si="271"/>
        <v/>
      </c>
      <c r="AM345">
        <f t="shared" si="272"/>
        <v>-1</v>
      </c>
    </row>
    <row r="346" spans="3:39" x14ac:dyDescent="0.35">
      <c r="D346" t="s">
        <v>38</v>
      </c>
      <c r="E346" t="s">
        <v>42</v>
      </c>
      <c r="G346" s="4">
        <v>0.19343755670439558</v>
      </c>
      <c r="H346" s="4">
        <v>0.2642243597031429</v>
      </c>
      <c r="I346" s="4">
        <v>0.54233808359246183</v>
      </c>
      <c r="K346">
        <v>5.0999999999999996</v>
      </c>
      <c r="L346">
        <v>4.05</v>
      </c>
      <c r="M346">
        <v>1.83</v>
      </c>
      <c r="N346" s="4">
        <v>0.19607843137254904</v>
      </c>
      <c r="O346" s="4">
        <v>0.24691358024691359</v>
      </c>
      <c r="P346" s="4">
        <v>0.54644808743169393</v>
      </c>
      <c r="R346" t="s">
        <v>104</v>
      </c>
      <c r="S346">
        <v>2</v>
      </c>
      <c r="T346">
        <v>2</v>
      </c>
      <c r="V346" t="s">
        <v>105</v>
      </c>
      <c r="W346">
        <v>0</v>
      </c>
      <c r="Z346" t="s">
        <v>117</v>
      </c>
      <c r="AB346" t="str">
        <f t="shared" si="273"/>
        <v/>
      </c>
      <c r="AC346" t="str">
        <f t="shared" si="274"/>
        <v/>
      </c>
      <c r="AD346">
        <f t="shared" si="275"/>
        <v>0</v>
      </c>
      <c r="AE346" t="str">
        <f t="shared" si="276"/>
        <v>A</v>
      </c>
      <c r="AF346">
        <f t="shared" si="277"/>
        <v>0</v>
      </c>
      <c r="AH346" t="str">
        <f t="shared" si="278"/>
        <v/>
      </c>
      <c r="AI346" t="str">
        <f t="shared" si="279"/>
        <v/>
      </c>
      <c r="AJ346">
        <f t="shared" si="280"/>
        <v>0</v>
      </c>
      <c r="AK346" t="str">
        <f t="shared" si="281"/>
        <v/>
      </c>
      <c r="AL346" t="str">
        <f t="shared" si="271"/>
        <v/>
      </c>
      <c r="AM346">
        <f t="shared" si="272"/>
        <v>-1</v>
      </c>
    </row>
    <row r="347" spans="3:39" x14ac:dyDescent="0.35">
      <c r="D347" t="s">
        <v>43</v>
      </c>
      <c r="E347" t="s">
        <v>34</v>
      </c>
      <c r="G347" s="4">
        <v>0.22063567763610994</v>
      </c>
      <c r="H347" s="4">
        <v>0.25841026513707094</v>
      </c>
      <c r="I347" s="4">
        <v>0.52095405722681931</v>
      </c>
      <c r="K347">
        <v>2.8</v>
      </c>
      <c r="L347">
        <v>3.65</v>
      </c>
      <c r="M347">
        <v>2.64</v>
      </c>
      <c r="N347" s="4">
        <v>0.35714285714285715</v>
      </c>
      <c r="O347" s="4">
        <v>0.27397260273972601</v>
      </c>
      <c r="P347" s="4">
        <v>0.37878787878787878</v>
      </c>
      <c r="R347" t="s">
        <v>103</v>
      </c>
      <c r="S347">
        <v>3</v>
      </c>
      <c r="T347">
        <v>1</v>
      </c>
      <c r="V347" t="s">
        <v>105</v>
      </c>
      <c r="W347">
        <v>0</v>
      </c>
      <c r="Z347" t="s">
        <v>117</v>
      </c>
      <c r="AB347" t="str">
        <f t="shared" si="273"/>
        <v/>
      </c>
      <c r="AC347" t="str">
        <f t="shared" si="274"/>
        <v/>
      </c>
      <c r="AD347">
        <f t="shared" si="275"/>
        <v>0</v>
      </c>
      <c r="AE347" t="str">
        <f t="shared" si="276"/>
        <v>A</v>
      </c>
      <c r="AF347">
        <f t="shared" si="277"/>
        <v>0</v>
      </c>
      <c r="AH347" t="str">
        <f t="shared" si="278"/>
        <v/>
      </c>
      <c r="AI347" t="str">
        <f t="shared" si="279"/>
        <v/>
      </c>
      <c r="AJ347">
        <f t="shared" si="280"/>
        <v>0</v>
      </c>
      <c r="AK347" t="str">
        <f t="shared" si="281"/>
        <v/>
      </c>
      <c r="AL347" t="str">
        <f t="shared" si="271"/>
        <v/>
      </c>
      <c r="AM347">
        <f t="shared" si="272"/>
        <v>-1</v>
      </c>
    </row>
    <row r="348" spans="3:39" x14ac:dyDescent="0.35">
      <c r="D348" t="s">
        <v>35</v>
      </c>
      <c r="E348" t="s">
        <v>41</v>
      </c>
      <c r="G348" s="4">
        <v>0.10375262658705775</v>
      </c>
      <c r="H348" s="4">
        <v>0.22799156104888282</v>
      </c>
      <c r="I348" s="4">
        <v>0.66825581236405951</v>
      </c>
      <c r="K348">
        <v>8.75</v>
      </c>
      <c r="L348">
        <v>5.0999999999999996</v>
      </c>
      <c r="M348">
        <v>1.45</v>
      </c>
      <c r="N348" s="4">
        <v>0.11428571428571428</v>
      </c>
      <c r="O348" s="4">
        <v>0.19607843137254904</v>
      </c>
      <c r="P348" s="4">
        <v>0.68965517241379315</v>
      </c>
      <c r="R348" t="s">
        <v>103</v>
      </c>
      <c r="S348">
        <v>3</v>
      </c>
      <c r="T348">
        <v>0</v>
      </c>
      <c r="V348" t="s">
        <v>105</v>
      </c>
      <c r="W348">
        <v>0</v>
      </c>
      <c r="Z348" t="s">
        <v>117</v>
      </c>
      <c r="AB348" t="str">
        <f t="shared" si="273"/>
        <v/>
      </c>
      <c r="AC348" t="str">
        <f t="shared" si="274"/>
        <v/>
      </c>
      <c r="AD348">
        <f t="shared" si="275"/>
        <v>0</v>
      </c>
      <c r="AE348" t="str">
        <f t="shared" si="276"/>
        <v>A</v>
      </c>
      <c r="AF348">
        <f t="shared" si="277"/>
        <v>0</v>
      </c>
      <c r="AH348" t="str">
        <f t="shared" si="278"/>
        <v/>
      </c>
      <c r="AI348" t="str">
        <f t="shared" si="279"/>
        <v/>
      </c>
      <c r="AJ348">
        <f t="shared" si="280"/>
        <v>0</v>
      </c>
      <c r="AK348" t="str">
        <f t="shared" si="281"/>
        <v/>
      </c>
      <c r="AL348" t="str">
        <f t="shared" si="271"/>
        <v/>
      </c>
      <c r="AM348">
        <f t="shared" si="272"/>
        <v>-1</v>
      </c>
    </row>
    <row r="349" spans="3:39" x14ac:dyDescent="0.35">
      <c r="D349" t="s">
        <v>29</v>
      </c>
      <c r="E349" t="s">
        <v>49</v>
      </c>
      <c r="G349" s="4">
        <v>0.29934856919737035</v>
      </c>
      <c r="H349" s="4">
        <v>0.33428608442341673</v>
      </c>
      <c r="I349" s="4">
        <v>0.3663653463792127</v>
      </c>
      <c r="K349">
        <v>2.5499999999999998</v>
      </c>
      <c r="L349">
        <v>3.3</v>
      </c>
      <c r="M349">
        <v>3.21</v>
      </c>
      <c r="N349" s="4">
        <v>0.39215686274509809</v>
      </c>
      <c r="O349" s="4">
        <v>0.30303030303030304</v>
      </c>
      <c r="P349" s="4">
        <v>0.3115264797507788</v>
      </c>
      <c r="R349" t="s">
        <v>105</v>
      </c>
      <c r="S349">
        <v>2</v>
      </c>
      <c r="T349">
        <v>3</v>
      </c>
      <c r="V349" t="s">
        <v>105</v>
      </c>
      <c r="W349">
        <v>1</v>
      </c>
      <c r="Z349">
        <v>1</v>
      </c>
      <c r="AB349" t="str">
        <f t="shared" si="273"/>
        <v/>
      </c>
      <c r="AC349" t="str">
        <f t="shared" si="274"/>
        <v/>
      </c>
      <c r="AD349">
        <f t="shared" si="275"/>
        <v>1</v>
      </c>
      <c r="AE349" t="str">
        <f t="shared" si="276"/>
        <v>H</v>
      </c>
      <c r="AF349">
        <f t="shared" si="277"/>
        <v>0</v>
      </c>
      <c r="AH349">
        <f t="shared" si="278"/>
        <v>0</v>
      </c>
      <c r="AI349" t="str">
        <f t="shared" si="279"/>
        <v/>
      </c>
      <c r="AJ349" t="str">
        <f t="shared" si="280"/>
        <v/>
      </c>
      <c r="AK349" t="str">
        <f t="shared" si="281"/>
        <v/>
      </c>
      <c r="AL349" t="str">
        <f t="shared" si="271"/>
        <v/>
      </c>
      <c r="AM349">
        <f t="shared" si="272"/>
        <v>2.21</v>
      </c>
    </row>
    <row r="350" spans="3:39" x14ac:dyDescent="0.35">
      <c r="D350" t="s">
        <v>28</v>
      </c>
      <c r="E350" t="s">
        <v>39</v>
      </c>
      <c r="G350" s="4">
        <v>0.30045409121751754</v>
      </c>
      <c r="H350" s="4">
        <v>0.34333444198817303</v>
      </c>
      <c r="I350" s="4">
        <v>0.35621146679430932</v>
      </c>
      <c r="K350">
        <v>2.72</v>
      </c>
      <c r="L350">
        <v>3.45</v>
      </c>
      <c r="M350">
        <v>2.95</v>
      </c>
      <c r="N350" s="4">
        <v>0.36764705882352938</v>
      </c>
      <c r="O350" s="4">
        <v>0.28985507246376813</v>
      </c>
      <c r="P350" s="4">
        <v>0.33898305084745761</v>
      </c>
      <c r="R350" t="s">
        <v>104</v>
      </c>
      <c r="S350">
        <v>1</v>
      </c>
      <c r="T350">
        <v>1</v>
      </c>
      <c r="V350" t="s">
        <v>105</v>
      </c>
      <c r="W350">
        <v>0</v>
      </c>
      <c r="Z350" t="s">
        <v>117</v>
      </c>
      <c r="AB350" t="str">
        <f t="shared" si="273"/>
        <v/>
      </c>
      <c r="AC350" t="str">
        <f t="shared" si="274"/>
        <v/>
      </c>
      <c r="AD350">
        <f t="shared" si="275"/>
        <v>0</v>
      </c>
      <c r="AE350" t="str">
        <f t="shared" si="276"/>
        <v>H</v>
      </c>
      <c r="AF350">
        <f t="shared" si="277"/>
        <v>0</v>
      </c>
      <c r="AH350">
        <f t="shared" si="278"/>
        <v>0</v>
      </c>
      <c r="AI350" t="str">
        <f t="shared" si="279"/>
        <v/>
      </c>
      <c r="AJ350" t="str">
        <f t="shared" si="280"/>
        <v/>
      </c>
      <c r="AK350" t="str">
        <f t="shared" si="281"/>
        <v/>
      </c>
      <c r="AL350" t="str">
        <f t="shared" si="271"/>
        <v/>
      </c>
      <c r="AM350">
        <f t="shared" si="272"/>
        <v>-1</v>
      </c>
    </row>
    <row r="351" spans="3:39" x14ac:dyDescent="0.35">
      <c r="D351" t="s">
        <v>41</v>
      </c>
      <c r="E351" t="s">
        <v>38</v>
      </c>
      <c r="G351" s="4">
        <v>0.72360528147995185</v>
      </c>
      <c r="H351" s="4">
        <v>0.19273638364125006</v>
      </c>
      <c r="I351" s="4">
        <v>8.3658334878798174E-2</v>
      </c>
      <c r="K351">
        <v>1.29</v>
      </c>
      <c r="L351">
        <v>6.6</v>
      </c>
      <c r="M351">
        <v>13.45</v>
      </c>
      <c r="N351" s="4">
        <v>0.77519379844961234</v>
      </c>
      <c r="O351" s="4">
        <v>0.15151515151515152</v>
      </c>
      <c r="P351" s="4">
        <v>7.434944237918216E-2</v>
      </c>
      <c r="R351" t="s">
        <v>103</v>
      </c>
      <c r="S351">
        <v>2</v>
      </c>
      <c r="T351">
        <v>1</v>
      </c>
      <c r="V351" t="s">
        <v>103</v>
      </c>
      <c r="W351">
        <v>1</v>
      </c>
      <c r="Z351">
        <v>0</v>
      </c>
      <c r="AB351">
        <f t="shared" si="273"/>
        <v>1</v>
      </c>
      <c r="AC351" t="str">
        <f t="shared" si="274"/>
        <v/>
      </c>
      <c r="AD351" t="str">
        <f t="shared" si="275"/>
        <v/>
      </c>
      <c r="AE351" t="str">
        <f t="shared" si="276"/>
        <v>H</v>
      </c>
      <c r="AF351">
        <f t="shared" si="277"/>
        <v>1</v>
      </c>
      <c r="AH351">
        <f t="shared" si="278"/>
        <v>1</v>
      </c>
      <c r="AI351" t="str">
        <f t="shared" si="279"/>
        <v/>
      </c>
      <c r="AJ351" t="str">
        <f t="shared" si="280"/>
        <v/>
      </c>
      <c r="AK351">
        <f t="shared" si="281"/>
        <v>0.29000000000000004</v>
      </c>
      <c r="AL351" t="str">
        <f t="shared" si="271"/>
        <v/>
      </c>
      <c r="AM351" t="str">
        <f t="shared" si="272"/>
        <v/>
      </c>
    </row>
    <row r="352" spans="3:39" x14ac:dyDescent="0.35">
      <c r="D352" t="s">
        <v>49</v>
      </c>
      <c r="E352" t="s">
        <v>45</v>
      </c>
      <c r="G352" s="4">
        <v>0.42817426175477891</v>
      </c>
      <c r="H352" s="4">
        <v>0.31265447372962724</v>
      </c>
      <c r="I352" s="4">
        <v>0.25917126451559364</v>
      </c>
      <c r="K352">
        <v>1.7</v>
      </c>
      <c r="L352">
        <v>4.1500000000000004</v>
      </c>
      <c r="M352">
        <v>6</v>
      </c>
      <c r="N352" s="4">
        <v>0.58823529411764708</v>
      </c>
      <c r="O352" s="4">
        <v>0.24096385542168672</v>
      </c>
      <c r="P352" s="4">
        <v>0.16666666666666666</v>
      </c>
      <c r="R352" t="s">
        <v>104</v>
      </c>
      <c r="S352">
        <v>0</v>
      </c>
      <c r="T352">
        <v>0</v>
      </c>
      <c r="V352" t="s">
        <v>103</v>
      </c>
      <c r="W352">
        <v>0</v>
      </c>
      <c r="Z352" t="s">
        <v>117</v>
      </c>
      <c r="AB352">
        <f t="shared" si="273"/>
        <v>0</v>
      </c>
      <c r="AC352" t="str">
        <f t="shared" si="274"/>
        <v/>
      </c>
      <c r="AD352" t="str">
        <f t="shared" si="275"/>
        <v/>
      </c>
      <c r="AE352" t="str">
        <f t="shared" si="276"/>
        <v>H</v>
      </c>
      <c r="AF352">
        <f t="shared" si="277"/>
        <v>0</v>
      </c>
      <c r="AH352">
        <f t="shared" si="278"/>
        <v>0</v>
      </c>
      <c r="AI352" t="str">
        <f t="shared" si="279"/>
        <v/>
      </c>
      <c r="AJ352" t="str">
        <f t="shared" si="280"/>
        <v/>
      </c>
      <c r="AK352">
        <f t="shared" si="281"/>
        <v>-1</v>
      </c>
      <c r="AL352" t="str">
        <f t="shared" si="271"/>
        <v/>
      </c>
      <c r="AM352" t="str">
        <f t="shared" si="272"/>
        <v/>
      </c>
    </row>
    <row r="353" spans="2:39" x14ac:dyDescent="0.35">
      <c r="G353" s="4"/>
      <c r="H353" s="4"/>
      <c r="I353" s="4"/>
      <c r="N353" s="4"/>
      <c r="O353" s="4"/>
      <c r="P353" s="4"/>
      <c r="AB353" s="4"/>
      <c r="AC353" s="4"/>
      <c r="AD353" s="4"/>
    </row>
    <row r="356" spans="2:39" x14ac:dyDescent="0.35">
      <c r="B356" s="30" t="s">
        <v>157</v>
      </c>
      <c r="C356" t="s">
        <v>147</v>
      </c>
      <c r="H356" s="21" t="s">
        <v>107</v>
      </c>
      <c r="K356" s="22" t="s">
        <v>106</v>
      </c>
      <c r="N356" t="s">
        <v>108</v>
      </c>
    </row>
    <row r="357" spans="2:39" x14ac:dyDescent="0.35">
      <c r="G357" t="s">
        <v>103</v>
      </c>
      <c r="H357" t="s">
        <v>104</v>
      </c>
      <c r="I357" t="s">
        <v>105</v>
      </c>
      <c r="K357" t="s">
        <v>103</v>
      </c>
      <c r="L357" t="s">
        <v>104</v>
      </c>
      <c r="M357" t="s">
        <v>105</v>
      </c>
      <c r="N357" t="s">
        <v>103</v>
      </c>
      <c r="O357" t="s">
        <v>104</v>
      </c>
      <c r="P357" t="s">
        <v>105</v>
      </c>
      <c r="R357" t="s">
        <v>110</v>
      </c>
      <c r="V357" t="s">
        <v>112</v>
      </c>
      <c r="W357" t="s">
        <v>111</v>
      </c>
      <c r="X357" s="28" t="s">
        <v>114</v>
      </c>
      <c r="Z357" t="s">
        <v>113</v>
      </c>
      <c r="AA357" s="28" t="s">
        <v>116</v>
      </c>
      <c r="AB357" t="s">
        <v>166</v>
      </c>
      <c r="AC357" t="s">
        <v>167</v>
      </c>
      <c r="AD357" t="s">
        <v>168</v>
      </c>
      <c r="AK357" t="str">
        <f t="shared" si="268"/>
        <v/>
      </c>
      <c r="AL357" t="str">
        <f t="shared" si="269"/>
        <v/>
      </c>
      <c r="AM357" t="str">
        <f t="shared" si="270"/>
        <v/>
      </c>
    </row>
    <row r="358" spans="2:39" x14ac:dyDescent="0.35">
      <c r="D358" t="s">
        <v>34</v>
      </c>
      <c r="E358" t="s">
        <v>46</v>
      </c>
      <c r="G358" s="4">
        <v>0.40778307851570489</v>
      </c>
      <c r="H358" s="4">
        <v>0.32920600227267927</v>
      </c>
      <c r="I358" s="4">
        <v>0.26301091921161585</v>
      </c>
      <c r="K358">
        <v>1.74</v>
      </c>
      <c r="L358">
        <v>4.17</v>
      </c>
      <c r="M358">
        <v>5.6</v>
      </c>
      <c r="N358" s="4">
        <v>0.57471264367816088</v>
      </c>
      <c r="O358" s="4">
        <v>0.23980815347721823</v>
      </c>
      <c r="P358" s="4">
        <v>0.17857142857142858</v>
      </c>
      <c r="R358" t="s">
        <v>105</v>
      </c>
      <c r="S358">
        <v>0</v>
      </c>
      <c r="T358">
        <v>1</v>
      </c>
      <c r="V358" t="s">
        <v>103</v>
      </c>
      <c r="W358">
        <v>0</v>
      </c>
      <c r="X358" s="28">
        <v>0.5</v>
      </c>
      <c r="Z358" t="s">
        <v>117</v>
      </c>
      <c r="AA358" s="28">
        <v>0</v>
      </c>
      <c r="AB358">
        <f>IF(V358=$G$5, IF(W358=$R$2, 1,0), "")</f>
        <v>0</v>
      </c>
      <c r="AC358" t="str">
        <f>IF(V358=$H$5, IF(W358=$R$2, 1,0), "")</f>
        <v/>
      </c>
      <c r="AD358" t="str">
        <f>IF(V358=$I$5, IF(W358=$R$2, 1,0), "")</f>
        <v/>
      </c>
      <c r="AE358" t="str">
        <f>IF(MAX(N358:P358)=N358,$N$5,IF(MAX(N358:P358)=O358,$O$5,$P$5))</f>
        <v>H</v>
      </c>
      <c r="AF358">
        <f>IF(AE358=R358, $R$2,$R$3)</f>
        <v>0</v>
      </c>
      <c r="AG358" s="28">
        <f>COUNTIF(AF358:AF367, $R$2)/COUNT(AF358:AF367)</f>
        <v>0.6</v>
      </c>
      <c r="AH358">
        <f>IF(AE358=$G$5, IF(AF358=$R$2, 1,0), "")</f>
        <v>0</v>
      </c>
      <c r="AI358" t="str">
        <f>IF(AE358=$H$5, IF(AF358=$R$2, 1,0), "")</f>
        <v/>
      </c>
      <c r="AJ358" t="str">
        <f>IF(AE358=$I$5, IF(AF358=$R$2, 1,0), "")</f>
        <v/>
      </c>
      <c r="AK358">
        <f>IF(AB358=1, K358-1, IF(AB358=0, -1,""))</f>
        <v>-1</v>
      </c>
      <c r="AL358" t="str">
        <f t="shared" ref="AL358:AL367" si="282">IF(AC358=1, L358-1, IF(AC358=0, -1,""))</f>
        <v/>
      </c>
      <c r="AM358" t="str">
        <f t="shared" ref="AM358:AM367" si="283">IF(AD358=1, M358-1, IF(AD358=0, -1,""))</f>
        <v/>
      </c>
    </row>
    <row r="359" spans="2:39" x14ac:dyDescent="0.35">
      <c r="D359" t="s">
        <v>51</v>
      </c>
      <c r="E359" t="s">
        <v>50</v>
      </c>
      <c r="G359" s="4">
        <v>0.48958865898934689</v>
      </c>
      <c r="H359" s="4">
        <v>0.33131634560740025</v>
      </c>
      <c r="I359" s="4">
        <v>0.17909499540325299</v>
      </c>
      <c r="K359">
        <v>1.7</v>
      </c>
      <c r="L359">
        <v>3.9</v>
      </c>
      <c r="M359">
        <v>6.05</v>
      </c>
      <c r="N359" s="4">
        <v>0.58823529411764708</v>
      </c>
      <c r="O359" s="4">
        <v>0.25641025641025644</v>
      </c>
      <c r="P359" s="4">
        <v>0.16528925619834711</v>
      </c>
      <c r="R359" t="s">
        <v>103</v>
      </c>
      <c r="S359">
        <v>1</v>
      </c>
      <c r="T359">
        <v>0</v>
      </c>
      <c r="V359" t="s">
        <v>103</v>
      </c>
      <c r="W359">
        <v>1</v>
      </c>
      <c r="Z359">
        <v>0</v>
      </c>
      <c r="AA359" s="29" t="s">
        <v>117</v>
      </c>
      <c r="AB359">
        <f t="shared" ref="AB359:AB367" si="284">IF(V359=$G$5, IF(W359=$R$2, 1,0), "")</f>
        <v>1</v>
      </c>
      <c r="AC359" t="str">
        <f t="shared" ref="AC359:AC367" si="285">IF(V359=$H$5, IF(W359=$R$2, 1,0), "")</f>
        <v/>
      </c>
      <c r="AD359" t="str">
        <f t="shared" ref="AD359:AD367" si="286">IF(V359=$I$5, IF(W359=$R$2, 1,0), "")</f>
        <v/>
      </c>
      <c r="AE359" t="str">
        <f t="shared" ref="AE359:AE367" si="287">IF(MAX(N359:P359)=N359,$N$5,IF(MAX(N359:P359)=O359,$O$5,$P$5))</f>
        <v>H</v>
      </c>
      <c r="AF359">
        <f t="shared" ref="AF359:AF367" si="288">IF(AE359=R359, $R$2,$R$3)</f>
        <v>1</v>
      </c>
      <c r="AH359">
        <f t="shared" ref="AH359:AH367" si="289">IF(AE359=$G$5, IF(AF359=$R$2, 1,0), "")</f>
        <v>1</v>
      </c>
      <c r="AI359" t="str">
        <f t="shared" ref="AI359:AI367" si="290">IF(AE359=$H$5, IF(AF359=$R$2, 1,0), "")</f>
        <v/>
      </c>
      <c r="AJ359" t="str">
        <f t="shared" ref="AJ359:AJ367" si="291">IF(AE359=$I$5, IF(AF359=$R$2, 1,0), "")</f>
        <v/>
      </c>
      <c r="AK359">
        <f t="shared" ref="AK359:AK367" si="292">IF(AB359=1, K359-1, IF(AB359=0, -1,""))</f>
        <v>0.7</v>
      </c>
      <c r="AL359" t="str">
        <f t="shared" si="282"/>
        <v/>
      </c>
      <c r="AM359" t="str">
        <f t="shared" si="283"/>
        <v/>
      </c>
    </row>
    <row r="360" spans="2:39" x14ac:dyDescent="0.35">
      <c r="D360" t="s">
        <v>40</v>
      </c>
      <c r="E360" t="s">
        <v>43</v>
      </c>
      <c r="G360" s="4">
        <v>0.46877855483664682</v>
      </c>
      <c r="H360" s="4">
        <v>0.29171050711243557</v>
      </c>
      <c r="I360" s="4">
        <v>0.23951093805091764</v>
      </c>
      <c r="K360">
        <v>1.62</v>
      </c>
      <c r="L360">
        <v>4.5</v>
      </c>
      <c r="M360">
        <v>6.21</v>
      </c>
      <c r="N360" s="4">
        <v>0.61728395061728392</v>
      </c>
      <c r="O360" s="4">
        <v>0.22222222222222221</v>
      </c>
      <c r="P360" s="4">
        <v>0.1610305958132045</v>
      </c>
      <c r="R360" t="s">
        <v>103</v>
      </c>
      <c r="S360">
        <v>1</v>
      </c>
      <c r="T360">
        <v>0</v>
      </c>
      <c r="V360" t="s">
        <v>103</v>
      </c>
      <c r="W360">
        <v>1</v>
      </c>
      <c r="Z360">
        <v>0</v>
      </c>
      <c r="AB360">
        <f t="shared" si="284"/>
        <v>1</v>
      </c>
      <c r="AC360" t="str">
        <f t="shared" si="285"/>
        <v/>
      </c>
      <c r="AD360" t="str">
        <f t="shared" si="286"/>
        <v/>
      </c>
      <c r="AE360" t="str">
        <f t="shared" si="287"/>
        <v>H</v>
      </c>
      <c r="AF360">
        <f t="shared" si="288"/>
        <v>1</v>
      </c>
      <c r="AH360">
        <f t="shared" si="289"/>
        <v>1</v>
      </c>
      <c r="AI360" t="str">
        <f t="shared" si="290"/>
        <v/>
      </c>
      <c r="AJ360" t="str">
        <f t="shared" si="291"/>
        <v/>
      </c>
      <c r="AK360">
        <f t="shared" si="292"/>
        <v>0.62000000000000011</v>
      </c>
      <c r="AL360" t="str">
        <f t="shared" si="282"/>
        <v/>
      </c>
      <c r="AM360" t="str">
        <f t="shared" si="283"/>
        <v/>
      </c>
    </row>
    <row r="361" spans="2:39" x14ac:dyDescent="0.35">
      <c r="D361" t="s">
        <v>30</v>
      </c>
      <c r="E361" t="s">
        <v>35</v>
      </c>
      <c r="G361" s="4">
        <v>0.33629372051204065</v>
      </c>
      <c r="H361" s="4">
        <v>0.39713187465309596</v>
      </c>
      <c r="I361" s="4">
        <v>0.26657440483486344</v>
      </c>
      <c r="K361">
        <v>2.65</v>
      </c>
      <c r="L361">
        <v>3.26</v>
      </c>
      <c r="M361">
        <v>3.1</v>
      </c>
      <c r="N361" s="4">
        <v>0.37735849056603776</v>
      </c>
      <c r="O361" s="4">
        <v>0.30674846625766872</v>
      </c>
      <c r="P361" s="4">
        <v>0.32258064516129031</v>
      </c>
      <c r="R361" t="s">
        <v>103</v>
      </c>
      <c r="S361">
        <v>1</v>
      </c>
      <c r="T361">
        <v>0</v>
      </c>
      <c r="V361" t="s">
        <v>104</v>
      </c>
      <c r="W361">
        <v>0</v>
      </c>
      <c r="Z361" t="s">
        <v>117</v>
      </c>
      <c r="AB361" t="str">
        <f t="shared" si="284"/>
        <v/>
      </c>
      <c r="AC361">
        <f t="shared" si="285"/>
        <v>0</v>
      </c>
      <c r="AD361" t="str">
        <f t="shared" si="286"/>
        <v/>
      </c>
      <c r="AE361" t="str">
        <f t="shared" si="287"/>
        <v>H</v>
      </c>
      <c r="AF361">
        <f t="shared" si="288"/>
        <v>1</v>
      </c>
      <c r="AH361">
        <f t="shared" si="289"/>
        <v>1</v>
      </c>
      <c r="AI361" t="str">
        <f t="shared" si="290"/>
        <v/>
      </c>
      <c r="AJ361" t="str">
        <f t="shared" si="291"/>
        <v/>
      </c>
      <c r="AK361" t="str">
        <f t="shared" si="292"/>
        <v/>
      </c>
      <c r="AL361">
        <f t="shared" si="282"/>
        <v>-1</v>
      </c>
      <c r="AM361" t="str">
        <f t="shared" si="283"/>
        <v/>
      </c>
    </row>
    <row r="362" spans="2:39" x14ac:dyDescent="0.35">
      <c r="D362" t="s">
        <v>32</v>
      </c>
      <c r="E362" t="s">
        <v>29</v>
      </c>
      <c r="G362" s="4">
        <v>0.31769081100324426</v>
      </c>
      <c r="H362" s="4">
        <v>0.29486697580049076</v>
      </c>
      <c r="I362" s="4">
        <v>0.38744221319626482</v>
      </c>
      <c r="K362">
        <v>2.8</v>
      </c>
      <c r="L362">
        <v>3.4</v>
      </c>
      <c r="M362">
        <v>2.82</v>
      </c>
      <c r="N362" s="4">
        <v>0.35714285714285715</v>
      </c>
      <c r="O362" s="4">
        <v>0.29411764705882354</v>
      </c>
      <c r="P362" s="4">
        <v>0.3546099290780142</v>
      </c>
      <c r="R362" t="s">
        <v>104</v>
      </c>
      <c r="S362">
        <v>1</v>
      </c>
      <c r="T362">
        <v>1</v>
      </c>
      <c r="V362" t="s">
        <v>105</v>
      </c>
      <c r="W362">
        <v>0</v>
      </c>
      <c r="Z362" t="s">
        <v>117</v>
      </c>
      <c r="AB362" t="str">
        <f t="shared" si="284"/>
        <v/>
      </c>
      <c r="AC362" t="str">
        <f t="shared" si="285"/>
        <v/>
      </c>
      <c r="AD362">
        <f t="shared" si="286"/>
        <v>0</v>
      </c>
      <c r="AE362" t="str">
        <f t="shared" si="287"/>
        <v>H</v>
      </c>
      <c r="AF362">
        <f t="shared" si="288"/>
        <v>0</v>
      </c>
      <c r="AH362">
        <f t="shared" si="289"/>
        <v>0</v>
      </c>
      <c r="AI362" t="str">
        <f t="shared" si="290"/>
        <v/>
      </c>
      <c r="AJ362" t="str">
        <f t="shared" si="291"/>
        <v/>
      </c>
      <c r="AK362" t="str">
        <f t="shared" si="292"/>
        <v/>
      </c>
      <c r="AL362" t="str">
        <f t="shared" si="282"/>
        <v/>
      </c>
      <c r="AM362">
        <f t="shared" si="283"/>
        <v>-1</v>
      </c>
    </row>
    <row r="363" spans="2:39" x14ac:dyDescent="0.35">
      <c r="D363" t="s">
        <v>42</v>
      </c>
      <c r="E363" t="s">
        <v>28</v>
      </c>
      <c r="G363" s="4">
        <v>0.45841099593842399</v>
      </c>
      <c r="H363" s="4">
        <v>0.30827591543172678</v>
      </c>
      <c r="I363" s="4">
        <v>0.23331308862984904</v>
      </c>
      <c r="K363">
        <v>1.95</v>
      </c>
      <c r="L363">
        <v>4</v>
      </c>
      <c r="M363">
        <v>4.4000000000000004</v>
      </c>
      <c r="N363" s="4">
        <v>0.51282051282051289</v>
      </c>
      <c r="O363" s="4">
        <v>0.25</v>
      </c>
      <c r="P363" s="4">
        <v>0.22727272727272727</v>
      </c>
      <c r="R363" t="s">
        <v>103</v>
      </c>
      <c r="S363">
        <v>4</v>
      </c>
      <c r="T363">
        <v>0</v>
      </c>
      <c r="V363" t="s">
        <v>103</v>
      </c>
      <c r="W363">
        <v>1</v>
      </c>
      <c r="Z363">
        <v>0</v>
      </c>
      <c r="AB363">
        <f t="shared" si="284"/>
        <v>1</v>
      </c>
      <c r="AC363" t="str">
        <f t="shared" si="285"/>
        <v/>
      </c>
      <c r="AD363" t="str">
        <f t="shared" si="286"/>
        <v/>
      </c>
      <c r="AE363" t="str">
        <f t="shared" si="287"/>
        <v>H</v>
      </c>
      <c r="AF363">
        <f t="shared" si="288"/>
        <v>1</v>
      </c>
      <c r="AH363">
        <f t="shared" si="289"/>
        <v>1</v>
      </c>
      <c r="AI363" t="str">
        <f t="shared" si="290"/>
        <v/>
      </c>
      <c r="AJ363" t="str">
        <f t="shared" si="291"/>
        <v/>
      </c>
      <c r="AK363">
        <f t="shared" si="292"/>
        <v>0.95</v>
      </c>
      <c r="AL363" t="str">
        <f t="shared" si="282"/>
        <v/>
      </c>
      <c r="AM363" t="str">
        <f t="shared" si="283"/>
        <v/>
      </c>
    </row>
    <row r="364" spans="2:39" x14ac:dyDescent="0.35">
      <c r="D364" t="s">
        <v>39</v>
      </c>
      <c r="E364" t="s">
        <v>36</v>
      </c>
      <c r="G364" s="4">
        <v>0.22740849125812182</v>
      </c>
      <c r="H364" s="4">
        <v>0.27704828824984218</v>
      </c>
      <c r="I364" s="4">
        <v>0.49554322049203597</v>
      </c>
      <c r="K364">
        <v>5.5</v>
      </c>
      <c r="L364">
        <v>4.5</v>
      </c>
      <c r="M364">
        <v>1.7</v>
      </c>
      <c r="N364" s="4">
        <v>0.18181818181818182</v>
      </c>
      <c r="O364" s="4">
        <v>0.22222222222222221</v>
      </c>
      <c r="P364" s="4">
        <v>0.58823529411764708</v>
      </c>
      <c r="R364" t="s">
        <v>103</v>
      </c>
      <c r="S364">
        <v>2</v>
      </c>
      <c r="T364">
        <v>0</v>
      </c>
      <c r="V364" t="s">
        <v>105</v>
      </c>
      <c r="W364">
        <v>0</v>
      </c>
      <c r="Z364" t="s">
        <v>117</v>
      </c>
      <c r="AB364" t="str">
        <f t="shared" si="284"/>
        <v/>
      </c>
      <c r="AC364" t="str">
        <f t="shared" si="285"/>
        <v/>
      </c>
      <c r="AD364">
        <f t="shared" si="286"/>
        <v>0</v>
      </c>
      <c r="AE364" t="str">
        <f t="shared" si="287"/>
        <v>A</v>
      </c>
      <c r="AF364">
        <f t="shared" si="288"/>
        <v>0</v>
      </c>
      <c r="AH364" t="str">
        <f t="shared" si="289"/>
        <v/>
      </c>
      <c r="AI364" t="str">
        <f t="shared" si="290"/>
        <v/>
      </c>
      <c r="AJ364">
        <f t="shared" si="291"/>
        <v>0</v>
      </c>
      <c r="AK364" t="str">
        <f t="shared" si="292"/>
        <v/>
      </c>
      <c r="AL364" t="str">
        <f t="shared" si="282"/>
        <v/>
      </c>
      <c r="AM364">
        <f t="shared" si="283"/>
        <v>-1</v>
      </c>
    </row>
    <row r="365" spans="2:39" x14ac:dyDescent="0.35">
      <c r="D365" t="s">
        <v>25</v>
      </c>
      <c r="E365" t="s">
        <v>52</v>
      </c>
      <c r="G365" s="4">
        <v>0.49121169527329689</v>
      </c>
      <c r="H365" s="4">
        <v>0.27732584780550029</v>
      </c>
      <c r="I365" s="4">
        <v>0.23146245692120287</v>
      </c>
      <c r="K365">
        <v>1.42</v>
      </c>
      <c r="L365">
        <v>5.4</v>
      </c>
      <c r="M365">
        <v>9</v>
      </c>
      <c r="N365" s="4">
        <v>0.70422535211267612</v>
      </c>
      <c r="O365" s="4">
        <v>0.18518518518518517</v>
      </c>
      <c r="P365" s="4">
        <v>0.1111111111111111</v>
      </c>
      <c r="R365" t="s">
        <v>103</v>
      </c>
      <c r="S365">
        <v>4</v>
      </c>
      <c r="T365">
        <v>0</v>
      </c>
      <c r="V365" t="s">
        <v>103</v>
      </c>
      <c r="W365">
        <v>1</v>
      </c>
      <c r="Z365">
        <v>0</v>
      </c>
      <c r="AB365">
        <f t="shared" si="284"/>
        <v>1</v>
      </c>
      <c r="AC365" t="str">
        <f t="shared" si="285"/>
        <v/>
      </c>
      <c r="AD365" t="str">
        <f t="shared" si="286"/>
        <v/>
      </c>
      <c r="AE365" t="str">
        <f t="shared" si="287"/>
        <v>H</v>
      </c>
      <c r="AF365">
        <f t="shared" si="288"/>
        <v>1</v>
      </c>
      <c r="AH365">
        <f t="shared" si="289"/>
        <v>1</v>
      </c>
      <c r="AI365" t="str">
        <f t="shared" si="290"/>
        <v/>
      </c>
      <c r="AJ365" t="str">
        <f t="shared" si="291"/>
        <v/>
      </c>
      <c r="AK365">
        <f t="shared" si="292"/>
        <v>0.41999999999999993</v>
      </c>
      <c r="AL365" t="str">
        <f t="shared" si="282"/>
        <v/>
      </c>
      <c r="AM365" t="str">
        <f t="shared" si="283"/>
        <v/>
      </c>
    </row>
    <row r="366" spans="2:39" x14ac:dyDescent="0.35">
      <c r="D366" t="s">
        <v>52</v>
      </c>
      <c r="E366" t="s">
        <v>51</v>
      </c>
      <c r="G366" s="4">
        <v>0.26762692218896655</v>
      </c>
      <c r="H366" s="4">
        <v>0.31230892155060014</v>
      </c>
      <c r="I366" s="4">
        <v>0.42006415626043286</v>
      </c>
      <c r="K366">
        <v>3.48</v>
      </c>
      <c r="L366">
        <v>3.45</v>
      </c>
      <c r="M366">
        <v>2.39</v>
      </c>
      <c r="N366" s="4">
        <v>0.28735632183908044</v>
      </c>
      <c r="O366" s="4">
        <v>0.28985507246376813</v>
      </c>
      <c r="P366" s="4">
        <v>0.41841004184100417</v>
      </c>
      <c r="R366" t="s">
        <v>104</v>
      </c>
      <c r="S366">
        <v>0</v>
      </c>
      <c r="T366">
        <v>0</v>
      </c>
      <c r="V366" t="s">
        <v>105</v>
      </c>
      <c r="W366">
        <v>0</v>
      </c>
      <c r="Z366" t="s">
        <v>117</v>
      </c>
      <c r="AB366" t="str">
        <f t="shared" si="284"/>
        <v/>
      </c>
      <c r="AC366" t="str">
        <f t="shared" si="285"/>
        <v/>
      </c>
      <c r="AD366">
        <f t="shared" si="286"/>
        <v>0</v>
      </c>
      <c r="AE366" t="str">
        <f t="shared" si="287"/>
        <v>A</v>
      </c>
      <c r="AF366">
        <f t="shared" si="288"/>
        <v>0</v>
      </c>
      <c r="AH366" t="str">
        <f t="shared" si="289"/>
        <v/>
      </c>
      <c r="AI366" t="str">
        <f t="shared" si="290"/>
        <v/>
      </c>
      <c r="AJ366">
        <f t="shared" si="291"/>
        <v>0</v>
      </c>
      <c r="AK366" t="str">
        <f t="shared" si="292"/>
        <v/>
      </c>
      <c r="AL366" t="str">
        <f t="shared" si="282"/>
        <v/>
      </c>
      <c r="AM366">
        <f t="shared" si="283"/>
        <v>-1</v>
      </c>
    </row>
    <row r="367" spans="2:39" x14ac:dyDescent="0.35">
      <c r="D367" t="s">
        <v>36</v>
      </c>
      <c r="E367" t="s">
        <v>40</v>
      </c>
      <c r="G367" s="4">
        <v>0.60793913308143555</v>
      </c>
      <c r="H367" s="4">
        <v>0.24974519718795965</v>
      </c>
      <c r="I367" s="4">
        <v>0.14231566973060492</v>
      </c>
      <c r="K367">
        <v>1.4</v>
      </c>
      <c r="L367">
        <v>6.05</v>
      </c>
      <c r="M367">
        <v>9</v>
      </c>
      <c r="N367" s="4">
        <v>0.7142857142857143</v>
      </c>
      <c r="O367" s="4">
        <v>0.16528925619834711</v>
      </c>
      <c r="P367" s="4">
        <v>0.1111111111111111</v>
      </c>
      <c r="R367" t="s">
        <v>103</v>
      </c>
      <c r="S367">
        <v>3</v>
      </c>
      <c r="T367">
        <v>0</v>
      </c>
      <c r="V367" t="s">
        <v>103</v>
      </c>
      <c r="W367">
        <v>1</v>
      </c>
      <c r="Z367">
        <v>0</v>
      </c>
      <c r="AB367">
        <f t="shared" si="284"/>
        <v>1</v>
      </c>
      <c r="AC367" t="str">
        <f t="shared" si="285"/>
        <v/>
      </c>
      <c r="AD367" t="str">
        <f t="shared" si="286"/>
        <v/>
      </c>
      <c r="AE367" t="str">
        <f t="shared" si="287"/>
        <v>H</v>
      </c>
      <c r="AF367">
        <f t="shared" si="288"/>
        <v>1</v>
      </c>
      <c r="AH367">
        <f t="shared" si="289"/>
        <v>1</v>
      </c>
      <c r="AI367" t="str">
        <f t="shared" si="290"/>
        <v/>
      </c>
      <c r="AJ367" t="str">
        <f t="shared" si="291"/>
        <v/>
      </c>
      <c r="AK367">
        <f t="shared" si="292"/>
        <v>0.39999999999999991</v>
      </c>
      <c r="AL367" t="str">
        <f t="shared" si="282"/>
        <v/>
      </c>
      <c r="AM367" t="str">
        <f t="shared" si="283"/>
        <v/>
      </c>
    </row>
    <row r="368" spans="2:39" x14ac:dyDescent="0.35">
      <c r="G368" s="4"/>
      <c r="H368" s="4"/>
      <c r="I368" s="4"/>
      <c r="N368" s="4"/>
      <c r="O368" s="4"/>
      <c r="P368" s="4"/>
      <c r="AB368" s="4"/>
      <c r="AC368" s="4"/>
      <c r="AD368" s="4"/>
    </row>
    <row r="371" spans="3:39" x14ac:dyDescent="0.35">
      <c r="C371" t="s">
        <v>148</v>
      </c>
      <c r="H371" s="21" t="s">
        <v>107</v>
      </c>
      <c r="K371" s="22" t="s">
        <v>106</v>
      </c>
      <c r="N371" t="s">
        <v>108</v>
      </c>
    </row>
    <row r="372" spans="3:39" x14ac:dyDescent="0.35">
      <c r="G372" t="s">
        <v>103</v>
      </c>
      <c r="H372" t="s">
        <v>104</v>
      </c>
      <c r="I372" t="s">
        <v>105</v>
      </c>
      <c r="K372" t="s">
        <v>103</v>
      </c>
      <c r="L372" t="s">
        <v>104</v>
      </c>
      <c r="M372" t="s">
        <v>105</v>
      </c>
      <c r="N372" t="s">
        <v>103</v>
      </c>
      <c r="O372" t="s">
        <v>104</v>
      </c>
      <c r="P372" t="s">
        <v>105</v>
      </c>
      <c r="R372" t="s">
        <v>110</v>
      </c>
      <c r="V372" t="s">
        <v>112</v>
      </c>
      <c r="W372" t="s">
        <v>111</v>
      </c>
      <c r="X372" s="28" t="s">
        <v>114</v>
      </c>
      <c r="Z372" t="s">
        <v>113</v>
      </c>
      <c r="AA372" s="28" t="s">
        <v>116</v>
      </c>
      <c r="AB372" t="s">
        <v>166</v>
      </c>
      <c r="AC372" t="s">
        <v>167</v>
      </c>
      <c r="AD372" t="s">
        <v>168</v>
      </c>
      <c r="AK372" t="str">
        <f t="shared" si="268"/>
        <v/>
      </c>
      <c r="AL372" t="str">
        <f t="shared" si="269"/>
        <v/>
      </c>
      <c r="AM372" t="str">
        <f t="shared" si="270"/>
        <v/>
      </c>
    </row>
    <row r="373" spans="3:39" x14ac:dyDescent="0.35">
      <c r="D373" t="s">
        <v>50</v>
      </c>
      <c r="E373" t="s">
        <v>34</v>
      </c>
      <c r="G373" s="4">
        <v>0.17659625157380909</v>
      </c>
      <c r="H373" s="4">
        <v>0.24922068401346514</v>
      </c>
      <c r="I373" s="4">
        <v>0.57418306441272549</v>
      </c>
      <c r="K373">
        <v>3.2</v>
      </c>
      <c r="L373">
        <v>3.65</v>
      </c>
      <c r="M373">
        <v>2.64</v>
      </c>
      <c r="N373" s="4">
        <v>0.3125</v>
      </c>
      <c r="O373" s="4">
        <v>0.27397260273972601</v>
      </c>
      <c r="P373" s="4">
        <v>0.37878787878787878</v>
      </c>
      <c r="R373" t="s">
        <v>105</v>
      </c>
      <c r="S373">
        <v>0</v>
      </c>
      <c r="T373">
        <v>3</v>
      </c>
      <c r="V373" t="s">
        <v>105</v>
      </c>
      <c r="W373">
        <v>1</v>
      </c>
      <c r="X373" s="28">
        <v>0.5</v>
      </c>
      <c r="Z373">
        <v>1</v>
      </c>
      <c r="AA373" s="28">
        <v>0.6</v>
      </c>
      <c r="AB373" t="str">
        <f>IF(V373=$G$5, IF(W373=$R$2, 1,0), "")</f>
        <v/>
      </c>
      <c r="AC373" t="str">
        <f>IF(V373=$H$5, IF(W373=$R$2, 1,0), "")</f>
        <v/>
      </c>
      <c r="AD373">
        <f>IF(V373=$I$5, IF(W373=$R$2, 1,0), "")</f>
        <v>1</v>
      </c>
      <c r="AE373" t="str">
        <f>IF(MAX(N373:P373)=N373,$N$5,IF(MAX(N373:P373)=O373,$O$5,$P$5))</f>
        <v>A</v>
      </c>
      <c r="AF373">
        <f>IF(AE373=R373, $R$2,$R$3)</f>
        <v>1</v>
      </c>
      <c r="AG373" s="28">
        <f>COUNTIF(AF373:AF382, $R$2)/COUNT(AF373:AF382)</f>
        <v>0.4</v>
      </c>
      <c r="AH373" t="str">
        <f>IF(AE373=$G$5, IF(AF373=$R$2, 1,0), "")</f>
        <v/>
      </c>
      <c r="AI373" t="str">
        <f>IF(AE373=$H$5, IF(AF373=$R$2, 1,0), "")</f>
        <v/>
      </c>
      <c r="AJ373">
        <f>IF(AE373=$I$5, IF(AF373=$R$2, 1,0), "")</f>
        <v>1</v>
      </c>
      <c r="AK373" t="str">
        <f>IF(AB373=1, K373-1, IF(AB373=0, -1,""))</f>
        <v/>
      </c>
      <c r="AL373" t="str">
        <f t="shared" ref="AL373:AL382" si="293">IF(AC373=1, L373-1, IF(AC373=0, -1,""))</f>
        <v/>
      </c>
      <c r="AM373">
        <f t="shared" ref="AM373:AM382" si="294">IF(AD373=1, M373-1, IF(AD373=0, -1,""))</f>
        <v>1.6400000000000001</v>
      </c>
    </row>
    <row r="374" spans="3:39" x14ac:dyDescent="0.35">
      <c r="D374" t="s">
        <v>29</v>
      </c>
      <c r="E374" t="s">
        <v>39</v>
      </c>
      <c r="G374" s="4">
        <v>0.33355925265607622</v>
      </c>
      <c r="H374" s="4">
        <v>0.3118514941024903</v>
      </c>
      <c r="I374" s="4">
        <v>0.35458925324143381</v>
      </c>
      <c r="K374">
        <v>3.2</v>
      </c>
      <c r="L374">
        <v>3.55</v>
      </c>
      <c r="M374">
        <v>2.5</v>
      </c>
      <c r="N374" s="4">
        <v>0.3125</v>
      </c>
      <c r="O374" s="4">
        <v>0.28169014084507044</v>
      </c>
      <c r="P374" s="4">
        <v>0.4</v>
      </c>
      <c r="R374" t="s">
        <v>104</v>
      </c>
      <c r="S374">
        <v>1</v>
      </c>
      <c r="T374">
        <v>1</v>
      </c>
      <c r="V374" t="s">
        <v>105</v>
      </c>
      <c r="W374">
        <v>0</v>
      </c>
      <c r="Z374" t="s">
        <v>117</v>
      </c>
      <c r="AA374" s="29" t="s">
        <v>117</v>
      </c>
      <c r="AB374" t="str">
        <f t="shared" ref="AB374:AB382" si="295">IF(V374=$G$5, IF(W374=$R$2, 1,0), "")</f>
        <v/>
      </c>
      <c r="AC374" t="str">
        <f t="shared" ref="AC374:AC382" si="296">IF(V374=$H$5, IF(W374=$R$2, 1,0), "")</f>
        <v/>
      </c>
      <c r="AD374">
        <f t="shared" ref="AD374:AD382" si="297">IF(V374=$I$5, IF(W374=$R$2, 1,0), "")</f>
        <v>0</v>
      </c>
      <c r="AE374" t="str">
        <f t="shared" ref="AE374:AE382" si="298">IF(MAX(N374:P374)=N374,$N$5,IF(MAX(N374:P374)=O374,$O$5,$P$5))</f>
        <v>A</v>
      </c>
      <c r="AF374">
        <f t="shared" ref="AF374:AF382" si="299">IF(AE374=R374, $R$2,$R$3)</f>
        <v>0</v>
      </c>
      <c r="AH374" t="str">
        <f t="shared" ref="AH374:AH382" si="300">IF(AE374=$G$5, IF(AF374=$R$2, 1,0), "")</f>
        <v/>
      </c>
      <c r="AI374" t="str">
        <f t="shared" ref="AI374:AI382" si="301">IF(AE374=$H$5, IF(AF374=$R$2, 1,0), "")</f>
        <v/>
      </c>
      <c r="AJ374">
        <f t="shared" ref="AJ374:AJ382" si="302">IF(AE374=$I$5, IF(AF374=$R$2, 1,0), "")</f>
        <v>0</v>
      </c>
      <c r="AK374" t="str">
        <f t="shared" ref="AK374:AK382" si="303">IF(AB374=1, K374-1, IF(AB374=0, -1,""))</f>
        <v/>
      </c>
      <c r="AL374" t="str">
        <f t="shared" si="293"/>
        <v/>
      </c>
      <c r="AM374">
        <f t="shared" si="294"/>
        <v>-1</v>
      </c>
    </row>
    <row r="375" spans="3:39" x14ac:dyDescent="0.35">
      <c r="D375" t="s">
        <v>35</v>
      </c>
      <c r="E375" t="s">
        <v>25</v>
      </c>
      <c r="G375" s="4">
        <v>0.18248374798434547</v>
      </c>
      <c r="H375" s="4">
        <v>0.26168698576808502</v>
      </c>
      <c r="I375" s="4">
        <v>0.55582926624756945</v>
      </c>
      <c r="K375">
        <v>3.75</v>
      </c>
      <c r="L375">
        <v>3.7</v>
      </c>
      <c r="M375">
        <v>2.17</v>
      </c>
      <c r="N375" s="4">
        <v>0.26666666666666666</v>
      </c>
      <c r="O375" s="4">
        <v>0.27027027027027023</v>
      </c>
      <c r="P375" s="4">
        <v>0.46082949308755761</v>
      </c>
      <c r="R375" t="s">
        <v>104</v>
      </c>
      <c r="S375">
        <v>1</v>
      </c>
      <c r="T375">
        <v>1</v>
      </c>
      <c r="V375" t="s">
        <v>105</v>
      </c>
      <c r="W375">
        <v>0</v>
      </c>
      <c r="Z375" t="s">
        <v>117</v>
      </c>
      <c r="AB375" t="str">
        <f t="shared" si="295"/>
        <v/>
      </c>
      <c r="AC375" t="str">
        <f t="shared" si="296"/>
        <v/>
      </c>
      <c r="AD375">
        <f t="shared" si="297"/>
        <v>0</v>
      </c>
      <c r="AE375" t="str">
        <f t="shared" si="298"/>
        <v>A</v>
      </c>
      <c r="AF375">
        <f t="shared" si="299"/>
        <v>0</v>
      </c>
      <c r="AH375" t="str">
        <f t="shared" si="300"/>
        <v/>
      </c>
      <c r="AI375" t="str">
        <f t="shared" si="301"/>
        <v/>
      </c>
      <c r="AJ375">
        <f t="shared" si="302"/>
        <v>0</v>
      </c>
      <c r="AK375" t="str">
        <f t="shared" si="303"/>
        <v/>
      </c>
      <c r="AL375" t="str">
        <f t="shared" si="293"/>
        <v/>
      </c>
      <c r="AM375">
        <f t="shared" si="294"/>
        <v>-1</v>
      </c>
    </row>
    <row r="376" spans="3:39" x14ac:dyDescent="0.35">
      <c r="D376" t="s">
        <v>45</v>
      </c>
      <c r="E376" t="s">
        <v>40</v>
      </c>
      <c r="G376" s="4">
        <v>0.32860370683322737</v>
      </c>
      <c r="H376" s="4">
        <v>0.349196237050862</v>
      </c>
      <c r="I376" s="4">
        <v>0.3222000561159109</v>
      </c>
      <c r="K376">
        <v>3.4</v>
      </c>
      <c r="L376">
        <v>3.52</v>
      </c>
      <c r="M376">
        <v>2.52</v>
      </c>
      <c r="N376" s="4">
        <v>0.29411764705882354</v>
      </c>
      <c r="O376" s="4">
        <v>0.28409090909090912</v>
      </c>
      <c r="P376" s="4">
        <v>0.3968253968253968</v>
      </c>
      <c r="R376" t="s">
        <v>103</v>
      </c>
      <c r="S376">
        <v>2</v>
      </c>
      <c r="T376">
        <v>1</v>
      </c>
      <c r="V376" t="s">
        <v>104</v>
      </c>
      <c r="W376">
        <v>0</v>
      </c>
      <c r="Z376" t="s">
        <v>117</v>
      </c>
      <c r="AB376" t="str">
        <f t="shared" si="295"/>
        <v/>
      </c>
      <c r="AC376">
        <f t="shared" si="296"/>
        <v>0</v>
      </c>
      <c r="AD376" t="str">
        <f t="shared" si="297"/>
        <v/>
      </c>
      <c r="AE376" t="str">
        <f t="shared" si="298"/>
        <v>A</v>
      </c>
      <c r="AF376">
        <f t="shared" si="299"/>
        <v>0</v>
      </c>
      <c r="AH376" t="str">
        <f t="shared" si="300"/>
        <v/>
      </c>
      <c r="AI376" t="str">
        <f t="shared" si="301"/>
        <v/>
      </c>
      <c r="AJ376">
        <f t="shared" si="302"/>
        <v>0</v>
      </c>
      <c r="AK376" t="str">
        <f t="shared" si="303"/>
        <v/>
      </c>
      <c r="AL376">
        <f t="shared" si="293"/>
        <v>-1</v>
      </c>
      <c r="AM376" t="str">
        <f t="shared" si="294"/>
        <v/>
      </c>
    </row>
    <row r="377" spans="3:39" x14ac:dyDescent="0.35">
      <c r="D377" t="s">
        <v>43</v>
      </c>
      <c r="E377" t="s">
        <v>49</v>
      </c>
      <c r="G377" s="4">
        <v>0.169354658224663</v>
      </c>
      <c r="H377" s="4">
        <v>0.25094274665910371</v>
      </c>
      <c r="I377" s="4">
        <v>0.57970259511623323</v>
      </c>
      <c r="K377">
        <v>3.75</v>
      </c>
      <c r="L377">
        <v>3.52</v>
      </c>
      <c r="M377">
        <v>2.2200000000000002</v>
      </c>
      <c r="N377" s="4">
        <v>0.26666666666666666</v>
      </c>
      <c r="O377" s="4">
        <v>0.28409090909090912</v>
      </c>
      <c r="P377" s="4">
        <v>0.4504504504504504</v>
      </c>
      <c r="R377" t="s">
        <v>105</v>
      </c>
      <c r="S377">
        <v>0</v>
      </c>
      <c r="T377">
        <v>2</v>
      </c>
      <c r="V377" t="s">
        <v>105</v>
      </c>
      <c r="W377">
        <v>1</v>
      </c>
      <c r="Z377">
        <v>1</v>
      </c>
      <c r="AB377" t="str">
        <f t="shared" si="295"/>
        <v/>
      </c>
      <c r="AC377" t="str">
        <f t="shared" si="296"/>
        <v/>
      </c>
      <c r="AD377">
        <f t="shared" si="297"/>
        <v>1</v>
      </c>
      <c r="AE377" t="str">
        <f t="shared" si="298"/>
        <v>A</v>
      </c>
      <c r="AF377">
        <f t="shared" si="299"/>
        <v>1</v>
      </c>
      <c r="AH377" t="str">
        <f t="shared" si="300"/>
        <v/>
      </c>
      <c r="AI377" t="str">
        <f t="shared" si="301"/>
        <v/>
      </c>
      <c r="AJ377">
        <f t="shared" si="302"/>
        <v>1</v>
      </c>
      <c r="AK377" t="str">
        <f t="shared" si="303"/>
        <v/>
      </c>
      <c r="AL377" t="str">
        <f t="shared" si="293"/>
        <v/>
      </c>
      <c r="AM377">
        <f t="shared" si="294"/>
        <v>1.2200000000000002</v>
      </c>
    </row>
    <row r="378" spans="3:39" x14ac:dyDescent="0.35">
      <c r="D378" t="s">
        <v>38</v>
      </c>
      <c r="E378" t="s">
        <v>30</v>
      </c>
      <c r="G378" s="4">
        <v>0.33596802505038353</v>
      </c>
      <c r="H378" s="4">
        <v>0.32165875219668005</v>
      </c>
      <c r="I378" s="4">
        <v>0.34237322275293636</v>
      </c>
      <c r="K378">
        <v>2.6</v>
      </c>
      <c r="L378">
        <v>3.38</v>
      </c>
      <c r="M378">
        <v>3.2</v>
      </c>
      <c r="N378" s="4">
        <v>0.38461538461538458</v>
      </c>
      <c r="O378" s="4">
        <v>0.29585798816568049</v>
      </c>
      <c r="P378" s="4">
        <v>0.3125</v>
      </c>
      <c r="R378" t="s">
        <v>105</v>
      </c>
      <c r="S378">
        <v>0</v>
      </c>
      <c r="T378">
        <v>2</v>
      </c>
      <c r="V378" t="s">
        <v>105</v>
      </c>
      <c r="W378">
        <v>1</v>
      </c>
      <c r="Z378">
        <v>1</v>
      </c>
      <c r="AB378" t="str">
        <f t="shared" si="295"/>
        <v/>
      </c>
      <c r="AC378" t="str">
        <f t="shared" si="296"/>
        <v/>
      </c>
      <c r="AD378">
        <f t="shared" si="297"/>
        <v>1</v>
      </c>
      <c r="AE378" t="str">
        <f t="shared" si="298"/>
        <v>H</v>
      </c>
      <c r="AF378">
        <f t="shared" si="299"/>
        <v>0</v>
      </c>
      <c r="AH378">
        <f t="shared" si="300"/>
        <v>0</v>
      </c>
      <c r="AI378" t="str">
        <f t="shared" si="301"/>
        <v/>
      </c>
      <c r="AJ378" t="str">
        <f t="shared" si="302"/>
        <v/>
      </c>
      <c r="AK378" t="str">
        <f t="shared" si="303"/>
        <v/>
      </c>
      <c r="AL378" t="str">
        <f t="shared" si="293"/>
        <v/>
      </c>
      <c r="AM378">
        <f t="shared" si="294"/>
        <v>2.2000000000000002</v>
      </c>
    </row>
    <row r="379" spans="3:39" x14ac:dyDescent="0.35">
      <c r="D379" t="s">
        <v>46</v>
      </c>
      <c r="E379" t="s">
        <v>51</v>
      </c>
      <c r="G379" s="4">
        <v>0.22969518454851987</v>
      </c>
      <c r="H379" s="4">
        <v>0.39483118400649136</v>
      </c>
      <c r="I379" s="4">
        <v>0.37547363144498919</v>
      </c>
      <c r="K379">
        <v>3.45</v>
      </c>
      <c r="L379">
        <v>3.25</v>
      </c>
      <c r="M379">
        <v>2.5499999999999998</v>
      </c>
      <c r="N379" s="4">
        <v>0.28985507246376813</v>
      </c>
      <c r="O379" s="4">
        <v>0.30769230769230771</v>
      </c>
      <c r="P379" s="4">
        <v>0.39215686274509809</v>
      </c>
      <c r="R379" t="s">
        <v>103</v>
      </c>
      <c r="S379">
        <v>3</v>
      </c>
      <c r="T379">
        <v>0</v>
      </c>
      <c r="V379" t="s">
        <v>104</v>
      </c>
      <c r="W379">
        <v>0</v>
      </c>
      <c r="Z379" t="s">
        <v>117</v>
      </c>
      <c r="AB379" t="str">
        <f t="shared" si="295"/>
        <v/>
      </c>
      <c r="AC379">
        <f t="shared" si="296"/>
        <v>0</v>
      </c>
      <c r="AD379" t="str">
        <f t="shared" si="297"/>
        <v/>
      </c>
      <c r="AE379" t="str">
        <f t="shared" si="298"/>
        <v>A</v>
      </c>
      <c r="AF379">
        <f t="shared" si="299"/>
        <v>0</v>
      </c>
      <c r="AH379" t="str">
        <f t="shared" si="300"/>
        <v/>
      </c>
      <c r="AI379" t="str">
        <f t="shared" si="301"/>
        <v/>
      </c>
      <c r="AJ379">
        <f t="shared" si="302"/>
        <v>0</v>
      </c>
      <c r="AK379" t="str">
        <f t="shared" si="303"/>
        <v/>
      </c>
      <c r="AL379">
        <f t="shared" si="293"/>
        <v>-1</v>
      </c>
      <c r="AM379" t="str">
        <f t="shared" si="294"/>
        <v/>
      </c>
    </row>
    <row r="380" spans="3:39" x14ac:dyDescent="0.35">
      <c r="D380" t="s">
        <v>52</v>
      </c>
      <c r="E380" t="s">
        <v>42</v>
      </c>
      <c r="G380" s="4">
        <v>0.15737699526572005</v>
      </c>
      <c r="H380" s="4">
        <v>0.216815728041647</v>
      </c>
      <c r="I380" s="4">
        <v>0.62580727669263303</v>
      </c>
      <c r="K380">
        <v>6.5</v>
      </c>
      <c r="L380">
        <v>4.9000000000000004</v>
      </c>
      <c r="M380">
        <v>1.57</v>
      </c>
      <c r="N380" s="4">
        <v>0.15384615384615385</v>
      </c>
      <c r="O380" s="4">
        <v>0.2040816326530612</v>
      </c>
      <c r="P380" s="4">
        <v>0.63694267515923564</v>
      </c>
      <c r="R380" t="s">
        <v>105</v>
      </c>
      <c r="S380">
        <v>1</v>
      </c>
      <c r="T380">
        <v>2</v>
      </c>
      <c r="V380" t="s">
        <v>105</v>
      </c>
      <c r="W380">
        <v>1</v>
      </c>
      <c r="Z380">
        <v>0</v>
      </c>
      <c r="AB380" t="str">
        <f t="shared" si="295"/>
        <v/>
      </c>
      <c r="AC380" t="str">
        <f t="shared" si="296"/>
        <v/>
      </c>
      <c r="AD380">
        <f t="shared" si="297"/>
        <v>1</v>
      </c>
      <c r="AE380" t="str">
        <f t="shared" si="298"/>
        <v>A</v>
      </c>
      <c r="AF380">
        <f t="shared" si="299"/>
        <v>1</v>
      </c>
      <c r="AH380" t="str">
        <f t="shared" si="300"/>
        <v/>
      </c>
      <c r="AI380" t="str">
        <f t="shared" si="301"/>
        <v/>
      </c>
      <c r="AJ380">
        <f t="shared" si="302"/>
        <v>1</v>
      </c>
      <c r="AK380" t="str">
        <f t="shared" si="303"/>
        <v/>
      </c>
      <c r="AL380" t="str">
        <f t="shared" si="293"/>
        <v/>
      </c>
      <c r="AM380">
        <f t="shared" si="294"/>
        <v>0.57000000000000006</v>
      </c>
    </row>
    <row r="381" spans="3:39" x14ac:dyDescent="0.35">
      <c r="D381" t="s">
        <v>28</v>
      </c>
      <c r="E381" t="s">
        <v>41</v>
      </c>
      <c r="G381" s="4">
        <v>0.1640849716899985</v>
      </c>
      <c r="H381" s="4">
        <v>0.29403847211420869</v>
      </c>
      <c r="I381" s="4">
        <v>0.54187655619579278</v>
      </c>
      <c r="K381">
        <v>6.05</v>
      </c>
      <c r="L381">
        <v>4.4000000000000004</v>
      </c>
      <c r="M381">
        <v>1.64</v>
      </c>
      <c r="N381" s="4">
        <v>0.16528925619834711</v>
      </c>
      <c r="O381" s="4">
        <v>0.22727272727272727</v>
      </c>
      <c r="P381" s="4">
        <v>0.6097560975609756</v>
      </c>
      <c r="R381" t="s">
        <v>104</v>
      </c>
      <c r="S381">
        <v>0</v>
      </c>
      <c r="T381">
        <v>0</v>
      </c>
      <c r="V381" t="s">
        <v>105</v>
      </c>
      <c r="W381">
        <v>0</v>
      </c>
      <c r="Z381" t="s">
        <v>117</v>
      </c>
      <c r="AB381" t="str">
        <f t="shared" si="295"/>
        <v/>
      </c>
      <c r="AC381" t="str">
        <f t="shared" si="296"/>
        <v/>
      </c>
      <c r="AD381">
        <f t="shared" si="297"/>
        <v>0</v>
      </c>
      <c r="AE381" t="str">
        <f t="shared" si="298"/>
        <v>A</v>
      </c>
      <c r="AF381">
        <f t="shared" si="299"/>
        <v>0</v>
      </c>
      <c r="AH381" t="str">
        <f t="shared" si="300"/>
        <v/>
      </c>
      <c r="AI381" t="str">
        <f t="shared" si="301"/>
        <v/>
      </c>
      <c r="AJ381">
        <f t="shared" si="302"/>
        <v>0</v>
      </c>
      <c r="AK381" t="str">
        <f t="shared" si="303"/>
        <v/>
      </c>
      <c r="AL381" t="str">
        <f t="shared" si="293"/>
        <v/>
      </c>
      <c r="AM381">
        <f t="shared" si="294"/>
        <v>-1</v>
      </c>
    </row>
    <row r="382" spans="3:39" x14ac:dyDescent="0.35">
      <c r="D382" t="s">
        <v>36</v>
      </c>
      <c r="E382" t="s">
        <v>32</v>
      </c>
      <c r="G382" s="4">
        <v>0.65514363711960144</v>
      </c>
      <c r="H382" s="4">
        <v>0.23289593990860269</v>
      </c>
      <c r="I382" s="4">
        <v>0.11196042297179593</v>
      </c>
      <c r="K382">
        <v>1.1599999999999999</v>
      </c>
      <c r="L382">
        <v>10</v>
      </c>
      <c r="M382">
        <v>26</v>
      </c>
      <c r="N382" s="4">
        <v>0.86206896551724144</v>
      </c>
      <c r="O382" s="4">
        <v>0.1</v>
      </c>
      <c r="P382" s="4">
        <v>3.8461538461538464E-2</v>
      </c>
      <c r="R382" t="s">
        <v>103</v>
      </c>
      <c r="S382">
        <v>5</v>
      </c>
      <c r="T382">
        <v>0</v>
      </c>
      <c r="V382" t="s">
        <v>103</v>
      </c>
      <c r="W382">
        <v>1</v>
      </c>
      <c r="Z382">
        <v>0</v>
      </c>
      <c r="AB382">
        <f t="shared" si="295"/>
        <v>1</v>
      </c>
      <c r="AC382" t="str">
        <f t="shared" si="296"/>
        <v/>
      </c>
      <c r="AD382" t="str">
        <f t="shared" si="297"/>
        <v/>
      </c>
      <c r="AE382" t="str">
        <f t="shared" si="298"/>
        <v>H</v>
      </c>
      <c r="AF382">
        <f t="shared" si="299"/>
        <v>1</v>
      </c>
      <c r="AH382">
        <f t="shared" si="300"/>
        <v>1</v>
      </c>
      <c r="AI382" t="str">
        <f t="shared" si="301"/>
        <v/>
      </c>
      <c r="AJ382" t="str">
        <f t="shared" si="302"/>
        <v/>
      </c>
      <c r="AK382">
        <f t="shared" si="303"/>
        <v>0.15999999999999992</v>
      </c>
      <c r="AL382" t="str">
        <f t="shared" si="293"/>
        <v/>
      </c>
      <c r="AM382" t="str">
        <f t="shared" si="294"/>
        <v/>
      </c>
    </row>
    <row r="383" spans="3:39" x14ac:dyDescent="0.35">
      <c r="G383" s="4"/>
      <c r="H383" s="4"/>
      <c r="I383" s="4"/>
      <c r="N383" s="4"/>
      <c r="O383" s="4"/>
      <c r="P383" s="4"/>
      <c r="AB383" s="4"/>
      <c r="AC383" s="4"/>
      <c r="AD383" s="4"/>
    </row>
    <row r="388" spans="3:39" x14ac:dyDescent="0.35">
      <c r="C388" t="s">
        <v>149</v>
      </c>
      <c r="H388" s="21" t="s">
        <v>107</v>
      </c>
      <c r="K388" s="22" t="s">
        <v>106</v>
      </c>
      <c r="N388" t="s">
        <v>108</v>
      </c>
    </row>
    <row r="389" spans="3:39" x14ac:dyDescent="0.35">
      <c r="G389" t="s">
        <v>103</v>
      </c>
      <c r="H389" t="s">
        <v>104</v>
      </c>
      <c r="I389" t="s">
        <v>105</v>
      </c>
      <c r="K389" t="s">
        <v>103</v>
      </c>
      <c r="L389" t="s">
        <v>104</v>
      </c>
      <c r="M389" t="s">
        <v>105</v>
      </c>
      <c r="N389" t="s">
        <v>103</v>
      </c>
      <c r="O389" t="s">
        <v>104</v>
      </c>
      <c r="P389" t="s">
        <v>105</v>
      </c>
      <c r="R389" t="s">
        <v>110</v>
      </c>
      <c r="V389" t="s">
        <v>112</v>
      </c>
      <c r="W389" t="s">
        <v>111</v>
      </c>
      <c r="X389" s="28" t="s">
        <v>114</v>
      </c>
      <c r="Z389" t="s">
        <v>113</v>
      </c>
      <c r="AA389" s="28" t="s">
        <v>116</v>
      </c>
      <c r="AB389" t="s">
        <v>166</v>
      </c>
      <c r="AC389" t="s">
        <v>167</v>
      </c>
      <c r="AD389" t="s">
        <v>168</v>
      </c>
      <c r="AK389" t="str">
        <f t="shared" si="268"/>
        <v/>
      </c>
      <c r="AL389" t="str">
        <f t="shared" si="269"/>
        <v/>
      </c>
      <c r="AM389" t="str">
        <f t="shared" si="270"/>
        <v/>
      </c>
    </row>
    <row r="390" spans="3:39" x14ac:dyDescent="0.35">
      <c r="D390" t="s">
        <v>25</v>
      </c>
      <c r="E390" t="s">
        <v>45</v>
      </c>
      <c r="G390" s="4">
        <v>0.4204653165245163</v>
      </c>
      <c r="H390" s="4">
        <v>0.3042624043918491</v>
      </c>
      <c r="I390" s="4">
        <v>0.27527227908363433</v>
      </c>
      <c r="K390">
        <v>1.68</v>
      </c>
      <c r="L390">
        <v>4.1500000000000004</v>
      </c>
      <c r="M390">
        <v>6.15</v>
      </c>
      <c r="N390" s="4">
        <v>0.59523809523809523</v>
      </c>
      <c r="O390" s="4">
        <v>0.24096385542168672</v>
      </c>
      <c r="P390" s="4">
        <v>0.16260162601626016</v>
      </c>
      <c r="R390" t="s">
        <v>104</v>
      </c>
      <c r="S390">
        <v>0</v>
      </c>
      <c r="T390">
        <v>0</v>
      </c>
      <c r="V390" t="s">
        <v>103</v>
      </c>
      <c r="W390">
        <v>0</v>
      </c>
      <c r="X390" s="28">
        <v>0.7</v>
      </c>
      <c r="Z390" t="s">
        <v>117</v>
      </c>
      <c r="AA390" s="28">
        <v>0.42857142857142855</v>
      </c>
      <c r="AB390">
        <f>IF(V390=$G$5, IF(W390=$R$2, 1,0), "")</f>
        <v>0</v>
      </c>
      <c r="AC390" t="str">
        <f>IF(V390=$H$5, IF(W390=$R$2, 1,0), "")</f>
        <v/>
      </c>
      <c r="AD390" t="str">
        <f>IF(V390=$I$5, IF(W390=$R$2, 1,0), "")</f>
        <v/>
      </c>
      <c r="AE390" t="str">
        <f>IF(MAX(N390:P390)=N390,$N$5,IF(MAX(N390:P390)=O390,$O$5,$P$5))</f>
        <v>H</v>
      </c>
      <c r="AF390">
        <f>IF(AE390=R390, $R$2,$R$3)</f>
        <v>0</v>
      </c>
      <c r="AG390" s="28">
        <f>COUNTIF(AF390:AF399, $R$2)/COUNT(AF390:AF399)</f>
        <v>0.5</v>
      </c>
      <c r="AH390">
        <f>IF(AE390=$G$5, IF(AF390=$R$2, 1,0), "")</f>
        <v>0</v>
      </c>
      <c r="AI390" t="str">
        <f>IF(AE390=$H$5, IF(AF390=$R$2, 1,0), "")</f>
        <v/>
      </c>
      <c r="AJ390" t="str">
        <f>IF(AE390=$I$5, IF(AF390=$R$2, 1,0), "")</f>
        <v/>
      </c>
      <c r="AK390">
        <f>IF(AB390=1, K390-1, IF(AB390=0, -1,""))</f>
        <v>-1</v>
      </c>
      <c r="AL390" t="str">
        <f t="shared" ref="AL390:AL399" si="304">IF(AC390=1, L390-1, IF(AC390=0, -1,""))</f>
        <v/>
      </c>
      <c r="AM390" t="str">
        <f t="shared" ref="AM390:AM399" si="305">IF(AD390=1, M390-1, IF(AD390=0, -1,""))</f>
        <v/>
      </c>
    </row>
    <row r="391" spans="3:39" x14ac:dyDescent="0.35">
      <c r="D391" t="s">
        <v>29</v>
      </c>
      <c r="E391" t="s">
        <v>43</v>
      </c>
      <c r="G391" s="4">
        <v>0.51943760357191293</v>
      </c>
      <c r="H391" s="4">
        <v>0.28107631805922817</v>
      </c>
      <c r="I391" s="4">
        <v>0.19948607836885868</v>
      </c>
      <c r="K391">
        <v>1.71</v>
      </c>
      <c r="L391">
        <v>4.1500000000000004</v>
      </c>
      <c r="M391">
        <v>5.65</v>
      </c>
      <c r="N391" s="4">
        <v>0.58479532163742687</v>
      </c>
      <c r="O391" s="4">
        <v>0.24096385542168672</v>
      </c>
      <c r="P391" s="4">
        <v>0.17699115044247787</v>
      </c>
      <c r="R391" t="s">
        <v>103</v>
      </c>
      <c r="S391">
        <v>2</v>
      </c>
      <c r="T391">
        <v>0</v>
      </c>
      <c r="V391" t="s">
        <v>103</v>
      </c>
      <c r="W391">
        <v>1</v>
      </c>
      <c r="Z391">
        <v>0</v>
      </c>
      <c r="AA391" s="29" t="s">
        <v>117</v>
      </c>
      <c r="AB391">
        <f t="shared" ref="AB391:AB399" si="306">IF(V391=$G$5, IF(W391=$R$2, 1,0), "")</f>
        <v>1</v>
      </c>
      <c r="AC391" t="str">
        <f t="shared" ref="AC391:AC399" si="307">IF(V391=$H$5, IF(W391=$R$2, 1,0), "")</f>
        <v/>
      </c>
      <c r="AD391" t="str">
        <f t="shared" ref="AD391:AD399" si="308">IF(V391=$I$5, IF(W391=$R$2, 1,0), "")</f>
        <v/>
      </c>
      <c r="AE391" t="str">
        <f t="shared" ref="AE391:AE399" si="309">IF(MAX(N391:P391)=N391,$N$5,IF(MAX(N391:P391)=O391,$O$5,$P$5))</f>
        <v>H</v>
      </c>
      <c r="AF391">
        <f t="shared" ref="AF391:AF399" si="310">IF(AE391=R391, $R$2,$R$3)</f>
        <v>1</v>
      </c>
      <c r="AH391">
        <f t="shared" ref="AH391:AH399" si="311">IF(AE391=$G$5, IF(AF391=$R$2, 1,0), "")</f>
        <v>1</v>
      </c>
      <c r="AI391" t="str">
        <f t="shared" ref="AI391:AI399" si="312">IF(AE391=$H$5, IF(AF391=$R$2, 1,0), "")</f>
        <v/>
      </c>
      <c r="AJ391" t="str">
        <f t="shared" ref="AJ391:AJ399" si="313">IF(AE391=$I$5, IF(AF391=$R$2, 1,0), "")</f>
        <v/>
      </c>
      <c r="AK391">
        <f t="shared" ref="AK391:AK399" si="314">IF(AB391=1, K391-1, IF(AB391=0, -1,""))</f>
        <v>0.71</v>
      </c>
      <c r="AL391" t="str">
        <f t="shared" si="304"/>
        <v/>
      </c>
      <c r="AM391" t="str">
        <f t="shared" si="305"/>
        <v/>
      </c>
    </row>
    <row r="392" spans="3:39" x14ac:dyDescent="0.35">
      <c r="D392" t="s">
        <v>49</v>
      </c>
      <c r="E392" t="s">
        <v>38</v>
      </c>
      <c r="G392" s="4">
        <v>0.45111838196917559</v>
      </c>
      <c r="H392" s="4">
        <v>0.32766317892645858</v>
      </c>
      <c r="I392" s="4">
        <v>0.22121843910436592</v>
      </c>
      <c r="K392">
        <v>1.63</v>
      </c>
      <c r="L392">
        <v>4.25</v>
      </c>
      <c r="M392">
        <v>6.65</v>
      </c>
      <c r="N392" s="4">
        <v>0.61349693251533743</v>
      </c>
      <c r="O392" s="4">
        <v>0.23529411764705882</v>
      </c>
      <c r="P392" s="4">
        <v>0.15037593984962405</v>
      </c>
      <c r="R392" t="s">
        <v>103</v>
      </c>
      <c r="S392">
        <v>1</v>
      </c>
      <c r="T392">
        <v>0</v>
      </c>
      <c r="V392" t="s">
        <v>103</v>
      </c>
      <c r="W392">
        <v>1</v>
      </c>
      <c r="Z392">
        <v>0</v>
      </c>
      <c r="AB392">
        <f t="shared" si="306"/>
        <v>1</v>
      </c>
      <c r="AC392" t="str">
        <f t="shared" si="307"/>
        <v/>
      </c>
      <c r="AD392" t="str">
        <f t="shared" si="308"/>
        <v/>
      </c>
      <c r="AE392" t="str">
        <f t="shared" si="309"/>
        <v>H</v>
      </c>
      <c r="AF392">
        <f t="shared" si="310"/>
        <v>1</v>
      </c>
      <c r="AH392">
        <f t="shared" si="311"/>
        <v>1</v>
      </c>
      <c r="AI392" t="str">
        <f t="shared" si="312"/>
        <v/>
      </c>
      <c r="AJ392" t="str">
        <f t="shared" si="313"/>
        <v/>
      </c>
      <c r="AK392">
        <f t="shared" si="314"/>
        <v>0.62999999999999989</v>
      </c>
      <c r="AL392" t="str">
        <f t="shared" si="304"/>
        <v/>
      </c>
      <c r="AM392" t="str">
        <f t="shared" si="305"/>
        <v/>
      </c>
    </row>
    <row r="393" spans="3:39" x14ac:dyDescent="0.35">
      <c r="D393" t="s">
        <v>50</v>
      </c>
      <c r="E393" t="s">
        <v>28</v>
      </c>
      <c r="G393" s="4">
        <v>0.17158207730857458</v>
      </c>
      <c r="H393" s="4">
        <v>0.24839186870144345</v>
      </c>
      <c r="I393" s="4">
        <v>0.58002605398998197</v>
      </c>
      <c r="K393">
        <v>4.25</v>
      </c>
      <c r="L393">
        <v>3.8</v>
      </c>
      <c r="M393">
        <v>2</v>
      </c>
      <c r="N393" s="4">
        <v>0.23529411764705882</v>
      </c>
      <c r="O393" s="4">
        <v>0.26315789473684209</v>
      </c>
      <c r="P393" s="4">
        <v>0.5</v>
      </c>
      <c r="R393" t="s">
        <v>105</v>
      </c>
      <c r="S393">
        <v>0</v>
      </c>
      <c r="T393">
        <v>1</v>
      </c>
      <c r="V393" t="s">
        <v>105</v>
      </c>
      <c r="W393">
        <v>1</v>
      </c>
      <c r="Z393">
        <v>1</v>
      </c>
      <c r="AB393" t="str">
        <f t="shared" si="306"/>
        <v/>
      </c>
      <c r="AC393" t="str">
        <f t="shared" si="307"/>
        <v/>
      </c>
      <c r="AD393">
        <f t="shared" si="308"/>
        <v>1</v>
      </c>
      <c r="AE393" t="str">
        <f t="shared" si="309"/>
        <v>A</v>
      </c>
      <c r="AF393">
        <f t="shared" si="310"/>
        <v>1</v>
      </c>
      <c r="AH393" t="str">
        <f t="shared" si="311"/>
        <v/>
      </c>
      <c r="AI393" t="str">
        <f t="shared" si="312"/>
        <v/>
      </c>
      <c r="AJ393">
        <f t="shared" si="313"/>
        <v>1</v>
      </c>
      <c r="AK393" t="str">
        <f t="shared" si="314"/>
        <v/>
      </c>
      <c r="AL393" t="str">
        <f t="shared" si="304"/>
        <v/>
      </c>
      <c r="AM393">
        <f t="shared" si="305"/>
        <v>1</v>
      </c>
    </row>
    <row r="394" spans="3:39" x14ac:dyDescent="0.35">
      <c r="D394" t="s">
        <v>39</v>
      </c>
      <c r="E394" t="s">
        <v>51</v>
      </c>
      <c r="G394" s="4">
        <v>0.49688621811281081</v>
      </c>
      <c r="H394" s="4">
        <v>0.34172288239453907</v>
      </c>
      <c r="I394" s="4">
        <v>0.16139089949265026</v>
      </c>
      <c r="K394">
        <v>1.5</v>
      </c>
      <c r="L394">
        <v>4.5999999999999996</v>
      </c>
      <c r="M394">
        <v>9.6</v>
      </c>
      <c r="N394" s="4">
        <v>0.66666666666666663</v>
      </c>
      <c r="O394" s="4">
        <v>0.21739130434782611</v>
      </c>
      <c r="P394" s="4">
        <v>0.10416666666666667</v>
      </c>
      <c r="R394" t="s">
        <v>103</v>
      </c>
      <c r="S394">
        <v>3</v>
      </c>
      <c r="T394">
        <v>0</v>
      </c>
      <c r="V394" t="s">
        <v>103</v>
      </c>
      <c r="W394">
        <v>1</v>
      </c>
      <c r="Z394">
        <v>0</v>
      </c>
      <c r="AB394">
        <f t="shared" si="306"/>
        <v>1</v>
      </c>
      <c r="AC394" t="str">
        <f t="shared" si="307"/>
        <v/>
      </c>
      <c r="AD394" t="str">
        <f t="shared" si="308"/>
        <v/>
      </c>
      <c r="AE394" t="str">
        <f t="shared" si="309"/>
        <v>H</v>
      </c>
      <c r="AF394">
        <f t="shared" si="310"/>
        <v>1</v>
      </c>
      <c r="AH394">
        <f t="shared" si="311"/>
        <v>1</v>
      </c>
      <c r="AI394" t="str">
        <f t="shared" si="312"/>
        <v/>
      </c>
      <c r="AJ394" t="str">
        <f t="shared" si="313"/>
        <v/>
      </c>
      <c r="AK394">
        <f t="shared" si="314"/>
        <v>0.5</v>
      </c>
      <c r="AL394" t="str">
        <f t="shared" si="304"/>
        <v/>
      </c>
      <c r="AM394" t="str">
        <f t="shared" si="305"/>
        <v/>
      </c>
    </row>
    <row r="395" spans="3:39" x14ac:dyDescent="0.35">
      <c r="D395" t="s">
        <v>46</v>
      </c>
      <c r="E395" t="s">
        <v>52</v>
      </c>
      <c r="G395" s="4">
        <v>0.34162430349784895</v>
      </c>
      <c r="H395" s="4">
        <v>0.31879615523835625</v>
      </c>
      <c r="I395" s="4">
        <v>0.33957954126379453</v>
      </c>
      <c r="K395">
        <v>2.42</v>
      </c>
      <c r="L395">
        <v>3.5</v>
      </c>
      <c r="M395">
        <v>3.32</v>
      </c>
      <c r="N395" s="4">
        <v>0.41322314049586778</v>
      </c>
      <c r="O395" s="4">
        <v>0.2857142857142857</v>
      </c>
      <c r="P395" s="4">
        <v>0.30120481927710846</v>
      </c>
      <c r="R395" t="s">
        <v>104</v>
      </c>
      <c r="S395">
        <v>1</v>
      </c>
      <c r="T395">
        <v>1</v>
      </c>
      <c r="V395" t="s">
        <v>103</v>
      </c>
      <c r="W395">
        <v>0</v>
      </c>
      <c r="Z395" t="s">
        <v>117</v>
      </c>
      <c r="AB395">
        <f t="shared" si="306"/>
        <v>0</v>
      </c>
      <c r="AC395" t="str">
        <f t="shared" si="307"/>
        <v/>
      </c>
      <c r="AD395" t="str">
        <f t="shared" si="308"/>
        <v/>
      </c>
      <c r="AE395" t="str">
        <f t="shared" si="309"/>
        <v>H</v>
      </c>
      <c r="AF395">
        <f t="shared" si="310"/>
        <v>0</v>
      </c>
      <c r="AH395">
        <f t="shared" si="311"/>
        <v>0</v>
      </c>
      <c r="AI395" t="str">
        <f t="shared" si="312"/>
        <v/>
      </c>
      <c r="AJ395" t="str">
        <f t="shared" si="313"/>
        <v/>
      </c>
      <c r="AK395">
        <f t="shared" si="314"/>
        <v>-1</v>
      </c>
      <c r="AL395" t="str">
        <f t="shared" si="304"/>
        <v/>
      </c>
      <c r="AM395" t="str">
        <f t="shared" si="305"/>
        <v/>
      </c>
    </row>
    <row r="396" spans="3:39" x14ac:dyDescent="0.35">
      <c r="D396" t="s">
        <v>41</v>
      </c>
      <c r="E396" t="s">
        <v>30</v>
      </c>
      <c r="G396" s="4">
        <v>0.67494567726168908</v>
      </c>
      <c r="H396" s="4">
        <v>0.21894275198147506</v>
      </c>
      <c r="I396" s="4">
        <v>0.10611157075683611</v>
      </c>
      <c r="K396">
        <v>1.27</v>
      </c>
      <c r="L396">
        <v>6.61</v>
      </c>
      <c r="M396">
        <v>16</v>
      </c>
      <c r="N396" s="4">
        <v>0.78740157480314954</v>
      </c>
      <c r="O396" s="4">
        <v>0.15128593040847199</v>
      </c>
      <c r="P396" s="4">
        <v>6.25E-2</v>
      </c>
      <c r="R396" t="s">
        <v>103</v>
      </c>
      <c r="S396">
        <v>4</v>
      </c>
      <c r="T396">
        <v>0</v>
      </c>
      <c r="V396" t="s">
        <v>103</v>
      </c>
      <c r="W396">
        <v>1</v>
      </c>
      <c r="Z396">
        <v>0</v>
      </c>
      <c r="AB396">
        <f t="shared" si="306"/>
        <v>1</v>
      </c>
      <c r="AC396" t="str">
        <f t="shared" si="307"/>
        <v/>
      </c>
      <c r="AD396" t="str">
        <f t="shared" si="308"/>
        <v/>
      </c>
      <c r="AE396" t="str">
        <f t="shared" si="309"/>
        <v>H</v>
      </c>
      <c r="AF396">
        <f t="shared" si="310"/>
        <v>1</v>
      </c>
      <c r="AH396">
        <f t="shared" si="311"/>
        <v>1</v>
      </c>
      <c r="AI396" t="str">
        <f t="shared" si="312"/>
        <v/>
      </c>
      <c r="AJ396" t="str">
        <f t="shared" si="313"/>
        <v/>
      </c>
      <c r="AK396">
        <f t="shared" si="314"/>
        <v>0.27</v>
      </c>
      <c r="AL396" t="str">
        <f t="shared" si="304"/>
        <v/>
      </c>
      <c r="AM396" t="str">
        <f t="shared" si="305"/>
        <v/>
      </c>
    </row>
    <row r="397" spans="3:39" x14ac:dyDescent="0.35">
      <c r="D397" t="s">
        <v>34</v>
      </c>
      <c r="E397" t="s">
        <v>40</v>
      </c>
      <c r="G397" s="4">
        <v>0.22498325469877045</v>
      </c>
      <c r="H397" s="4">
        <v>0.30353390058168594</v>
      </c>
      <c r="I397" s="4">
        <v>0.47148284471954355</v>
      </c>
      <c r="K397">
        <v>2.75</v>
      </c>
      <c r="L397">
        <v>3.65</v>
      </c>
      <c r="M397">
        <v>2.8</v>
      </c>
      <c r="N397" s="4">
        <v>0.36363636363636365</v>
      </c>
      <c r="O397" s="4">
        <v>0.27397260273972601</v>
      </c>
      <c r="P397" s="4">
        <v>0.35714285714285715</v>
      </c>
      <c r="R397" t="s">
        <v>105</v>
      </c>
      <c r="S397">
        <v>0</v>
      </c>
      <c r="T397">
        <v>2</v>
      </c>
      <c r="V397" t="s">
        <v>105</v>
      </c>
      <c r="W397">
        <v>1</v>
      </c>
      <c r="Z397">
        <v>1</v>
      </c>
      <c r="AB397" t="str">
        <f t="shared" si="306"/>
        <v/>
      </c>
      <c r="AC397" t="str">
        <f t="shared" si="307"/>
        <v/>
      </c>
      <c r="AD397">
        <f t="shared" si="308"/>
        <v>1</v>
      </c>
      <c r="AE397" t="str">
        <f t="shared" si="309"/>
        <v>H</v>
      </c>
      <c r="AF397">
        <f t="shared" si="310"/>
        <v>0</v>
      </c>
      <c r="AH397">
        <f t="shared" si="311"/>
        <v>0</v>
      </c>
      <c r="AI397" t="str">
        <f t="shared" si="312"/>
        <v/>
      </c>
      <c r="AJ397" t="str">
        <f t="shared" si="313"/>
        <v/>
      </c>
      <c r="AK397" t="str">
        <f t="shared" si="314"/>
        <v/>
      </c>
      <c r="AL397" t="str">
        <f t="shared" si="304"/>
        <v/>
      </c>
      <c r="AM397">
        <f t="shared" si="305"/>
        <v>1.7999999999999998</v>
      </c>
    </row>
    <row r="398" spans="3:39" x14ac:dyDescent="0.35">
      <c r="D398" t="s">
        <v>32</v>
      </c>
      <c r="E398" t="s">
        <v>35</v>
      </c>
      <c r="G398" s="4">
        <v>0.44393551551469362</v>
      </c>
      <c r="H398" s="4">
        <v>0.31964080849404491</v>
      </c>
      <c r="I398" s="4">
        <v>0.23642367599126177</v>
      </c>
      <c r="K398">
        <v>3.18</v>
      </c>
      <c r="L398">
        <v>3.3</v>
      </c>
      <c r="M398">
        <v>2.59</v>
      </c>
      <c r="N398" s="4">
        <v>0.31446540880503143</v>
      </c>
      <c r="O398" s="4">
        <v>0.30303030303030304</v>
      </c>
      <c r="P398" s="4">
        <v>0.38610038610038611</v>
      </c>
      <c r="R398" t="s">
        <v>103</v>
      </c>
      <c r="S398">
        <v>1</v>
      </c>
      <c r="T398">
        <v>0</v>
      </c>
      <c r="V398" t="s">
        <v>103</v>
      </c>
      <c r="W398">
        <v>1</v>
      </c>
      <c r="Z398">
        <v>1</v>
      </c>
      <c r="AB398">
        <f t="shared" si="306"/>
        <v>1</v>
      </c>
      <c r="AC398" t="str">
        <f t="shared" si="307"/>
        <v/>
      </c>
      <c r="AD398" t="str">
        <f t="shared" si="308"/>
        <v/>
      </c>
      <c r="AE398" t="str">
        <f t="shared" si="309"/>
        <v>A</v>
      </c>
      <c r="AF398">
        <f t="shared" si="310"/>
        <v>0</v>
      </c>
      <c r="AH398" t="str">
        <f t="shared" si="311"/>
        <v/>
      </c>
      <c r="AI398" t="str">
        <f t="shared" si="312"/>
        <v/>
      </c>
      <c r="AJ398">
        <f t="shared" si="313"/>
        <v>0</v>
      </c>
      <c r="AK398">
        <f t="shared" si="314"/>
        <v>2.1800000000000002</v>
      </c>
      <c r="AL398" t="str">
        <f t="shared" si="304"/>
        <v/>
      </c>
      <c r="AM398" t="str">
        <f t="shared" si="305"/>
        <v/>
      </c>
    </row>
    <row r="399" spans="3:39" x14ac:dyDescent="0.35">
      <c r="D399" t="s">
        <v>42</v>
      </c>
      <c r="E399" t="s">
        <v>36</v>
      </c>
      <c r="G399" s="4">
        <v>0.28207925195260347</v>
      </c>
      <c r="H399" s="4">
        <v>0.28751886974103119</v>
      </c>
      <c r="I399" s="4">
        <v>0.4304018783063655</v>
      </c>
      <c r="K399">
        <v>4.4000000000000004</v>
      </c>
      <c r="L399">
        <v>4.25</v>
      </c>
      <c r="M399">
        <v>1.87</v>
      </c>
      <c r="N399" s="4">
        <v>0.22727272727272727</v>
      </c>
      <c r="O399" s="4">
        <v>0.23529411764705882</v>
      </c>
      <c r="P399" s="4">
        <v>0.53475935828876997</v>
      </c>
      <c r="R399" t="s">
        <v>103</v>
      </c>
      <c r="S399">
        <v>2</v>
      </c>
      <c r="T399">
        <v>1</v>
      </c>
      <c r="V399" t="s">
        <v>105</v>
      </c>
      <c r="W399">
        <v>0</v>
      </c>
      <c r="Z399" t="s">
        <v>117</v>
      </c>
      <c r="AB399" t="str">
        <f t="shared" si="306"/>
        <v/>
      </c>
      <c r="AC399" t="str">
        <f t="shared" si="307"/>
        <v/>
      </c>
      <c r="AD399">
        <f t="shared" si="308"/>
        <v>0</v>
      </c>
      <c r="AE399" t="str">
        <f t="shared" si="309"/>
        <v>A</v>
      </c>
      <c r="AF399">
        <f t="shared" si="310"/>
        <v>0</v>
      </c>
      <c r="AH399" t="str">
        <f t="shared" si="311"/>
        <v/>
      </c>
      <c r="AI399" t="str">
        <f t="shared" si="312"/>
        <v/>
      </c>
      <c r="AJ399">
        <f t="shared" si="313"/>
        <v>0</v>
      </c>
      <c r="AK399" t="str">
        <f t="shared" si="314"/>
        <v/>
      </c>
      <c r="AL399" t="str">
        <f t="shared" si="304"/>
        <v/>
      </c>
      <c r="AM399">
        <f t="shared" si="305"/>
        <v>-1</v>
      </c>
    </row>
    <row r="400" spans="3:39" x14ac:dyDescent="0.35">
      <c r="G400" s="4"/>
      <c r="H400" s="4"/>
      <c r="I400" s="4"/>
      <c r="N400" s="4"/>
      <c r="O400" s="4"/>
      <c r="P400" s="4"/>
      <c r="AB400" s="4"/>
      <c r="AC400" s="4"/>
      <c r="AD400" s="4"/>
    </row>
    <row r="405" spans="3:39" x14ac:dyDescent="0.35">
      <c r="C405" t="s">
        <v>150</v>
      </c>
      <c r="H405" s="21" t="s">
        <v>107</v>
      </c>
      <c r="K405" s="22" t="s">
        <v>106</v>
      </c>
      <c r="N405" t="s">
        <v>108</v>
      </c>
    </row>
    <row r="406" spans="3:39" x14ac:dyDescent="0.35">
      <c r="G406" t="s">
        <v>103</v>
      </c>
      <c r="H406" t="s">
        <v>104</v>
      </c>
      <c r="I406" t="s">
        <v>105</v>
      </c>
      <c r="K406" t="s">
        <v>103</v>
      </c>
      <c r="L406" t="s">
        <v>104</v>
      </c>
      <c r="M406" t="s">
        <v>105</v>
      </c>
      <c r="N406" t="s">
        <v>103</v>
      </c>
      <c r="O406" t="s">
        <v>104</v>
      </c>
      <c r="P406" t="s">
        <v>105</v>
      </c>
      <c r="R406" t="s">
        <v>110</v>
      </c>
      <c r="V406" t="s">
        <v>112</v>
      </c>
      <c r="W406" t="s">
        <v>111</v>
      </c>
      <c r="X406" s="28" t="s">
        <v>114</v>
      </c>
      <c r="Z406" t="s">
        <v>113</v>
      </c>
      <c r="AA406" s="28" t="s">
        <v>116</v>
      </c>
      <c r="AB406" t="s">
        <v>166</v>
      </c>
      <c r="AC406" t="s">
        <v>167</v>
      </c>
      <c r="AD406" t="s">
        <v>168</v>
      </c>
      <c r="AK406" t="str">
        <f t="shared" ref="AK406:AK454" si="315">IF(AB406=1, K406, IF(AB406=0, -1,""))</f>
        <v/>
      </c>
      <c r="AL406" t="str">
        <f t="shared" ref="AL406:AL454" si="316">IF(AC406=1, L406, IF(AC406=0, -1,""))</f>
        <v/>
      </c>
      <c r="AM406" t="str">
        <f t="shared" ref="AM406:AM454" si="317">IF(AD406=1, M406, IF(AD406=0, -1,""))</f>
        <v/>
      </c>
    </row>
    <row r="407" spans="3:39" x14ac:dyDescent="0.35">
      <c r="D407" t="s">
        <v>52</v>
      </c>
      <c r="E407" t="s">
        <v>49</v>
      </c>
      <c r="G407" s="4">
        <v>0.13642522246429739</v>
      </c>
      <c r="H407" s="4">
        <v>0.23217500491655652</v>
      </c>
      <c r="I407" s="4">
        <v>0.63139977261914604</v>
      </c>
      <c r="K407">
        <v>5.0999999999999996</v>
      </c>
      <c r="L407">
        <v>3.92</v>
      </c>
      <c r="M407">
        <v>1.82</v>
      </c>
      <c r="N407" s="4">
        <v>0.19607843137254904</v>
      </c>
      <c r="O407" s="4">
        <v>0.25510204081632654</v>
      </c>
      <c r="P407" s="4">
        <v>0.54945054945054939</v>
      </c>
      <c r="R407" t="s">
        <v>105</v>
      </c>
      <c r="S407">
        <v>0</v>
      </c>
      <c r="T407">
        <v>1</v>
      </c>
      <c r="V407" t="s">
        <v>105</v>
      </c>
      <c r="W407">
        <v>1</v>
      </c>
      <c r="X407" s="28">
        <v>0.6</v>
      </c>
      <c r="Z407">
        <v>1</v>
      </c>
      <c r="AA407" s="28">
        <v>0.5</v>
      </c>
      <c r="AB407" t="str">
        <f>IF(V407=$G$5, IF(W407=$R$2, 1,0), "")</f>
        <v/>
      </c>
      <c r="AC407" t="str">
        <f>IF(V407=$H$5, IF(W407=$R$2, 1,0), "")</f>
        <v/>
      </c>
      <c r="AD407">
        <f>IF(V407=$I$5, IF(W407=$R$2, 1,0), "")</f>
        <v>1</v>
      </c>
      <c r="AE407" t="str">
        <f>IF(MAX(N407:P407)=N407,$N$5,IF(MAX(N407:P407)=O407,$O$5,$P$5))</f>
        <v>A</v>
      </c>
      <c r="AF407">
        <f>IF(AE407=R407, $R$2,$R$3)</f>
        <v>1</v>
      </c>
      <c r="AG407" s="28">
        <f>COUNTIF(AF407:AF416, $R$2)/COUNT(AF407:AF416)</f>
        <v>0.5</v>
      </c>
      <c r="AH407" t="str">
        <f>IF(AE407=$G$5, IF(AF407=$R$2, 1,0), "")</f>
        <v/>
      </c>
      <c r="AI407" t="str">
        <f>IF(AE407=$H$5, IF(AF407=$R$2, 1,0), "")</f>
        <v/>
      </c>
      <c r="AJ407">
        <f>IF(AE407=$I$5, IF(AF407=$R$2, 1,0), "")</f>
        <v>1</v>
      </c>
      <c r="AK407" t="str">
        <f>IF(AB407=1, K407-1, IF(AB407=0, -1,""))</f>
        <v/>
      </c>
      <c r="AL407" t="str">
        <f t="shared" ref="AL407:AL416" si="318">IF(AC407=1, L407-1, IF(AC407=0, -1,""))</f>
        <v/>
      </c>
      <c r="AM407">
        <f t="shared" ref="AM407:AM416" si="319">IF(AD407=1, M407-1, IF(AD407=0, -1,""))</f>
        <v>0.82000000000000006</v>
      </c>
    </row>
    <row r="408" spans="3:39" x14ac:dyDescent="0.35">
      <c r="D408" t="s">
        <v>35</v>
      </c>
      <c r="E408" t="s">
        <v>34</v>
      </c>
      <c r="G408" s="4">
        <v>0.28796682429631149</v>
      </c>
      <c r="H408" s="4">
        <v>0.29198470286244532</v>
      </c>
      <c r="I408" s="4">
        <v>0.42004847284124314</v>
      </c>
      <c r="K408">
        <v>2.6</v>
      </c>
      <c r="L408">
        <v>3.42</v>
      </c>
      <c r="M408">
        <v>3.1</v>
      </c>
      <c r="N408" s="4">
        <v>0.38461538461538458</v>
      </c>
      <c r="O408" s="4">
        <v>0.29239766081871343</v>
      </c>
      <c r="P408" s="4">
        <v>0.32258064516129031</v>
      </c>
      <c r="R408" t="s">
        <v>105</v>
      </c>
      <c r="S408">
        <v>1</v>
      </c>
      <c r="T408">
        <v>3</v>
      </c>
      <c r="V408" t="s">
        <v>105</v>
      </c>
      <c r="W408">
        <v>1</v>
      </c>
      <c r="Z408">
        <v>1</v>
      </c>
      <c r="AA408" s="29" t="s">
        <v>117</v>
      </c>
      <c r="AB408" t="str">
        <f t="shared" ref="AB408:AB416" si="320">IF(V408=$G$5, IF(W408=$R$2, 1,0), "")</f>
        <v/>
      </c>
      <c r="AC408" t="str">
        <f t="shared" ref="AC408:AC416" si="321">IF(V408=$H$5, IF(W408=$R$2, 1,0), "")</f>
        <v/>
      </c>
      <c r="AD408">
        <f t="shared" ref="AD408:AD416" si="322">IF(V408=$I$5, IF(W408=$R$2, 1,0), "")</f>
        <v>1</v>
      </c>
      <c r="AE408" t="str">
        <f t="shared" ref="AE408:AE416" si="323">IF(MAX(N408:P408)=N408,$N$5,IF(MAX(N408:P408)=O408,$O$5,$P$5))</f>
        <v>H</v>
      </c>
      <c r="AF408">
        <f t="shared" ref="AF408:AF416" si="324">IF(AE408=R408, $R$2,$R$3)</f>
        <v>0</v>
      </c>
      <c r="AH408">
        <f t="shared" ref="AH408:AH416" si="325">IF(AE408=$G$5, IF(AF408=$R$2, 1,0), "")</f>
        <v>0</v>
      </c>
      <c r="AI408" t="str">
        <f t="shared" ref="AI408:AI416" si="326">IF(AE408=$H$5, IF(AF408=$R$2, 1,0), "")</f>
        <v/>
      </c>
      <c r="AJ408" t="str">
        <f t="shared" ref="AJ408:AJ416" si="327">IF(AE408=$I$5, IF(AF408=$R$2, 1,0), "")</f>
        <v/>
      </c>
      <c r="AK408" t="str">
        <f t="shared" ref="AK408:AK416" si="328">IF(AB408=1, K408-1, IF(AB408=0, -1,""))</f>
        <v/>
      </c>
      <c r="AL408" t="str">
        <f t="shared" si="318"/>
        <v/>
      </c>
      <c r="AM408">
        <f t="shared" si="319"/>
        <v>2.1</v>
      </c>
    </row>
    <row r="409" spans="3:39" x14ac:dyDescent="0.35">
      <c r="D409" t="s">
        <v>30</v>
      </c>
      <c r="E409" t="s">
        <v>32</v>
      </c>
      <c r="G409" s="4">
        <v>0.29123756908936604</v>
      </c>
      <c r="H409" s="4">
        <v>0.39799363165706814</v>
      </c>
      <c r="I409" s="4">
        <v>0.3107687992535661</v>
      </c>
      <c r="K409">
        <v>2.42</v>
      </c>
      <c r="L409">
        <v>3.32</v>
      </c>
      <c r="M409">
        <v>3.55</v>
      </c>
      <c r="N409" s="4">
        <v>0.41322314049586778</v>
      </c>
      <c r="O409" s="4">
        <v>0.30120481927710846</v>
      </c>
      <c r="P409" s="4">
        <v>0.28169014084507044</v>
      </c>
      <c r="R409" t="s">
        <v>105</v>
      </c>
      <c r="S409">
        <v>0</v>
      </c>
      <c r="T409">
        <v>1</v>
      </c>
      <c r="V409" t="s">
        <v>104</v>
      </c>
      <c r="W409">
        <v>0</v>
      </c>
      <c r="Z409" t="s">
        <v>117</v>
      </c>
      <c r="AB409" t="str">
        <f t="shared" si="320"/>
        <v/>
      </c>
      <c r="AC409">
        <f t="shared" si="321"/>
        <v>0</v>
      </c>
      <c r="AD409" t="str">
        <f t="shared" si="322"/>
        <v/>
      </c>
      <c r="AE409" t="str">
        <f t="shared" si="323"/>
        <v>H</v>
      </c>
      <c r="AF409">
        <f t="shared" si="324"/>
        <v>0</v>
      </c>
      <c r="AH409">
        <f t="shared" si="325"/>
        <v>0</v>
      </c>
      <c r="AI409" t="str">
        <f t="shared" si="326"/>
        <v/>
      </c>
      <c r="AJ409" t="str">
        <f t="shared" si="327"/>
        <v/>
      </c>
      <c r="AK409" t="str">
        <f t="shared" si="328"/>
        <v/>
      </c>
      <c r="AL409">
        <f t="shared" si="318"/>
        <v>-1</v>
      </c>
      <c r="AM409" t="str">
        <f t="shared" si="319"/>
        <v/>
      </c>
    </row>
    <row r="410" spans="3:39" x14ac:dyDescent="0.35">
      <c r="D410" t="s">
        <v>45</v>
      </c>
      <c r="E410" t="s">
        <v>39</v>
      </c>
      <c r="G410" s="4">
        <v>0.25919580910473622</v>
      </c>
      <c r="H410" s="4">
        <v>0.34158146856593025</v>
      </c>
      <c r="I410" s="4">
        <v>0.3992227223293332</v>
      </c>
      <c r="K410">
        <v>7</v>
      </c>
      <c r="L410">
        <v>4.0999999999999996</v>
      </c>
      <c r="M410">
        <v>1.64</v>
      </c>
      <c r="N410" s="4">
        <v>0.14285714285714285</v>
      </c>
      <c r="O410" s="4">
        <v>0.24390243902439027</v>
      </c>
      <c r="P410" s="4">
        <v>0.6097560975609756</v>
      </c>
      <c r="R410" t="s">
        <v>105</v>
      </c>
      <c r="S410">
        <v>0</v>
      </c>
      <c r="T410">
        <v>3</v>
      </c>
      <c r="V410" t="s">
        <v>105</v>
      </c>
      <c r="W410">
        <v>1</v>
      </c>
      <c r="Z410">
        <v>0</v>
      </c>
      <c r="AB410" t="str">
        <f t="shared" si="320"/>
        <v/>
      </c>
      <c r="AC410" t="str">
        <f t="shared" si="321"/>
        <v/>
      </c>
      <c r="AD410">
        <f t="shared" si="322"/>
        <v>1</v>
      </c>
      <c r="AE410" t="str">
        <f t="shared" si="323"/>
        <v>A</v>
      </c>
      <c r="AF410">
        <f t="shared" si="324"/>
        <v>1</v>
      </c>
      <c r="AH410" t="str">
        <f t="shared" si="325"/>
        <v/>
      </c>
      <c r="AI410" t="str">
        <f t="shared" si="326"/>
        <v/>
      </c>
      <c r="AJ410">
        <f t="shared" si="327"/>
        <v>1</v>
      </c>
      <c r="AK410" t="str">
        <f t="shared" si="328"/>
        <v/>
      </c>
      <c r="AL410" t="str">
        <f t="shared" si="318"/>
        <v/>
      </c>
      <c r="AM410">
        <f t="shared" si="319"/>
        <v>0.6399999999999999</v>
      </c>
    </row>
    <row r="411" spans="3:39" x14ac:dyDescent="0.35">
      <c r="D411" t="s">
        <v>38</v>
      </c>
      <c r="E411" t="s">
        <v>46</v>
      </c>
      <c r="G411" s="4">
        <v>0.36665387070875227</v>
      </c>
      <c r="H411" s="4">
        <v>0.32967238268402899</v>
      </c>
      <c r="I411" s="4">
        <v>0.30367374660721869</v>
      </c>
      <c r="K411">
        <v>2.5099999999999998</v>
      </c>
      <c r="L411">
        <v>3.3</v>
      </c>
      <c r="M411">
        <v>3.32</v>
      </c>
      <c r="N411" s="4">
        <v>0.39840637450199207</v>
      </c>
      <c r="O411" s="4">
        <v>0.30303030303030304</v>
      </c>
      <c r="P411" s="4">
        <v>0.30120481927710846</v>
      </c>
      <c r="R411" t="s">
        <v>105</v>
      </c>
      <c r="S411">
        <v>1</v>
      </c>
      <c r="T411">
        <v>4</v>
      </c>
      <c r="V411" t="s">
        <v>103</v>
      </c>
      <c r="W411">
        <v>0</v>
      </c>
      <c r="Z411" t="s">
        <v>117</v>
      </c>
      <c r="AB411">
        <f t="shared" si="320"/>
        <v>0</v>
      </c>
      <c r="AC411" t="str">
        <f t="shared" si="321"/>
        <v/>
      </c>
      <c r="AD411" t="str">
        <f t="shared" si="322"/>
        <v/>
      </c>
      <c r="AE411" t="str">
        <f t="shared" si="323"/>
        <v>H</v>
      </c>
      <c r="AF411">
        <f t="shared" si="324"/>
        <v>0</v>
      </c>
      <c r="AH411">
        <f t="shared" si="325"/>
        <v>0</v>
      </c>
      <c r="AI411" t="str">
        <f t="shared" si="326"/>
        <v/>
      </c>
      <c r="AJ411" t="str">
        <f t="shared" si="327"/>
        <v/>
      </c>
      <c r="AK411">
        <f t="shared" si="328"/>
        <v>-1</v>
      </c>
      <c r="AL411" t="str">
        <f t="shared" si="318"/>
        <v/>
      </c>
      <c r="AM411" t="str">
        <f t="shared" si="319"/>
        <v/>
      </c>
    </row>
    <row r="412" spans="3:39" x14ac:dyDescent="0.35">
      <c r="D412" t="s">
        <v>40</v>
      </c>
      <c r="E412" t="s">
        <v>50</v>
      </c>
      <c r="G412" s="4">
        <v>0.43992751693008614</v>
      </c>
      <c r="H412" s="4">
        <v>0.31258660197533511</v>
      </c>
      <c r="I412" s="4">
        <v>0.24748588109457906</v>
      </c>
      <c r="K412">
        <v>1.48</v>
      </c>
      <c r="L412">
        <v>4.9000000000000004</v>
      </c>
      <c r="M412">
        <v>8.1999999999999993</v>
      </c>
      <c r="N412" s="4">
        <v>0.67567567567567566</v>
      </c>
      <c r="O412" s="4">
        <v>0.2040816326530612</v>
      </c>
      <c r="P412" s="4">
        <v>0.12195121951219513</v>
      </c>
      <c r="R412" t="s">
        <v>103</v>
      </c>
      <c r="S412">
        <v>4</v>
      </c>
      <c r="T412">
        <v>0</v>
      </c>
      <c r="V412" t="s">
        <v>103</v>
      </c>
      <c r="W412">
        <v>1</v>
      </c>
      <c r="Z412">
        <v>0</v>
      </c>
      <c r="AB412">
        <f t="shared" si="320"/>
        <v>1</v>
      </c>
      <c r="AC412" t="str">
        <f t="shared" si="321"/>
        <v/>
      </c>
      <c r="AD412" t="str">
        <f t="shared" si="322"/>
        <v/>
      </c>
      <c r="AE412" t="str">
        <f t="shared" si="323"/>
        <v>H</v>
      </c>
      <c r="AF412">
        <f t="shared" si="324"/>
        <v>1</v>
      </c>
      <c r="AH412">
        <f t="shared" si="325"/>
        <v>1</v>
      </c>
      <c r="AI412" t="str">
        <f t="shared" si="326"/>
        <v/>
      </c>
      <c r="AJ412" t="str">
        <f t="shared" si="327"/>
        <v/>
      </c>
      <c r="AK412">
        <f t="shared" si="328"/>
        <v>0.48</v>
      </c>
      <c r="AL412" t="str">
        <f t="shared" si="318"/>
        <v/>
      </c>
      <c r="AM412" t="str">
        <f t="shared" si="319"/>
        <v/>
      </c>
    </row>
    <row r="413" spans="3:39" x14ac:dyDescent="0.35">
      <c r="D413" t="s">
        <v>28</v>
      </c>
      <c r="E413" t="s">
        <v>25</v>
      </c>
      <c r="G413" s="4">
        <v>0.21331839217154294</v>
      </c>
      <c r="H413" s="4">
        <v>0.3004230723084636</v>
      </c>
      <c r="I413" s="4">
        <v>0.48625853551999343</v>
      </c>
      <c r="K413">
        <v>2.64</v>
      </c>
      <c r="L413">
        <v>3.42</v>
      </c>
      <c r="M413">
        <v>3.05</v>
      </c>
      <c r="N413" s="4">
        <v>0.37878787878787878</v>
      </c>
      <c r="O413" s="4">
        <v>0.29239766081871343</v>
      </c>
      <c r="P413" s="4">
        <v>0.32786885245901642</v>
      </c>
      <c r="R413" t="s">
        <v>103</v>
      </c>
      <c r="S413">
        <v>2</v>
      </c>
      <c r="T413">
        <v>1</v>
      </c>
      <c r="V413" t="s">
        <v>105</v>
      </c>
      <c r="W413">
        <v>0</v>
      </c>
      <c r="Z413" t="s">
        <v>117</v>
      </c>
      <c r="AB413" t="str">
        <f t="shared" si="320"/>
        <v/>
      </c>
      <c r="AC413" t="str">
        <f t="shared" si="321"/>
        <v/>
      </c>
      <c r="AD413">
        <f t="shared" si="322"/>
        <v>0</v>
      </c>
      <c r="AE413" t="str">
        <f t="shared" si="323"/>
        <v>H</v>
      </c>
      <c r="AF413">
        <f t="shared" si="324"/>
        <v>1</v>
      </c>
      <c r="AH413">
        <f t="shared" si="325"/>
        <v>1</v>
      </c>
      <c r="AI413" t="str">
        <f t="shared" si="326"/>
        <v/>
      </c>
      <c r="AJ413" t="str">
        <f t="shared" si="327"/>
        <v/>
      </c>
      <c r="AK413" t="str">
        <f t="shared" si="328"/>
        <v/>
      </c>
      <c r="AL413" t="str">
        <f t="shared" si="318"/>
        <v/>
      </c>
      <c r="AM413">
        <f t="shared" si="319"/>
        <v>-1</v>
      </c>
    </row>
    <row r="414" spans="3:39" x14ac:dyDescent="0.35">
      <c r="D414" t="s">
        <v>43</v>
      </c>
      <c r="E414" t="s">
        <v>42</v>
      </c>
      <c r="G414" s="4">
        <v>0.16971138966143723</v>
      </c>
      <c r="H414" s="4">
        <v>0.22035082315644769</v>
      </c>
      <c r="I414" s="4">
        <v>0.60993778718211489</v>
      </c>
      <c r="K414">
        <v>6</v>
      </c>
      <c r="L414">
        <v>4.5</v>
      </c>
      <c r="M414">
        <v>1.65</v>
      </c>
      <c r="N414" s="4">
        <v>0.16666666666666666</v>
      </c>
      <c r="O414" s="4">
        <v>0.22222222222222221</v>
      </c>
      <c r="P414" s="4">
        <v>0.60606060606060608</v>
      </c>
      <c r="R414" t="s">
        <v>103</v>
      </c>
      <c r="S414">
        <v>3</v>
      </c>
      <c r="T414">
        <v>2</v>
      </c>
      <c r="V414" t="s">
        <v>105</v>
      </c>
      <c r="W414">
        <v>0</v>
      </c>
      <c r="Z414" t="s">
        <v>117</v>
      </c>
      <c r="AB414" t="str">
        <f t="shared" si="320"/>
        <v/>
      </c>
      <c r="AC414" t="str">
        <f t="shared" si="321"/>
        <v/>
      </c>
      <c r="AD414">
        <f t="shared" si="322"/>
        <v>0</v>
      </c>
      <c r="AE414" t="str">
        <f t="shared" si="323"/>
        <v>A</v>
      </c>
      <c r="AF414">
        <f t="shared" si="324"/>
        <v>0</v>
      </c>
      <c r="AH414" t="str">
        <f t="shared" si="325"/>
        <v/>
      </c>
      <c r="AI414" t="str">
        <f t="shared" si="326"/>
        <v/>
      </c>
      <c r="AJ414">
        <f t="shared" si="327"/>
        <v>0</v>
      </c>
      <c r="AK414" t="str">
        <f t="shared" si="328"/>
        <v/>
      </c>
      <c r="AL414" t="str">
        <f t="shared" si="318"/>
        <v/>
      </c>
      <c r="AM414">
        <f t="shared" si="319"/>
        <v>-1</v>
      </c>
    </row>
    <row r="415" spans="3:39" x14ac:dyDescent="0.35">
      <c r="D415" t="s">
        <v>51</v>
      </c>
      <c r="E415" t="s">
        <v>29</v>
      </c>
      <c r="G415" s="4">
        <v>0.37651759102411575</v>
      </c>
      <c r="H415" s="4">
        <v>0.31124253875168401</v>
      </c>
      <c r="I415" s="4">
        <v>0.3122398702242003</v>
      </c>
      <c r="K415">
        <v>4.3</v>
      </c>
      <c r="L415">
        <v>3.54</v>
      </c>
      <c r="M415">
        <v>2.08</v>
      </c>
      <c r="N415" s="4">
        <v>0.23255813953488372</v>
      </c>
      <c r="O415" s="4">
        <v>0.2824858757062147</v>
      </c>
      <c r="P415" s="4">
        <v>0.48076923076923073</v>
      </c>
      <c r="R415" t="s">
        <v>103</v>
      </c>
      <c r="S415">
        <v>3</v>
      </c>
      <c r="T415">
        <v>1</v>
      </c>
      <c r="V415" t="s">
        <v>103</v>
      </c>
      <c r="W415">
        <v>1</v>
      </c>
      <c r="Z415">
        <v>1</v>
      </c>
      <c r="AB415">
        <f t="shared" si="320"/>
        <v>1</v>
      </c>
      <c r="AC415" t="str">
        <f t="shared" si="321"/>
        <v/>
      </c>
      <c r="AD415" t="str">
        <f t="shared" si="322"/>
        <v/>
      </c>
      <c r="AE415" t="str">
        <f t="shared" si="323"/>
        <v>A</v>
      </c>
      <c r="AF415">
        <f t="shared" si="324"/>
        <v>0</v>
      </c>
      <c r="AH415" t="str">
        <f t="shared" si="325"/>
        <v/>
      </c>
      <c r="AI415" t="str">
        <f t="shared" si="326"/>
        <v/>
      </c>
      <c r="AJ415">
        <f t="shared" si="327"/>
        <v>0</v>
      </c>
      <c r="AK415">
        <f t="shared" si="328"/>
        <v>3.3</v>
      </c>
      <c r="AL415" t="str">
        <f t="shared" si="318"/>
        <v/>
      </c>
      <c r="AM415" t="str">
        <f t="shared" si="319"/>
        <v/>
      </c>
    </row>
    <row r="416" spans="3:39" x14ac:dyDescent="0.35">
      <c r="D416" t="s">
        <v>36</v>
      </c>
      <c r="E416" t="s">
        <v>41</v>
      </c>
      <c r="G416" s="4">
        <v>0.38252619834825019</v>
      </c>
      <c r="H416" s="4">
        <v>0.313491878590475</v>
      </c>
      <c r="I416" s="4">
        <v>0.30398192306127519</v>
      </c>
      <c r="K416">
        <v>2.14</v>
      </c>
      <c r="L416">
        <v>4.32</v>
      </c>
      <c r="M416">
        <v>3.52</v>
      </c>
      <c r="N416" s="4">
        <v>0.46728971962616822</v>
      </c>
      <c r="O416" s="4">
        <v>0.23148148148148145</v>
      </c>
      <c r="P416" s="4">
        <v>0.28409090909090912</v>
      </c>
      <c r="R416" t="s">
        <v>103</v>
      </c>
      <c r="S416">
        <v>4</v>
      </c>
      <c r="T416">
        <v>0</v>
      </c>
      <c r="V416" t="s">
        <v>103</v>
      </c>
      <c r="W416">
        <v>1</v>
      </c>
      <c r="Z416">
        <v>0</v>
      </c>
      <c r="AB416">
        <f t="shared" si="320"/>
        <v>1</v>
      </c>
      <c r="AC416" t="str">
        <f t="shared" si="321"/>
        <v/>
      </c>
      <c r="AD416" t="str">
        <f t="shared" si="322"/>
        <v/>
      </c>
      <c r="AE416" t="str">
        <f t="shared" si="323"/>
        <v>H</v>
      </c>
      <c r="AF416">
        <f t="shared" si="324"/>
        <v>1</v>
      </c>
      <c r="AH416">
        <f t="shared" si="325"/>
        <v>1</v>
      </c>
      <c r="AI416" t="str">
        <f t="shared" si="326"/>
        <v/>
      </c>
      <c r="AJ416" t="str">
        <f t="shared" si="327"/>
        <v/>
      </c>
      <c r="AK416">
        <f t="shared" si="328"/>
        <v>1.1400000000000001</v>
      </c>
      <c r="AL416" t="str">
        <f t="shared" si="318"/>
        <v/>
      </c>
      <c r="AM416" t="str">
        <f t="shared" si="319"/>
        <v/>
      </c>
    </row>
    <row r="417" spans="3:39" x14ac:dyDescent="0.35">
      <c r="G417" s="4"/>
      <c r="H417" s="4"/>
      <c r="I417" s="4"/>
      <c r="N417" s="4"/>
      <c r="O417" s="4"/>
      <c r="P417" s="4"/>
      <c r="AB417" s="4"/>
      <c r="AC417" s="4"/>
      <c r="AD417" s="4"/>
    </row>
    <row r="422" spans="3:39" x14ac:dyDescent="0.35">
      <c r="C422" t="s">
        <v>151</v>
      </c>
      <c r="H422" t="s">
        <v>107</v>
      </c>
      <c r="K422" t="s">
        <v>106</v>
      </c>
      <c r="N422" t="s">
        <v>108</v>
      </c>
    </row>
    <row r="423" spans="3:39" x14ac:dyDescent="0.35">
      <c r="G423" t="s">
        <v>103</v>
      </c>
      <c r="H423" t="s">
        <v>104</v>
      </c>
      <c r="I423" t="s">
        <v>105</v>
      </c>
      <c r="K423" t="s">
        <v>103</v>
      </c>
      <c r="L423" t="s">
        <v>104</v>
      </c>
      <c r="M423" t="s">
        <v>105</v>
      </c>
      <c r="N423" t="s">
        <v>103</v>
      </c>
      <c r="O423" t="s">
        <v>104</v>
      </c>
      <c r="P423" t="s">
        <v>105</v>
      </c>
      <c r="R423" t="s">
        <v>110</v>
      </c>
      <c r="V423" t="s">
        <v>112</v>
      </c>
      <c r="W423" t="s">
        <v>111</v>
      </c>
      <c r="X423" s="28" t="s">
        <v>114</v>
      </c>
      <c r="Z423" t="s">
        <v>113</v>
      </c>
      <c r="AA423" s="28" t="s">
        <v>116</v>
      </c>
      <c r="AB423" t="s">
        <v>166</v>
      </c>
      <c r="AC423" t="s">
        <v>167</v>
      </c>
      <c r="AD423" t="s">
        <v>168</v>
      </c>
      <c r="AK423" t="str">
        <f t="shared" si="315"/>
        <v/>
      </c>
      <c r="AL423" t="str">
        <f t="shared" si="316"/>
        <v/>
      </c>
      <c r="AM423" t="str">
        <f t="shared" si="317"/>
        <v/>
      </c>
    </row>
    <row r="424" spans="3:39" x14ac:dyDescent="0.35">
      <c r="D424" t="s">
        <v>50</v>
      </c>
      <c r="E424" t="s">
        <v>45</v>
      </c>
      <c r="G424">
        <v>0.20459450877189705</v>
      </c>
      <c r="H424">
        <v>0.28864140442357056</v>
      </c>
      <c r="I424">
        <v>0.506764086804532</v>
      </c>
      <c r="K424">
        <v>3.56</v>
      </c>
      <c r="L424">
        <v>3.45</v>
      </c>
      <c r="M424">
        <v>2.33</v>
      </c>
      <c r="N424">
        <v>0.2808988764044944</v>
      </c>
      <c r="O424">
        <v>0.28985507246376813</v>
      </c>
      <c r="P424">
        <v>0.42918454935622319</v>
      </c>
      <c r="R424" t="s">
        <v>105</v>
      </c>
      <c r="S424">
        <v>0</v>
      </c>
      <c r="T424">
        <v>1</v>
      </c>
      <c r="V424" t="s">
        <v>105</v>
      </c>
      <c r="W424">
        <v>1</v>
      </c>
      <c r="X424" s="28">
        <v>0.7</v>
      </c>
      <c r="Z424">
        <v>1</v>
      </c>
      <c r="AA424" s="28">
        <v>0.42857142857142855</v>
      </c>
      <c r="AB424" t="str">
        <f>IF(V424=$G$5, IF(W424=$R$2, 1,0), "")</f>
        <v/>
      </c>
      <c r="AC424" t="str">
        <f>IF(V424=$H$5, IF(W424=$R$2, 1,0), "")</f>
        <v/>
      </c>
      <c r="AD424">
        <f>IF(V424=$I$5, IF(W424=$R$2, 1,0), "")</f>
        <v>1</v>
      </c>
      <c r="AE424" t="str">
        <f>IF(MAX(N424:P424)=N424,$N$5,IF(MAX(N424:P424)=O424,$O$5,$P$5))</f>
        <v>A</v>
      </c>
      <c r="AF424">
        <f>IF(AE424=R424, $R$2,$R$3)</f>
        <v>1</v>
      </c>
      <c r="AG424" s="28">
        <f>COUNTIF(AF424:AF433, $R$2)/COUNT(AF424:AF433)</f>
        <v>0.6</v>
      </c>
      <c r="AH424" t="str">
        <f>IF(AE424=$G$5, IF(AF424=$R$2, 1,0), "")</f>
        <v/>
      </c>
      <c r="AI424" t="str">
        <f>IF(AE424=$H$5, IF(AF424=$R$2, 1,0), "")</f>
        <v/>
      </c>
      <c r="AJ424">
        <f>IF(AE424=$I$5, IF(AF424=$R$2, 1,0), "")</f>
        <v>1</v>
      </c>
      <c r="AK424" t="str">
        <f>IF(AB424=1, K424-1, IF(AB424=0, -1,""))</f>
        <v/>
      </c>
      <c r="AL424" t="str">
        <f t="shared" ref="AL424:AL433" si="329">IF(AC424=1, L424-1, IF(AC424=0, -1,""))</f>
        <v/>
      </c>
      <c r="AM424">
        <f t="shared" ref="AM424:AM433" si="330">IF(AD424=1, M424-1, IF(AD424=0, -1,""))</f>
        <v>1.33</v>
      </c>
    </row>
    <row r="425" spans="3:39" x14ac:dyDescent="0.35">
      <c r="D425" t="s">
        <v>25</v>
      </c>
      <c r="E425" t="s">
        <v>30</v>
      </c>
      <c r="G425">
        <v>0.45188015096191492</v>
      </c>
      <c r="H425">
        <v>0.31874154669246757</v>
      </c>
      <c r="I425">
        <v>0.22937830234561735</v>
      </c>
      <c r="K425">
        <v>1.72</v>
      </c>
      <c r="L425">
        <v>3.8</v>
      </c>
      <c r="M425">
        <v>6.5</v>
      </c>
      <c r="N425">
        <v>0.58139534883720934</v>
      </c>
      <c r="O425">
        <v>0.26315789473684209</v>
      </c>
      <c r="P425">
        <v>0.15384615384615385</v>
      </c>
      <c r="R425" t="s">
        <v>103</v>
      </c>
      <c r="S425">
        <v>3</v>
      </c>
      <c r="T425">
        <v>0</v>
      </c>
      <c r="V425" t="s">
        <v>103</v>
      </c>
      <c r="W425">
        <v>1</v>
      </c>
      <c r="Z425">
        <v>0</v>
      </c>
      <c r="AA425" s="28" t="s">
        <v>117</v>
      </c>
      <c r="AB425">
        <f t="shared" ref="AB425:AB433" si="331">IF(V425=$G$5, IF(W425=$R$2, 1,0), "")</f>
        <v>1</v>
      </c>
      <c r="AC425" t="str">
        <f t="shared" ref="AC425:AC433" si="332">IF(V425=$H$5, IF(W425=$R$2, 1,0), "")</f>
        <v/>
      </c>
      <c r="AD425" t="str">
        <f t="shared" ref="AD425:AD433" si="333">IF(V425=$I$5, IF(W425=$R$2, 1,0), "")</f>
        <v/>
      </c>
      <c r="AE425" t="str">
        <f t="shared" ref="AE425:AE433" si="334">IF(MAX(N425:P425)=N425,$N$5,IF(MAX(N425:P425)=O425,$O$5,$P$5))</f>
        <v>H</v>
      </c>
      <c r="AF425">
        <f t="shared" ref="AF425:AF433" si="335">IF(AE425=R425, $R$2,$R$3)</f>
        <v>1</v>
      </c>
      <c r="AH425">
        <f t="shared" ref="AH425:AH433" si="336">IF(AE425=$G$5, IF(AF425=$R$2, 1,0), "")</f>
        <v>1</v>
      </c>
      <c r="AI425" t="str">
        <f t="shared" ref="AI425:AI433" si="337">IF(AE425=$H$5, IF(AF425=$R$2, 1,0), "")</f>
        <v/>
      </c>
      <c r="AJ425" t="str">
        <f t="shared" ref="AJ425:AJ433" si="338">IF(AE425=$I$5, IF(AF425=$R$2, 1,0), "")</f>
        <v/>
      </c>
      <c r="AK425">
        <f t="shared" ref="AK425:AK433" si="339">IF(AB425=1, K425-1, IF(AB425=0, -1,""))</f>
        <v>0.72</v>
      </c>
      <c r="AL425" t="str">
        <f t="shared" si="329"/>
        <v/>
      </c>
      <c r="AM425" t="str">
        <f t="shared" si="330"/>
        <v/>
      </c>
    </row>
    <row r="426" spans="3:39" x14ac:dyDescent="0.35">
      <c r="D426" t="s">
        <v>39</v>
      </c>
      <c r="E426" t="s">
        <v>38</v>
      </c>
      <c r="G426">
        <v>0.58399408247937501</v>
      </c>
      <c r="H426">
        <v>0.28263258107380745</v>
      </c>
      <c r="I426">
        <v>0.13337333644681776</v>
      </c>
      <c r="K426">
        <v>1.19</v>
      </c>
      <c r="L426">
        <v>8.3000000000000007</v>
      </c>
      <c r="M426">
        <v>21</v>
      </c>
      <c r="N426">
        <v>0.84033613445378152</v>
      </c>
      <c r="O426">
        <v>0.12048192771084336</v>
      </c>
      <c r="P426">
        <v>4.7619047619047616E-2</v>
      </c>
      <c r="R426" t="s">
        <v>103</v>
      </c>
      <c r="S426">
        <v>5</v>
      </c>
      <c r="T426">
        <v>2</v>
      </c>
      <c r="V426" t="s">
        <v>103</v>
      </c>
      <c r="W426">
        <v>1</v>
      </c>
      <c r="Z426">
        <v>0</v>
      </c>
      <c r="AB426">
        <f t="shared" si="331"/>
        <v>1</v>
      </c>
      <c r="AC426" t="str">
        <f t="shared" si="332"/>
        <v/>
      </c>
      <c r="AD426" t="str">
        <f t="shared" si="333"/>
        <v/>
      </c>
      <c r="AE426" t="str">
        <f t="shared" si="334"/>
        <v>H</v>
      </c>
      <c r="AF426">
        <f t="shared" si="335"/>
        <v>1</v>
      </c>
      <c r="AH426">
        <f t="shared" si="336"/>
        <v>1</v>
      </c>
      <c r="AI426" t="str">
        <f t="shared" si="337"/>
        <v/>
      </c>
      <c r="AJ426" t="str">
        <f t="shared" si="338"/>
        <v/>
      </c>
      <c r="AK426">
        <f t="shared" si="339"/>
        <v>0.18999999999999995</v>
      </c>
      <c r="AL426" t="str">
        <f t="shared" si="329"/>
        <v/>
      </c>
      <c r="AM426" t="str">
        <f t="shared" si="330"/>
        <v/>
      </c>
    </row>
    <row r="427" spans="3:39" x14ac:dyDescent="0.35">
      <c r="D427" t="s">
        <v>49</v>
      </c>
      <c r="E427" t="s">
        <v>40</v>
      </c>
      <c r="G427">
        <v>0.33973974509843857</v>
      </c>
      <c r="H427">
        <v>0.35655854062828279</v>
      </c>
      <c r="I427">
        <v>0.30370171427327841</v>
      </c>
      <c r="K427">
        <v>2.36</v>
      </c>
      <c r="L427">
        <v>3.48</v>
      </c>
      <c r="M427">
        <v>3.5</v>
      </c>
      <c r="N427">
        <v>0.42372881355932207</v>
      </c>
      <c r="O427">
        <v>0.28735632183908044</v>
      </c>
      <c r="P427">
        <v>0.2857142857142857</v>
      </c>
      <c r="R427" t="s">
        <v>105</v>
      </c>
      <c r="S427">
        <v>0</v>
      </c>
      <c r="T427">
        <v>2</v>
      </c>
      <c r="V427" t="s">
        <v>104</v>
      </c>
      <c r="W427">
        <v>0</v>
      </c>
      <c r="Z427" t="s">
        <v>117</v>
      </c>
      <c r="AB427" t="str">
        <f t="shared" si="331"/>
        <v/>
      </c>
      <c r="AC427">
        <f t="shared" si="332"/>
        <v>0</v>
      </c>
      <c r="AD427" t="str">
        <f t="shared" si="333"/>
        <v/>
      </c>
      <c r="AE427" t="str">
        <f t="shared" si="334"/>
        <v>H</v>
      </c>
      <c r="AF427">
        <f t="shared" si="335"/>
        <v>0</v>
      </c>
      <c r="AH427">
        <f t="shared" si="336"/>
        <v>0</v>
      </c>
      <c r="AI427" t="str">
        <f t="shared" si="337"/>
        <v/>
      </c>
      <c r="AJ427" t="str">
        <f t="shared" si="338"/>
        <v/>
      </c>
      <c r="AK427" t="str">
        <f t="shared" si="339"/>
        <v/>
      </c>
      <c r="AL427">
        <f t="shared" si="329"/>
        <v>-1</v>
      </c>
      <c r="AM427" t="str">
        <f t="shared" si="330"/>
        <v/>
      </c>
    </row>
    <row r="428" spans="3:39" x14ac:dyDescent="0.35">
      <c r="D428" t="s">
        <v>42</v>
      </c>
      <c r="E428" t="s">
        <v>35</v>
      </c>
      <c r="G428">
        <v>0.62422993173331698</v>
      </c>
      <c r="H428">
        <v>0.26697216388406375</v>
      </c>
      <c r="I428">
        <v>0.10879790438261935</v>
      </c>
      <c r="K428">
        <v>1.46</v>
      </c>
      <c r="L428">
        <v>4.9000000000000004</v>
      </c>
      <c r="M428">
        <v>9.3000000000000007</v>
      </c>
      <c r="N428">
        <v>0.68493150684931503</v>
      </c>
      <c r="O428">
        <v>0.2040816326530612</v>
      </c>
      <c r="P428">
        <v>0.1075268817204301</v>
      </c>
      <c r="R428" t="s">
        <v>103</v>
      </c>
      <c r="S428">
        <v>3</v>
      </c>
      <c r="T428">
        <v>0</v>
      </c>
      <c r="V428" t="s">
        <v>103</v>
      </c>
      <c r="W428">
        <v>1</v>
      </c>
      <c r="Z428">
        <v>0</v>
      </c>
      <c r="AB428">
        <f t="shared" si="331"/>
        <v>1</v>
      </c>
      <c r="AC428" t="str">
        <f t="shared" si="332"/>
        <v/>
      </c>
      <c r="AD428" t="str">
        <f t="shared" si="333"/>
        <v/>
      </c>
      <c r="AE428" t="str">
        <f t="shared" si="334"/>
        <v>H</v>
      </c>
      <c r="AF428">
        <f t="shared" si="335"/>
        <v>1</v>
      </c>
      <c r="AH428">
        <f t="shared" si="336"/>
        <v>1</v>
      </c>
      <c r="AI428" t="str">
        <f t="shared" si="337"/>
        <v/>
      </c>
      <c r="AJ428" t="str">
        <f t="shared" si="338"/>
        <v/>
      </c>
      <c r="AK428">
        <f t="shared" si="339"/>
        <v>0.45999999999999996</v>
      </c>
      <c r="AL428" t="str">
        <f t="shared" si="329"/>
        <v/>
      </c>
      <c r="AM428" t="str">
        <f t="shared" si="330"/>
        <v/>
      </c>
    </row>
    <row r="429" spans="3:39" x14ac:dyDescent="0.35">
      <c r="D429" t="s">
        <v>32</v>
      </c>
      <c r="E429" t="s">
        <v>51</v>
      </c>
      <c r="G429">
        <v>0.41848171081882185</v>
      </c>
      <c r="H429">
        <v>0.34001440435550156</v>
      </c>
      <c r="I429">
        <v>0.2415038848256762</v>
      </c>
      <c r="K429">
        <v>3.02</v>
      </c>
      <c r="L429">
        <v>3.1</v>
      </c>
      <c r="M429">
        <v>2.86</v>
      </c>
      <c r="N429">
        <v>0.33112582781456956</v>
      </c>
      <c r="O429">
        <v>0.32258064516129031</v>
      </c>
      <c r="P429">
        <v>0.34965034965034969</v>
      </c>
      <c r="R429" t="s">
        <v>104</v>
      </c>
      <c r="S429">
        <v>1</v>
      </c>
      <c r="T429">
        <v>1</v>
      </c>
      <c r="V429" t="s">
        <v>103</v>
      </c>
      <c r="W429">
        <v>0</v>
      </c>
      <c r="Z429" t="s">
        <v>117</v>
      </c>
      <c r="AB429">
        <f t="shared" si="331"/>
        <v>0</v>
      </c>
      <c r="AC429" t="str">
        <f t="shared" si="332"/>
        <v/>
      </c>
      <c r="AD429" t="str">
        <f t="shared" si="333"/>
        <v/>
      </c>
      <c r="AE429" t="str">
        <f t="shared" si="334"/>
        <v>A</v>
      </c>
      <c r="AF429">
        <f t="shared" si="335"/>
        <v>0</v>
      </c>
      <c r="AH429" t="str">
        <f t="shared" si="336"/>
        <v/>
      </c>
      <c r="AI429" t="str">
        <f t="shared" si="337"/>
        <v/>
      </c>
      <c r="AJ429">
        <f t="shared" si="338"/>
        <v>0</v>
      </c>
      <c r="AK429">
        <f t="shared" si="339"/>
        <v>-1</v>
      </c>
      <c r="AL429" t="str">
        <f t="shared" si="329"/>
        <v/>
      </c>
      <c r="AM429" t="str">
        <f t="shared" si="330"/>
        <v/>
      </c>
    </row>
    <row r="430" spans="3:39" x14ac:dyDescent="0.35">
      <c r="D430" t="s">
        <v>46</v>
      </c>
      <c r="E430" t="s">
        <v>43</v>
      </c>
      <c r="G430">
        <v>0.33136127980410879</v>
      </c>
      <c r="H430">
        <v>0.34732775836483171</v>
      </c>
      <c r="I430">
        <v>0.32131096183105962</v>
      </c>
      <c r="K430">
        <v>2.77</v>
      </c>
      <c r="L430">
        <v>3.48</v>
      </c>
      <c r="M430">
        <v>2.9</v>
      </c>
      <c r="N430">
        <v>0.36101083032490977</v>
      </c>
      <c r="O430">
        <v>0.28735632183908044</v>
      </c>
      <c r="P430">
        <v>0.34482758620689657</v>
      </c>
      <c r="R430" t="s">
        <v>104</v>
      </c>
      <c r="S430">
        <v>2</v>
      </c>
      <c r="T430">
        <v>2</v>
      </c>
      <c r="V430" t="s">
        <v>104</v>
      </c>
      <c r="W430">
        <v>1</v>
      </c>
      <c r="Z430">
        <v>1</v>
      </c>
      <c r="AB430" t="str">
        <f t="shared" si="331"/>
        <v/>
      </c>
      <c r="AC430">
        <f t="shared" si="332"/>
        <v>1</v>
      </c>
      <c r="AD430" t="str">
        <f t="shared" si="333"/>
        <v/>
      </c>
      <c r="AE430" t="str">
        <f t="shared" si="334"/>
        <v>H</v>
      </c>
      <c r="AF430">
        <f t="shared" si="335"/>
        <v>0</v>
      </c>
      <c r="AH430">
        <f t="shared" si="336"/>
        <v>0</v>
      </c>
      <c r="AI430" t="str">
        <f t="shared" si="337"/>
        <v/>
      </c>
      <c r="AJ430" t="str">
        <f t="shared" si="338"/>
        <v/>
      </c>
      <c r="AK430" t="str">
        <f t="shared" si="339"/>
        <v/>
      </c>
      <c r="AL430">
        <f t="shared" si="329"/>
        <v>2.48</v>
      </c>
      <c r="AM430" t="str">
        <f t="shared" si="330"/>
        <v/>
      </c>
    </row>
    <row r="431" spans="3:39" x14ac:dyDescent="0.35">
      <c r="D431" t="s">
        <v>41</v>
      </c>
      <c r="E431" t="s">
        <v>52</v>
      </c>
      <c r="G431">
        <v>0.768943191259992</v>
      </c>
      <c r="H431">
        <v>0.15649825303812132</v>
      </c>
      <c r="I431">
        <v>7.4558555701887033E-2</v>
      </c>
      <c r="K431">
        <v>1.38</v>
      </c>
      <c r="L431">
        <v>5.9</v>
      </c>
      <c r="M431">
        <v>9.8000000000000007</v>
      </c>
      <c r="N431">
        <v>0.7246376811594204</v>
      </c>
      <c r="O431">
        <v>0.16949152542372881</v>
      </c>
      <c r="P431">
        <v>0.1020408163265306</v>
      </c>
      <c r="R431" t="s">
        <v>103</v>
      </c>
      <c r="S431">
        <v>2</v>
      </c>
      <c r="T431">
        <v>0</v>
      </c>
      <c r="V431" t="s">
        <v>103</v>
      </c>
      <c r="W431">
        <v>1</v>
      </c>
      <c r="Z431">
        <v>1</v>
      </c>
      <c r="AB431">
        <f t="shared" si="331"/>
        <v>1</v>
      </c>
      <c r="AC431" t="str">
        <f t="shared" si="332"/>
        <v/>
      </c>
      <c r="AD431" t="str">
        <f t="shared" si="333"/>
        <v/>
      </c>
      <c r="AE431" t="str">
        <f t="shared" si="334"/>
        <v>H</v>
      </c>
      <c r="AF431">
        <f t="shared" si="335"/>
        <v>1</v>
      </c>
      <c r="AH431">
        <f t="shared" si="336"/>
        <v>1</v>
      </c>
      <c r="AI431" t="str">
        <f t="shared" si="337"/>
        <v/>
      </c>
      <c r="AJ431" t="str">
        <f t="shared" si="338"/>
        <v/>
      </c>
      <c r="AK431">
        <f t="shared" si="339"/>
        <v>0.37999999999999989</v>
      </c>
      <c r="AL431" t="str">
        <f t="shared" si="329"/>
        <v/>
      </c>
      <c r="AM431" t="str">
        <f t="shared" si="330"/>
        <v/>
      </c>
    </row>
    <row r="432" spans="3:39" x14ac:dyDescent="0.35">
      <c r="D432" t="s">
        <v>34</v>
      </c>
      <c r="E432" t="s">
        <v>36</v>
      </c>
      <c r="G432">
        <v>6.7427201552843791E-2</v>
      </c>
      <c r="H432">
        <v>0.13787476308144456</v>
      </c>
      <c r="I432">
        <v>0.7946980353657116</v>
      </c>
      <c r="K432">
        <v>11.31</v>
      </c>
      <c r="L432">
        <v>6.1</v>
      </c>
      <c r="M432">
        <v>1.36</v>
      </c>
      <c r="N432">
        <v>8.8417329796640132E-2</v>
      </c>
      <c r="O432">
        <v>0.16393442622950821</v>
      </c>
      <c r="P432">
        <v>0.73529411764705876</v>
      </c>
      <c r="R432" t="s">
        <v>103</v>
      </c>
      <c r="S432">
        <v>1</v>
      </c>
      <c r="T432">
        <v>0</v>
      </c>
      <c r="V432" t="s">
        <v>105</v>
      </c>
      <c r="W432">
        <v>0</v>
      </c>
      <c r="Z432" t="s">
        <v>117</v>
      </c>
      <c r="AB432" t="str">
        <f t="shared" si="331"/>
        <v/>
      </c>
      <c r="AC432" t="str">
        <f t="shared" si="332"/>
        <v/>
      </c>
      <c r="AD432">
        <f t="shared" si="333"/>
        <v>0</v>
      </c>
      <c r="AE432" t="str">
        <f t="shared" si="334"/>
        <v>A</v>
      </c>
      <c r="AF432">
        <f t="shared" si="335"/>
        <v>0</v>
      </c>
      <c r="AH432" t="str">
        <f t="shared" si="336"/>
        <v/>
      </c>
      <c r="AI432" t="str">
        <f t="shared" si="337"/>
        <v/>
      </c>
      <c r="AJ432">
        <f t="shared" si="338"/>
        <v>0</v>
      </c>
      <c r="AK432" t="str">
        <f t="shared" si="339"/>
        <v/>
      </c>
      <c r="AL432" t="str">
        <f t="shared" si="329"/>
        <v/>
      </c>
      <c r="AM432">
        <f t="shared" si="330"/>
        <v>-1</v>
      </c>
    </row>
    <row r="433" spans="3:39" x14ac:dyDescent="0.35">
      <c r="D433" t="s">
        <v>29</v>
      </c>
      <c r="E433" t="s">
        <v>28</v>
      </c>
      <c r="G433">
        <v>0.36725499451031413</v>
      </c>
      <c r="H433">
        <v>0.2952378079993036</v>
      </c>
      <c r="I433">
        <v>0.33750719749038244</v>
      </c>
      <c r="K433">
        <v>2.2200000000000002</v>
      </c>
      <c r="L433">
        <v>3.74</v>
      </c>
      <c r="M433">
        <v>3.58</v>
      </c>
      <c r="N433">
        <v>0.4504504504504504</v>
      </c>
      <c r="O433">
        <v>0.26737967914438499</v>
      </c>
      <c r="P433">
        <v>0.27932960893854747</v>
      </c>
      <c r="R433" t="s">
        <v>103</v>
      </c>
      <c r="S433">
        <v>1</v>
      </c>
      <c r="T433">
        <v>0</v>
      </c>
      <c r="V433" t="s">
        <v>103</v>
      </c>
      <c r="W433">
        <v>1</v>
      </c>
      <c r="Z433">
        <v>0</v>
      </c>
      <c r="AB433">
        <f t="shared" si="331"/>
        <v>1</v>
      </c>
      <c r="AC433" t="str">
        <f t="shared" si="332"/>
        <v/>
      </c>
      <c r="AD433" t="str">
        <f t="shared" si="333"/>
        <v/>
      </c>
      <c r="AE433" t="str">
        <f t="shared" si="334"/>
        <v>H</v>
      </c>
      <c r="AF433">
        <f t="shared" si="335"/>
        <v>1</v>
      </c>
      <c r="AH433">
        <f t="shared" si="336"/>
        <v>1</v>
      </c>
      <c r="AI433" t="str">
        <f t="shared" si="337"/>
        <v/>
      </c>
      <c r="AJ433" t="str">
        <f t="shared" si="338"/>
        <v/>
      </c>
      <c r="AK433">
        <f t="shared" si="339"/>
        <v>1.2200000000000002</v>
      </c>
      <c r="AL433" t="str">
        <f t="shared" si="329"/>
        <v/>
      </c>
      <c r="AM433" t="str">
        <f t="shared" si="330"/>
        <v/>
      </c>
    </row>
    <row r="434" spans="3:39" x14ac:dyDescent="0.35">
      <c r="AB434" s="4"/>
      <c r="AC434" s="4"/>
      <c r="AD434" s="4"/>
    </row>
    <row r="437" spans="3:39" x14ac:dyDescent="0.35">
      <c r="C437" t="s">
        <v>152</v>
      </c>
      <c r="H437" s="21" t="s">
        <v>107</v>
      </c>
      <c r="K437" s="22" t="s">
        <v>106</v>
      </c>
      <c r="N437" t="s">
        <v>108</v>
      </c>
    </row>
    <row r="438" spans="3:39" x14ac:dyDescent="0.35">
      <c r="G438" t="s">
        <v>103</v>
      </c>
      <c r="H438" t="s">
        <v>104</v>
      </c>
      <c r="I438" t="s">
        <v>105</v>
      </c>
      <c r="K438" t="s">
        <v>103</v>
      </c>
      <c r="L438" t="s">
        <v>104</v>
      </c>
      <c r="M438" t="s">
        <v>105</v>
      </c>
      <c r="N438" t="s">
        <v>103</v>
      </c>
      <c r="O438" t="s">
        <v>104</v>
      </c>
      <c r="P438" t="s">
        <v>105</v>
      </c>
      <c r="R438" t="s">
        <v>110</v>
      </c>
      <c r="V438" t="s">
        <v>112</v>
      </c>
      <c r="W438" t="s">
        <v>111</v>
      </c>
      <c r="X438" s="28" t="s">
        <v>114</v>
      </c>
      <c r="Z438" t="s">
        <v>113</v>
      </c>
      <c r="AA438" s="28" t="s">
        <v>116</v>
      </c>
      <c r="AB438" t="s">
        <v>166</v>
      </c>
      <c r="AC438" t="s">
        <v>167</v>
      </c>
      <c r="AD438" t="s">
        <v>168</v>
      </c>
      <c r="AK438" t="str">
        <f t="shared" si="315"/>
        <v/>
      </c>
      <c r="AL438" t="str">
        <f t="shared" si="316"/>
        <v/>
      </c>
      <c r="AM438" t="str">
        <f t="shared" si="317"/>
        <v/>
      </c>
    </row>
    <row r="439" spans="3:39" x14ac:dyDescent="0.35">
      <c r="D439" t="s">
        <v>30</v>
      </c>
      <c r="E439" t="s">
        <v>42</v>
      </c>
      <c r="G439" s="4">
        <v>0.19671744548859474</v>
      </c>
      <c r="H439" s="4">
        <v>0.3232791840387908</v>
      </c>
      <c r="I439" s="4">
        <v>0.4800033704726146</v>
      </c>
      <c r="K439">
        <v>9.0500000000000007</v>
      </c>
      <c r="L439">
        <v>4.8499999999999996</v>
      </c>
      <c r="M439">
        <v>1.46</v>
      </c>
      <c r="N439" s="4">
        <v>0.11049723756906077</v>
      </c>
      <c r="O439" s="4">
        <v>0.2061855670103093</v>
      </c>
      <c r="P439" s="4">
        <v>0.68493150684931503</v>
      </c>
      <c r="R439" t="s">
        <v>105</v>
      </c>
      <c r="S439">
        <v>2</v>
      </c>
      <c r="T439">
        <v>3</v>
      </c>
      <c r="V439" t="s">
        <v>105</v>
      </c>
      <c r="W439">
        <v>1</v>
      </c>
      <c r="X439" s="28">
        <v>0.6</v>
      </c>
      <c r="Z439">
        <v>0</v>
      </c>
      <c r="AA439" s="28">
        <v>0.16666666666666666</v>
      </c>
      <c r="AB439" t="str">
        <f>IF(V439=$G$5, IF(W439=$R$2, 1,0), "")</f>
        <v/>
      </c>
      <c r="AC439" t="str">
        <f>IF(V439=$H$5, IF(W439=$R$2, 1,0), "")</f>
        <v/>
      </c>
      <c r="AD439">
        <f>IF(V439=$I$5, IF(W439=$R$2, 1,0), "")</f>
        <v>1</v>
      </c>
      <c r="AE439" t="str">
        <f>IF(MAX(N439:P439)=N439,$N$5,IF(MAX(N439:P439)=O439,$O$5,$P$5))</f>
        <v>A</v>
      </c>
      <c r="AF439">
        <f>IF(AE439=R439, $R$2,$R$3)</f>
        <v>1</v>
      </c>
      <c r="AG439" s="28">
        <f>COUNTIF(AF439:AF448, $R$2)/COUNT(AF439:AF448)</f>
        <v>0.5</v>
      </c>
      <c r="AH439" t="str">
        <f>IF(AE439=$G$5, IF(AF439=$R$2, 1,0), "")</f>
        <v/>
      </c>
      <c r="AI439" t="str">
        <f>IF(AE439=$H$5, IF(AF439=$R$2, 1,0), "")</f>
        <v/>
      </c>
      <c r="AJ439">
        <f>IF(AE439=$I$5, IF(AF439=$R$2, 1,0), "")</f>
        <v>1</v>
      </c>
      <c r="AK439" t="str">
        <f>IF(AB439=1, K439-1, IF(AB439=0, -1,""))</f>
        <v/>
      </c>
      <c r="AL439" t="str">
        <f t="shared" ref="AL439:AL448" si="340">IF(AC439=1, L439-1, IF(AC439=0, -1,""))</f>
        <v/>
      </c>
      <c r="AM439">
        <f t="shared" ref="AM439:AM448" si="341">IF(AD439=1, M439-1, IF(AD439=0, -1,""))</f>
        <v>0.45999999999999996</v>
      </c>
    </row>
    <row r="440" spans="3:39" x14ac:dyDescent="0.35">
      <c r="D440" t="s">
        <v>35</v>
      </c>
      <c r="E440" t="s">
        <v>50</v>
      </c>
      <c r="G440" s="4">
        <v>0.44265644670644949</v>
      </c>
      <c r="H440" s="4">
        <v>0.33078916671124275</v>
      </c>
      <c r="I440" s="4">
        <v>0.22655438658230767</v>
      </c>
      <c r="K440">
        <v>1.8</v>
      </c>
      <c r="L440">
        <v>3.94</v>
      </c>
      <c r="M440">
        <v>5.5</v>
      </c>
      <c r="N440" s="4">
        <v>0.55555555555555558</v>
      </c>
      <c r="O440" s="4">
        <v>0.25380710659898476</v>
      </c>
      <c r="P440" s="4">
        <v>0.18181818181818182</v>
      </c>
      <c r="R440" t="s">
        <v>103</v>
      </c>
      <c r="S440">
        <v>2</v>
      </c>
      <c r="T440">
        <v>1</v>
      </c>
      <c r="V440" t="s">
        <v>103</v>
      </c>
      <c r="W440">
        <v>1</v>
      </c>
      <c r="Z440">
        <v>0</v>
      </c>
      <c r="AA440" s="29" t="s">
        <v>117</v>
      </c>
      <c r="AB440">
        <f t="shared" ref="AB440:AB448" si="342">IF(V440=$G$5, IF(W440=$R$2, 1,0), "")</f>
        <v>1</v>
      </c>
      <c r="AC440" t="str">
        <f t="shared" ref="AC440:AC448" si="343">IF(V440=$H$5, IF(W440=$R$2, 1,0), "")</f>
        <v/>
      </c>
      <c r="AD440" t="str">
        <f t="shared" ref="AD440:AD448" si="344">IF(V440=$I$5, IF(W440=$R$2, 1,0), "")</f>
        <v/>
      </c>
      <c r="AE440" t="str">
        <f t="shared" ref="AE440:AE448" si="345">IF(MAX(N440:P440)=N440,$N$5,IF(MAX(N440:P440)=O440,$O$5,$P$5))</f>
        <v>H</v>
      </c>
      <c r="AF440">
        <f t="shared" ref="AF440:AF448" si="346">IF(AE440=R440, $R$2,$R$3)</f>
        <v>1</v>
      </c>
      <c r="AH440">
        <f t="shared" ref="AH440:AH448" si="347">IF(AE440=$G$5, IF(AF440=$R$2, 1,0), "")</f>
        <v>1</v>
      </c>
      <c r="AI440" t="str">
        <f t="shared" ref="AI440:AI448" si="348">IF(AE440=$H$5, IF(AF440=$R$2, 1,0), "")</f>
        <v/>
      </c>
      <c r="AJ440" t="str">
        <f t="shared" ref="AJ440:AJ448" si="349">IF(AE440=$I$5, IF(AF440=$R$2, 1,0), "")</f>
        <v/>
      </c>
      <c r="AK440">
        <f t="shared" ref="AK440:AK448" si="350">IF(AB440=1, K440-1, IF(AB440=0, -1,""))</f>
        <v>0.8</v>
      </c>
      <c r="AL440" t="str">
        <f t="shared" si="340"/>
        <v/>
      </c>
      <c r="AM440" t="str">
        <f t="shared" si="341"/>
        <v/>
      </c>
    </row>
    <row r="441" spans="3:39" x14ac:dyDescent="0.35">
      <c r="D441" t="s">
        <v>40</v>
      </c>
      <c r="E441" t="s">
        <v>25</v>
      </c>
      <c r="G441" s="4">
        <v>0.18650500318706129</v>
      </c>
      <c r="H441" s="4">
        <v>0.2506127424105557</v>
      </c>
      <c r="I441" s="4">
        <v>0.56288225440238326</v>
      </c>
      <c r="K441">
        <v>2.4900000000000002</v>
      </c>
      <c r="L441">
        <v>3.59</v>
      </c>
      <c r="M441">
        <v>3.15</v>
      </c>
      <c r="N441" s="4">
        <v>0.40160642570281119</v>
      </c>
      <c r="O441" s="4">
        <v>0.2785515320334262</v>
      </c>
      <c r="P441" s="4">
        <v>0.31746031746031744</v>
      </c>
      <c r="R441" t="s">
        <v>104</v>
      </c>
      <c r="S441">
        <v>1</v>
      </c>
      <c r="T441">
        <v>1</v>
      </c>
      <c r="V441" t="s">
        <v>105</v>
      </c>
      <c r="W441">
        <v>0</v>
      </c>
      <c r="Z441" t="s">
        <v>117</v>
      </c>
      <c r="AB441" t="str">
        <f t="shared" si="342"/>
        <v/>
      </c>
      <c r="AC441" t="str">
        <f t="shared" si="343"/>
        <v/>
      </c>
      <c r="AD441">
        <f t="shared" si="344"/>
        <v>0</v>
      </c>
      <c r="AE441" t="str">
        <f t="shared" si="345"/>
        <v>H</v>
      </c>
      <c r="AF441">
        <f t="shared" si="346"/>
        <v>0</v>
      </c>
      <c r="AH441">
        <f t="shared" si="347"/>
        <v>0</v>
      </c>
      <c r="AI441" t="str">
        <f t="shared" si="348"/>
        <v/>
      </c>
      <c r="AJ441" t="str">
        <f t="shared" si="349"/>
        <v/>
      </c>
      <c r="AK441" t="str">
        <f t="shared" si="350"/>
        <v/>
      </c>
      <c r="AL441" t="str">
        <f t="shared" si="340"/>
        <v/>
      </c>
      <c r="AM441">
        <f t="shared" si="341"/>
        <v>-1</v>
      </c>
    </row>
    <row r="442" spans="3:39" x14ac:dyDescent="0.35">
      <c r="D442" t="s">
        <v>36</v>
      </c>
      <c r="E442" t="s">
        <v>46</v>
      </c>
      <c r="G442" s="4">
        <v>0.76182365462231882</v>
      </c>
      <c r="H442" s="4">
        <v>0.17016101037139006</v>
      </c>
      <c r="I442" s="4">
        <v>6.801533500629077E-2</v>
      </c>
      <c r="K442">
        <v>1.1599999999999999</v>
      </c>
      <c r="L442">
        <v>10.5</v>
      </c>
      <c r="M442">
        <v>29</v>
      </c>
      <c r="N442" s="4">
        <v>0.86206896551724144</v>
      </c>
      <c r="O442" s="4">
        <v>9.5238095238095233E-2</v>
      </c>
      <c r="P442" s="4">
        <v>3.4482758620689655E-2</v>
      </c>
      <c r="R442" t="s">
        <v>103</v>
      </c>
      <c r="S442">
        <v>5</v>
      </c>
      <c r="T442">
        <v>0</v>
      </c>
      <c r="V442" t="s">
        <v>103</v>
      </c>
      <c r="W442">
        <v>1</v>
      </c>
      <c r="Z442">
        <v>0</v>
      </c>
      <c r="AB442">
        <f t="shared" si="342"/>
        <v>1</v>
      </c>
      <c r="AC442" t="str">
        <f t="shared" si="343"/>
        <v/>
      </c>
      <c r="AD442" t="str">
        <f t="shared" si="344"/>
        <v/>
      </c>
      <c r="AE442" t="str">
        <f t="shared" si="345"/>
        <v>H</v>
      </c>
      <c r="AF442">
        <f t="shared" si="346"/>
        <v>1</v>
      </c>
      <c r="AH442">
        <f t="shared" si="347"/>
        <v>1</v>
      </c>
      <c r="AI442" t="str">
        <f t="shared" si="348"/>
        <v/>
      </c>
      <c r="AJ442" t="str">
        <f t="shared" si="349"/>
        <v/>
      </c>
      <c r="AK442">
        <f t="shared" si="350"/>
        <v>0.15999999999999992</v>
      </c>
      <c r="AL442" t="str">
        <f t="shared" si="340"/>
        <v/>
      </c>
      <c r="AM442" t="str">
        <f t="shared" si="341"/>
        <v/>
      </c>
    </row>
    <row r="443" spans="3:39" x14ac:dyDescent="0.35">
      <c r="D443" t="s">
        <v>51</v>
      </c>
      <c r="E443" t="s">
        <v>49</v>
      </c>
      <c r="G443" s="4">
        <v>0.24256887188122786</v>
      </c>
      <c r="H443" s="4">
        <v>0.3420027157584859</v>
      </c>
      <c r="I443" s="4">
        <v>0.41542841236028621</v>
      </c>
      <c r="K443">
        <v>4.0999999999999996</v>
      </c>
      <c r="L443">
        <v>3.26</v>
      </c>
      <c r="M443">
        <v>2.25</v>
      </c>
      <c r="N443" s="4">
        <v>0.24390243902439027</v>
      </c>
      <c r="O443" s="4">
        <v>0.30674846625766872</v>
      </c>
      <c r="P443" s="4">
        <v>0.44444444444444442</v>
      </c>
      <c r="R443" t="s">
        <v>103</v>
      </c>
      <c r="S443">
        <v>1</v>
      </c>
      <c r="T443">
        <v>0</v>
      </c>
      <c r="V443" t="s">
        <v>105</v>
      </c>
      <c r="W443">
        <v>0</v>
      </c>
      <c r="Z443" t="s">
        <v>117</v>
      </c>
      <c r="AB443" t="str">
        <f t="shared" si="342"/>
        <v/>
      </c>
      <c r="AC443" t="str">
        <f t="shared" si="343"/>
        <v/>
      </c>
      <c r="AD443">
        <f t="shared" si="344"/>
        <v>0</v>
      </c>
      <c r="AE443" t="str">
        <f t="shared" si="345"/>
        <v>A</v>
      </c>
      <c r="AF443">
        <f t="shared" si="346"/>
        <v>0</v>
      </c>
      <c r="AH443" t="str">
        <f t="shared" si="347"/>
        <v/>
      </c>
      <c r="AI443" t="str">
        <f t="shared" si="348"/>
        <v/>
      </c>
      <c r="AJ443">
        <f t="shared" si="349"/>
        <v>0</v>
      </c>
      <c r="AK443" t="str">
        <f t="shared" si="350"/>
        <v/>
      </c>
      <c r="AL443" t="str">
        <f t="shared" si="340"/>
        <v/>
      </c>
      <c r="AM443">
        <f t="shared" si="341"/>
        <v>-1</v>
      </c>
    </row>
    <row r="444" spans="3:39" x14ac:dyDescent="0.35">
      <c r="D444" t="s">
        <v>43</v>
      </c>
      <c r="E444" t="s">
        <v>32</v>
      </c>
      <c r="G444" s="4">
        <v>0.31671094906109454</v>
      </c>
      <c r="H444" s="4">
        <v>0.30718003782682518</v>
      </c>
      <c r="I444" s="4">
        <v>0.37610901311208056</v>
      </c>
      <c r="K444">
        <v>2.1</v>
      </c>
      <c r="L444">
        <v>3.6</v>
      </c>
      <c r="M444">
        <v>4.05</v>
      </c>
      <c r="N444" s="4">
        <v>0.47619047619047616</v>
      </c>
      <c r="O444" s="4">
        <v>0.27777777777777779</v>
      </c>
      <c r="P444" s="4">
        <v>0.24691358024691359</v>
      </c>
      <c r="R444" t="s">
        <v>105</v>
      </c>
      <c r="S444">
        <v>0</v>
      </c>
      <c r="T444">
        <v>1</v>
      </c>
      <c r="V444" t="s">
        <v>105</v>
      </c>
      <c r="W444">
        <v>1</v>
      </c>
      <c r="Z444">
        <v>1</v>
      </c>
      <c r="AB444" t="str">
        <f t="shared" si="342"/>
        <v/>
      </c>
      <c r="AC444" t="str">
        <f t="shared" si="343"/>
        <v/>
      </c>
      <c r="AD444">
        <f t="shared" si="344"/>
        <v>1</v>
      </c>
      <c r="AE444" t="str">
        <f t="shared" si="345"/>
        <v>H</v>
      </c>
      <c r="AF444">
        <f t="shared" si="346"/>
        <v>0</v>
      </c>
      <c r="AH444">
        <f t="shared" si="347"/>
        <v>0</v>
      </c>
      <c r="AI444" t="str">
        <f t="shared" si="348"/>
        <v/>
      </c>
      <c r="AJ444" t="str">
        <f t="shared" si="349"/>
        <v/>
      </c>
      <c r="AK444" t="str">
        <f t="shared" si="350"/>
        <v/>
      </c>
      <c r="AL444" t="str">
        <f t="shared" si="340"/>
        <v/>
      </c>
      <c r="AM444">
        <f t="shared" si="341"/>
        <v>3.05</v>
      </c>
    </row>
    <row r="445" spans="3:39" x14ac:dyDescent="0.35">
      <c r="D445" t="s">
        <v>45</v>
      </c>
      <c r="E445" t="s">
        <v>41</v>
      </c>
      <c r="G445" s="4">
        <v>0.159525346329802</v>
      </c>
      <c r="H445" s="4">
        <v>0.2945008961320017</v>
      </c>
      <c r="I445" s="4">
        <v>0.54597375753819632</v>
      </c>
      <c r="K445">
        <v>6.5</v>
      </c>
      <c r="L445">
        <v>4.45</v>
      </c>
      <c r="M445">
        <v>1.62</v>
      </c>
      <c r="N445" s="4">
        <v>0.15384615384615385</v>
      </c>
      <c r="O445" s="4">
        <v>0.2247191011235955</v>
      </c>
      <c r="P445" s="4">
        <v>0.61728395061728392</v>
      </c>
      <c r="R445" t="s">
        <v>105</v>
      </c>
      <c r="S445">
        <v>1</v>
      </c>
      <c r="T445">
        <v>3</v>
      </c>
      <c r="V445" t="s">
        <v>105</v>
      </c>
      <c r="W445">
        <v>1</v>
      </c>
      <c r="Z445">
        <v>0</v>
      </c>
      <c r="AB445" t="str">
        <f t="shared" si="342"/>
        <v/>
      </c>
      <c r="AC445" t="str">
        <f t="shared" si="343"/>
        <v/>
      </c>
      <c r="AD445">
        <f t="shared" si="344"/>
        <v>1</v>
      </c>
      <c r="AE445" t="str">
        <f t="shared" si="345"/>
        <v>A</v>
      </c>
      <c r="AF445">
        <f t="shared" si="346"/>
        <v>1</v>
      </c>
      <c r="AH445" t="str">
        <f t="shared" si="347"/>
        <v/>
      </c>
      <c r="AI445" t="str">
        <f t="shared" si="348"/>
        <v/>
      </c>
      <c r="AJ445">
        <f t="shared" si="349"/>
        <v>1</v>
      </c>
      <c r="AK445" t="str">
        <f t="shared" si="350"/>
        <v/>
      </c>
      <c r="AL445" t="str">
        <f t="shared" si="340"/>
        <v/>
      </c>
      <c r="AM445">
        <f t="shared" si="341"/>
        <v>0.62000000000000011</v>
      </c>
    </row>
    <row r="446" spans="3:39" x14ac:dyDescent="0.35">
      <c r="D446" t="s">
        <v>28</v>
      </c>
      <c r="E446" t="s">
        <v>34</v>
      </c>
      <c r="G446" s="4">
        <v>0.29981584672382533</v>
      </c>
      <c r="H446" s="4">
        <v>0.31675116485860955</v>
      </c>
      <c r="I446" s="4">
        <v>0.38343298841756507</v>
      </c>
      <c r="K446">
        <v>2.15</v>
      </c>
      <c r="L446">
        <v>3.65</v>
      </c>
      <c r="M446">
        <v>3.86</v>
      </c>
      <c r="N446" s="4">
        <v>0.46511627906976744</v>
      </c>
      <c r="O446" s="4">
        <v>0.27397260273972601</v>
      </c>
      <c r="P446" s="4">
        <v>0.2590673575129534</v>
      </c>
      <c r="R446" t="s">
        <v>104</v>
      </c>
      <c r="S446">
        <v>1</v>
      </c>
      <c r="T446">
        <v>1</v>
      </c>
      <c r="V446" t="s">
        <v>105</v>
      </c>
      <c r="W446">
        <v>0</v>
      </c>
      <c r="Z446" t="s">
        <v>117</v>
      </c>
      <c r="AB446" t="str">
        <f t="shared" si="342"/>
        <v/>
      </c>
      <c r="AC446" t="str">
        <f t="shared" si="343"/>
        <v/>
      </c>
      <c r="AD446">
        <f t="shared" si="344"/>
        <v>0</v>
      </c>
      <c r="AE446" t="str">
        <f t="shared" si="345"/>
        <v>H</v>
      </c>
      <c r="AF446">
        <f t="shared" si="346"/>
        <v>0</v>
      </c>
      <c r="AH446">
        <f t="shared" si="347"/>
        <v>0</v>
      </c>
      <c r="AI446" t="str">
        <f t="shared" si="348"/>
        <v/>
      </c>
      <c r="AJ446" t="str">
        <f t="shared" si="349"/>
        <v/>
      </c>
      <c r="AK446" t="str">
        <f t="shared" si="350"/>
        <v/>
      </c>
      <c r="AL446" t="str">
        <f t="shared" si="340"/>
        <v/>
      </c>
      <c r="AM446">
        <f t="shared" si="341"/>
        <v>-1</v>
      </c>
    </row>
    <row r="447" spans="3:39" x14ac:dyDescent="0.35">
      <c r="D447" t="s">
        <v>38</v>
      </c>
      <c r="E447" t="s">
        <v>29</v>
      </c>
      <c r="G447" s="4">
        <v>0.24116657573336078</v>
      </c>
      <c r="H447" s="4">
        <v>0.27621411710516652</v>
      </c>
      <c r="I447" s="4">
        <v>0.48261930716147239</v>
      </c>
      <c r="K447">
        <v>5.45</v>
      </c>
      <c r="L447">
        <v>4.2</v>
      </c>
      <c r="M447">
        <v>1.72</v>
      </c>
      <c r="N447" s="4">
        <v>0.18348623853211007</v>
      </c>
      <c r="O447" s="4">
        <v>0.23809523809523808</v>
      </c>
      <c r="P447" s="4">
        <v>0.58139534883720934</v>
      </c>
      <c r="R447" t="s">
        <v>104</v>
      </c>
      <c r="S447">
        <v>0</v>
      </c>
      <c r="T447">
        <v>0</v>
      </c>
      <c r="V447" t="s">
        <v>105</v>
      </c>
      <c r="W447">
        <v>0</v>
      </c>
      <c r="Z447" t="s">
        <v>117</v>
      </c>
      <c r="AB447" t="str">
        <f t="shared" si="342"/>
        <v/>
      </c>
      <c r="AC447" t="str">
        <f t="shared" si="343"/>
        <v/>
      </c>
      <c r="AD447">
        <f t="shared" si="344"/>
        <v>0</v>
      </c>
      <c r="AE447" t="str">
        <f t="shared" si="345"/>
        <v>A</v>
      </c>
      <c r="AF447">
        <f t="shared" si="346"/>
        <v>0</v>
      </c>
      <c r="AH447" t="str">
        <f t="shared" si="347"/>
        <v/>
      </c>
      <c r="AI447" t="str">
        <f t="shared" si="348"/>
        <v/>
      </c>
      <c r="AJ447">
        <f t="shared" si="349"/>
        <v>0</v>
      </c>
      <c r="AK447" t="str">
        <f t="shared" si="350"/>
        <v/>
      </c>
      <c r="AL447" t="str">
        <f t="shared" si="340"/>
        <v/>
      </c>
      <c r="AM447">
        <f t="shared" si="341"/>
        <v>-1</v>
      </c>
    </row>
    <row r="448" spans="3:39" x14ac:dyDescent="0.35">
      <c r="D448" t="s">
        <v>52</v>
      </c>
      <c r="E448" t="s">
        <v>39</v>
      </c>
      <c r="G448" s="4">
        <v>0.16522202607186659</v>
      </c>
      <c r="H448" s="4">
        <v>0.25843002166767631</v>
      </c>
      <c r="I448" s="4">
        <v>0.57634795226045687</v>
      </c>
      <c r="K448">
        <v>10.5</v>
      </c>
      <c r="L448">
        <v>5.45</v>
      </c>
      <c r="M448">
        <v>1.38</v>
      </c>
      <c r="N448" s="4">
        <v>9.5238095238095233E-2</v>
      </c>
      <c r="O448" s="4">
        <v>0.18348623853211007</v>
      </c>
      <c r="P448" s="4">
        <v>0.7246376811594204</v>
      </c>
      <c r="R448" t="s">
        <v>105</v>
      </c>
      <c r="S448">
        <v>0</v>
      </c>
      <c r="T448">
        <v>3</v>
      </c>
      <c r="V448" t="s">
        <v>105</v>
      </c>
      <c r="W448">
        <v>1</v>
      </c>
      <c r="Z448">
        <v>0</v>
      </c>
      <c r="AB448" t="str">
        <f t="shared" si="342"/>
        <v/>
      </c>
      <c r="AC448" t="str">
        <f t="shared" si="343"/>
        <v/>
      </c>
      <c r="AD448">
        <f t="shared" si="344"/>
        <v>1</v>
      </c>
      <c r="AE448" t="str">
        <f t="shared" si="345"/>
        <v>A</v>
      </c>
      <c r="AF448">
        <f t="shared" si="346"/>
        <v>1</v>
      </c>
      <c r="AH448" t="str">
        <f t="shared" si="347"/>
        <v/>
      </c>
      <c r="AI448" t="str">
        <f t="shared" si="348"/>
        <v/>
      </c>
      <c r="AJ448">
        <f t="shared" si="349"/>
        <v>1</v>
      </c>
      <c r="AK448" t="str">
        <f t="shared" si="350"/>
        <v/>
      </c>
      <c r="AL448" t="str">
        <f t="shared" si="340"/>
        <v/>
      </c>
      <c r="AM448">
        <f t="shared" si="341"/>
        <v>0.37999999999999989</v>
      </c>
    </row>
    <row r="449" spans="3:39" x14ac:dyDescent="0.35">
      <c r="G449" s="4"/>
      <c r="H449" s="4"/>
      <c r="I449" s="4"/>
      <c r="N449" s="4"/>
      <c r="O449" s="4"/>
      <c r="P449" s="4"/>
      <c r="AB449" s="4"/>
      <c r="AC449" s="4"/>
      <c r="AD449" s="4"/>
    </row>
    <row r="453" spans="3:39" x14ac:dyDescent="0.35">
      <c r="C453" t="s">
        <v>153</v>
      </c>
      <c r="H453" s="21" t="s">
        <v>107</v>
      </c>
      <c r="K453" s="22" t="s">
        <v>106</v>
      </c>
      <c r="N453" t="s">
        <v>108</v>
      </c>
    </row>
    <row r="454" spans="3:39" x14ac:dyDescent="0.35">
      <c r="G454" t="s">
        <v>103</v>
      </c>
      <c r="H454" t="s">
        <v>104</v>
      </c>
      <c r="I454" t="s">
        <v>105</v>
      </c>
      <c r="K454" t="s">
        <v>103</v>
      </c>
      <c r="L454" t="s">
        <v>104</v>
      </c>
      <c r="M454" t="s">
        <v>105</v>
      </c>
      <c r="N454" t="s">
        <v>103</v>
      </c>
      <c r="O454" t="s">
        <v>104</v>
      </c>
      <c r="P454" t="s">
        <v>105</v>
      </c>
      <c r="R454" t="s">
        <v>110</v>
      </c>
      <c r="V454" t="s">
        <v>112</v>
      </c>
      <c r="W454" t="s">
        <v>111</v>
      </c>
      <c r="X454" s="28" t="s">
        <v>114</v>
      </c>
      <c r="Z454" t="s">
        <v>113</v>
      </c>
      <c r="AA454" s="28" t="s">
        <v>116</v>
      </c>
      <c r="AB454" t="s">
        <v>166</v>
      </c>
      <c r="AC454" t="s">
        <v>167</v>
      </c>
      <c r="AD454" t="s">
        <v>168</v>
      </c>
      <c r="AK454" t="str">
        <f t="shared" si="315"/>
        <v/>
      </c>
      <c r="AL454" t="str">
        <f t="shared" si="316"/>
        <v/>
      </c>
      <c r="AM454" t="str">
        <f t="shared" si="317"/>
        <v/>
      </c>
    </row>
    <row r="455" spans="3:39" x14ac:dyDescent="0.35">
      <c r="D455" t="s">
        <v>35</v>
      </c>
      <c r="E455" t="s">
        <v>46</v>
      </c>
      <c r="G455" s="4">
        <v>0.44088438529652035</v>
      </c>
      <c r="H455" s="4">
        <v>0.31121254624232519</v>
      </c>
      <c r="I455" s="4">
        <v>0.24790306846115434</v>
      </c>
      <c r="K455">
        <v>1.88</v>
      </c>
      <c r="L455">
        <v>3.72</v>
      </c>
      <c r="M455">
        <v>5</v>
      </c>
      <c r="N455" s="4">
        <v>0.53191489361702127</v>
      </c>
      <c r="O455" s="4">
        <v>0.26881720430107525</v>
      </c>
      <c r="P455" s="4">
        <v>0.2</v>
      </c>
      <c r="R455" t="s">
        <v>103</v>
      </c>
      <c r="S455">
        <v>2</v>
      </c>
      <c r="T455">
        <v>1</v>
      </c>
      <c r="V455" t="s">
        <v>103</v>
      </c>
      <c r="W455">
        <v>1</v>
      </c>
      <c r="X455" s="28">
        <v>0.4</v>
      </c>
      <c r="Z455">
        <v>0</v>
      </c>
      <c r="AA455" s="28">
        <v>0</v>
      </c>
      <c r="AB455">
        <f>IF(V455=$G$5, IF(W455=$R$2, 1,0), "")</f>
        <v>1</v>
      </c>
      <c r="AC455" t="str">
        <f>IF(V455=$H$5, IF(W455=$R$2, 1,0), "")</f>
        <v/>
      </c>
      <c r="AD455" t="str">
        <f>IF(V455=$I$5, IF(W455=$R$2, 1,0), "")</f>
        <v/>
      </c>
      <c r="AE455" t="str">
        <f>IF(MAX(N455:P455)=N455,$N$5,IF(MAX(N455:P455)=O455,$O$5,$P$5))</f>
        <v>H</v>
      </c>
      <c r="AF455">
        <f>IF(AE455=R455, $R$2,$R$3)</f>
        <v>1</v>
      </c>
      <c r="AG455" s="28">
        <f>COUNTIF(AF455:AF464, $R$2)/COUNT(AF455:AF464)</f>
        <v>0.6</v>
      </c>
      <c r="AH455">
        <f>IF(AE455=$G$5, IF(AF455=$R$2, 1,0), "")</f>
        <v>1</v>
      </c>
      <c r="AI455" t="str">
        <f>IF(AE455=$H$5, IF(AF455=$R$2, 1,0), "")</f>
        <v/>
      </c>
      <c r="AJ455" t="str">
        <f>IF(AE455=$I$5, IF(AF455=$R$2, 1,0), "")</f>
        <v/>
      </c>
      <c r="AK455">
        <f>IF(AB455=1, K455-1, IF(AB455=0, -1,""))</f>
        <v>0.87999999999999989</v>
      </c>
      <c r="AL455" t="str">
        <f t="shared" ref="AL455:AL464" si="351">IF(AC455=1, L455-1, IF(AC455=0, -1,""))</f>
        <v/>
      </c>
      <c r="AM455" t="str">
        <f t="shared" ref="AM455:AM464" si="352">IF(AD455=1, M455-1, IF(AD455=0, -1,""))</f>
        <v/>
      </c>
    </row>
    <row r="456" spans="3:39" x14ac:dyDescent="0.35">
      <c r="D456" t="s">
        <v>50</v>
      </c>
      <c r="E456" t="s">
        <v>43</v>
      </c>
      <c r="G456" s="4">
        <v>0.27323030828713341</v>
      </c>
      <c r="H456" s="4">
        <v>0.31381386776540443</v>
      </c>
      <c r="I456" s="4">
        <v>0.41295582394746205</v>
      </c>
      <c r="K456">
        <v>3.9</v>
      </c>
      <c r="L456">
        <v>3.8</v>
      </c>
      <c r="M456">
        <v>2.0699999999999998</v>
      </c>
      <c r="N456" s="4">
        <v>0.25641025641025644</v>
      </c>
      <c r="O456" s="4">
        <v>0.26315789473684209</v>
      </c>
      <c r="P456" s="4">
        <v>0.48309178743961356</v>
      </c>
      <c r="R456" t="s">
        <v>105</v>
      </c>
      <c r="S456">
        <v>0</v>
      </c>
      <c r="T456">
        <v>4</v>
      </c>
      <c r="V456" t="s">
        <v>105</v>
      </c>
      <c r="W456">
        <v>1</v>
      </c>
      <c r="Z456">
        <v>0</v>
      </c>
      <c r="AA456" s="29" t="s">
        <v>117</v>
      </c>
      <c r="AB456" t="str">
        <f t="shared" ref="AB456:AB464" si="353">IF(V456=$G$5, IF(W456=$R$2, 1,0), "")</f>
        <v/>
      </c>
      <c r="AC456" t="str">
        <f t="shared" ref="AC456:AC464" si="354">IF(V456=$H$5, IF(W456=$R$2, 1,0), "")</f>
        <v/>
      </c>
      <c r="AD456">
        <f t="shared" ref="AD456:AD464" si="355">IF(V456=$I$5, IF(W456=$R$2, 1,0), "")</f>
        <v>1</v>
      </c>
      <c r="AE456" t="str">
        <f t="shared" ref="AE456:AE464" si="356">IF(MAX(N456:P456)=N456,$N$5,IF(MAX(N456:P456)=O456,$O$5,$P$5))</f>
        <v>A</v>
      </c>
      <c r="AF456">
        <f t="shared" ref="AF456:AF464" si="357">IF(AE456=R456, $R$2,$R$3)</f>
        <v>1</v>
      </c>
      <c r="AH456" t="str">
        <f t="shared" ref="AH456:AH464" si="358">IF(AE456=$G$5, IF(AF456=$R$2, 1,0), "")</f>
        <v/>
      </c>
      <c r="AI456" t="str">
        <f t="shared" ref="AI456:AI464" si="359">IF(AE456=$H$5, IF(AF456=$R$2, 1,0), "")</f>
        <v/>
      </c>
      <c r="AJ456">
        <f t="shared" ref="AJ456:AJ464" si="360">IF(AE456=$I$5, IF(AF456=$R$2, 1,0), "")</f>
        <v>1</v>
      </c>
      <c r="AK456" t="str">
        <f t="shared" ref="AK456:AK464" si="361">IF(AB456=1, K456-1, IF(AB456=0, -1,""))</f>
        <v/>
      </c>
      <c r="AL456" t="str">
        <f t="shared" si="351"/>
        <v/>
      </c>
      <c r="AM456">
        <f t="shared" si="352"/>
        <v>1.0699999999999998</v>
      </c>
    </row>
    <row r="457" spans="3:39" x14ac:dyDescent="0.35">
      <c r="D457" t="s">
        <v>41</v>
      </c>
      <c r="E457" t="s">
        <v>32</v>
      </c>
      <c r="G457" s="4">
        <v>0.66690025919526208</v>
      </c>
      <c r="H457" s="4">
        <v>0.23035323553921558</v>
      </c>
      <c r="I457" s="4">
        <v>0.10274650526552237</v>
      </c>
      <c r="K457">
        <v>1.28</v>
      </c>
      <c r="L457">
        <v>6.7</v>
      </c>
      <c r="M457">
        <v>13</v>
      </c>
      <c r="N457" s="4">
        <v>0.78125</v>
      </c>
      <c r="O457" s="4">
        <v>0.14925373134328357</v>
      </c>
      <c r="P457" s="4">
        <v>7.6923076923076927E-2</v>
      </c>
      <c r="R457" t="s">
        <v>104</v>
      </c>
      <c r="S457">
        <v>1</v>
      </c>
      <c r="T457">
        <v>1</v>
      </c>
      <c r="V457" t="s">
        <v>103</v>
      </c>
      <c r="W457">
        <v>0</v>
      </c>
      <c r="Z457" t="s">
        <v>117</v>
      </c>
      <c r="AB457">
        <f t="shared" si="353"/>
        <v>0</v>
      </c>
      <c r="AC457" t="str">
        <f t="shared" si="354"/>
        <v/>
      </c>
      <c r="AD457" t="str">
        <f t="shared" si="355"/>
        <v/>
      </c>
      <c r="AE457" t="str">
        <f t="shared" si="356"/>
        <v>H</v>
      </c>
      <c r="AF457">
        <f t="shared" si="357"/>
        <v>0</v>
      </c>
      <c r="AH457">
        <f t="shared" si="358"/>
        <v>0</v>
      </c>
      <c r="AI457" t="str">
        <f t="shared" si="359"/>
        <v/>
      </c>
      <c r="AJ457" t="str">
        <f t="shared" si="360"/>
        <v/>
      </c>
      <c r="AK457">
        <f t="shared" si="361"/>
        <v>-1</v>
      </c>
      <c r="AL457" t="str">
        <f t="shared" si="351"/>
        <v/>
      </c>
      <c r="AM457" t="str">
        <f t="shared" si="352"/>
        <v/>
      </c>
    </row>
    <row r="458" spans="3:39" x14ac:dyDescent="0.35">
      <c r="D458" t="s">
        <v>51</v>
      </c>
      <c r="E458" t="s">
        <v>42</v>
      </c>
      <c r="G458" s="4">
        <v>0.2932297330515049</v>
      </c>
      <c r="H458" s="4">
        <v>0.304823552930515</v>
      </c>
      <c r="I458" s="4">
        <v>0.40194671401798004</v>
      </c>
      <c r="K458">
        <v>6.8</v>
      </c>
      <c r="L458">
        <v>4.1500000000000004</v>
      </c>
      <c r="M458">
        <v>1.65</v>
      </c>
      <c r="N458" s="4">
        <v>0.14705882352941177</v>
      </c>
      <c r="O458" s="4">
        <v>0.24096385542168672</v>
      </c>
      <c r="P458" s="4">
        <v>0.60606060606060608</v>
      </c>
      <c r="R458" t="s">
        <v>103</v>
      </c>
      <c r="S458">
        <v>3</v>
      </c>
      <c r="T458">
        <v>0</v>
      </c>
      <c r="V458" t="s">
        <v>105</v>
      </c>
      <c r="W458">
        <v>0</v>
      </c>
      <c r="Z458" t="s">
        <v>117</v>
      </c>
      <c r="AB458" t="str">
        <f t="shared" si="353"/>
        <v/>
      </c>
      <c r="AC458" t="str">
        <f t="shared" si="354"/>
        <v/>
      </c>
      <c r="AD458">
        <f t="shared" si="355"/>
        <v>0</v>
      </c>
      <c r="AE458" t="str">
        <f t="shared" si="356"/>
        <v>A</v>
      </c>
      <c r="AF458">
        <f t="shared" si="357"/>
        <v>0</v>
      </c>
      <c r="AH458" t="str">
        <f t="shared" si="358"/>
        <v/>
      </c>
      <c r="AI458" t="str">
        <f t="shared" si="359"/>
        <v/>
      </c>
      <c r="AJ458">
        <f t="shared" si="360"/>
        <v>0</v>
      </c>
      <c r="AK458" t="str">
        <f t="shared" si="361"/>
        <v/>
      </c>
      <c r="AL458" t="str">
        <f t="shared" si="351"/>
        <v/>
      </c>
      <c r="AM458">
        <f t="shared" si="352"/>
        <v>-1</v>
      </c>
    </row>
    <row r="459" spans="3:39" x14ac:dyDescent="0.35">
      <c r="D459" t="s">
        <v>45</v>
      </c>
      <c r="E459" t="s">
        <v>36</v>
      </c>
      <c r="G459" s="4">
        <v>0.13505670553093763</v>
      </c>
      <c r="H459" s="4">
        <v>0.21766621482478934</v>
      </c>
      <c r="I459" s="4">
        <v>0.64727707964427317</v>
      </c>
      <c r="K459">
        <v>12</v>
      </c>
      <c r="L459">
        <v>6.05</v>
      </c>
      <c r="M459">
        <v>1.35</v>
      </c>
      <c r="N459" s="4">
        <v>8.3333333333333329E-2</v>
      </c>
      <c r="O459" s="4">
        <v>0.16528925619834711</v>
      </c>
      <c r="P459" s="4">
        <v>0.7407407407407407</v>
      </c>
      <c r="R459" t="s">
        <v>105</v>
      </c>
      <c r="S459">
        <v>0</v>
      </c>
      <c r="T459">
        <v>5</v>
      </c>
      <c r="V459" t="s">
        <v>105</v>
      </c>
      <c r="W459">
        <v>1</v>
      </c>
      <c r="Z459">
        <v>0</v>
      </c>
      <c r="AB459" t="str">
        <f t="shared" si="353"/>
        <v/>
      </c>
      <c r="AC459" t="str">
        <f t="shared" si="354"/>
        <v/>
      </c>
      <c r="AD459">
        <f t="shared" si="355"/>
        <v>1</v>
      </c>
      <c r="AE459" t="str">
        <f t="shared" si="356"/>
        <v>A</v>
      </c>
      <c r="AF459">
        <f t="shared" si="357"/>
        <v>1</v>
      </c>
      <c r="AH459" t="str">
        <f t="shared" si="358"/>
        <v/>
      </c>
      <c r="AI459" t="str">
        <f t="shared" si="359"/>
        <v/>
      </c>
      <c r="AJ459">
        <f t="shared" si="360"/>
        <v>1</v>
      </c>
      <c r="AK459" t="str">
        <f t="shared" si="361"/>
        <v/>
      </c>
      <c r="AL459" t="str">
        <f t="shared" si="351"/>
        <v/>
      </c>
      <c r="AM459">
        <f t="shared" si="352"/>
        <v>0.35000000000000009</v>
      </c>
    </row>
    <row r="460" spans="3:39" x14ac:dyDescent="0.35">
      <c r="D460" t="s">
        <v>49</v>
      </c>
      <c r="E460" t="s">
        <v>28</v>
      </c>
      <c r="G460" s="4">
        <v>0.32163508702606247</v>
      </c>
      <c r="H460" s="4">
        <v>0.34432048823245032</v>
      </c>
      <c r="I460" s="4">
        <v>0.33404442474148704</v>
      </c>
      <c r="K460">
        <v>2.16</v>
      </c>
      <c r="L460">
        <v>3.35</v>
      </c>
      <c r="M460">
        <v>4.2</v>
      </c>
      <c r="N460" s="4">
        <v>0.46296296296296291</v>
      </c>
      <c r="O460" s="4">
        <v>0.29850746268656714</v>
      </c>
      <c r="P460" s="4">
        <v>0.23809523809523808</v>
      </c>
      <c r="R460" t="s">
        <v>103</v>
      </c>
      <c r="S460">
        <v>3</v>
      </c>
      <c r="T460">
        <v>0</v>
      </c>
      <c r="V460" t="s">
        <v>104</v>
      </c>
      <c r="W460">
        <v>0</v>
      </c>
      <c r="Z460" t="s">
        <v>117</v>
      </c>
      <c r="AB460" t="str">
        <f t="shared" si="353"/>
        <v/>
      </c>
      <c r="AC460">
        <f t="shared" si="354"/>
        <v>0</v>
      </c>
      <c r="AD460" t="str">
        <f t="shared" si="355"/>
        <v/>
      </c>
      <c r="AE460" t="str">
        <f t="shared" si="356"/>
        <v>H</v>
      </c>
      <c r="AF460">
        <f t="shared" si="357"/>
        <v>1</v>
      </c>
      <c r="AH460">
        <f t="shared" si="358"/>
        <v>1</v>
      </c>
      <c r="AI460" t="str">
        <f t="shared" si="359"/>
        <v/>
      </c>
      <c r="AJ460" t="str">
        <f t="shared" si="360"/>
        <v/>
      </c>
      <c r="AK460" t="str">
        <f t="shared" si="361"/>
        <v/>
      </c>
      <c r="AL460">
        <f t="shared" si="351"/>
        <v>-1</v>
      </c>
      <c r="AM460" t="str">
        <f t="shared" si="352"/>
        <v/>
      </c>
    </row>
    <row r="461" spans="3:39" x14ac:dyDescent="0.35">
      <c r="D461" t="s">
        <v>52</v>
      </c>
      <c r="E461" t="s">
        <v>30</v>
      </c>
      <c r="G461" s="4">
        <v>0.32624077314924421</v>
      </c>
      <c r="H461" s="4">
        <v>0.30684316960722463</v>
      </c>
      <c r="I461" s="4">
        <v>0.36691605724353138</v>
      </c>
      <c r="K461">
        <v>2.35</v>
      </c>
      <c r="L461">
        <v>3.48</v>
      </c>
      <c r="M461">
        <v>3.45</v>
      </c>
      <c r="N461" s="4">
        <v>0.42553191489361702</v>
      </c>
      <c r="O461" s="4">
        <v>0.28735632183908044</v>
      </c>
      <c r="P461" s="4">
        <v>0.28985507246376813</v>
      </c>
      <c r="R461" t="s">
        <v>103</v>
      </c>
      <c r="S461">
        <v>2</v>
      </c>
      <c r="T461">
        <v>0</v>
      </c>
      <c r="V461" t="s">
        <v>105</v>
      </c>
      <c r="W461">
        <v>0</v>
      </c>
      <c r="Z461" t="s">
        <v>117</v>
      </c>
      <c r="AB461" t="str">
        <f t="shared" si="353"/>
        <v/>
      </c>
      <c r="AC461" t="str">
        <f t="shared" si="354"/>
        <v/>
      </c>
      <c r="AD461">
        <f t="shared" si="355"/>
        <v>0</v>
      </c>
      <c r="AE461" t="str">
        <f t="shared" si="356"/>
        <v>H</v>
      </c>
      <c r="AF461">
        <f t="shared" si="357"/>
        <v>1</v>
      </c>
      <c r="AH461">
        <f t="shared" si="358"/>
        <v>1</v>
      </c>
      <c r="AI461" t="str">
        <f t="shared" si="359"/>
        <v/>
      </c>
      <c r="AJ461" t="str">
        <f t="shared" si="360"/>
        <v/>
      </c>
      <c r="AK461" t="str">
        <f t="shared" si="361"/>
        <v/>
      </c>
      <c r="AL461" t="str">
        <f t="shared" si="351"/>
        <v/>
      </c>
      <c r="AM461">
        <f t="shared" si="352"/>
        <v>-1</v>
      </c>
    </row>
    <row r="462" spans="3:39" x14ac:dyDescent="0.35">
      <c r="D462" t="s">
        <v>29</v>
      </c>
      <c r="E462" t="s">
        <v>40</v>
      </c>
      <c r="G462" s="4">
        <v>0.35480475604597844</v>
      </c>
      <c r="H462" s="4">
        <v>0.32361459536589998</v>
      </c>
      <c r="I462" s="4">
        <v>0.32158064858812196</v>
      </c>
      <c r="K462">
        <v>2.75</v>
      </c>
      <c r="L462">
        <v>4.4800000000000004</v>
      </c>
      <c r="M462">
        <v>2.83</v>
      </c>
      <c r="N462" s="4">
        <v>0.36363636363636365</v>
      </c>
      <c r="O462" s="4">
        <v>0.2232142857142857</v>
      </c>
      <c r="P462" s="4">
        <v>0.35335689045936397</v>
      </c>
      <c r="R462" t="s">
        <v>103</v>
      </c>
      <c r="S462">
        <v>2</v>
      </c>
      <c r="T462">
        <v>1</v>
      </c>
      <c r="V462" t="s">
        <v>103</v>
      </c>
      <c r="W462">
        <v>1</v>
      </c>
      <c r="Z462">
        <v>0</v>
      </c>
      <c r="AB462">
        <f t="shared" si="353"/>
        <v>1</v>
      </c>
      <c r="AC462" t="str">
        <f t="shared" si="354"/>
        <v/>
      </c>
      <c r="AD462" t="str">
        <f t="shared" si="355"/>
        <v/>
      </c>
      <c r="AE462" t="str">
        <f t="shared" si="356"/>
        <v>H</v>
      </c>
      <c r="AF462">
        <f t="shared" si="357"/>
        <v>1</v>
      </c>
      <c r="AH462">
        <f t="shared" si="358"/>
        <v>1</v>
      </c>
      <c r="AI462" t="str">
        <f t="shared" si="359"/>
        <v/>
      </c>
      <c r="AJ462" t="str">
        <f t="shared" si="360"/>
        <v/>
      </c>
      <c r="AK462">
        <f t="shared" si="361"/>
        <v>1.75</v>
      </c>
      <c r="AL462" t="str">
        <f t="shared" si="351"/>
        <v/>
      </c>
      <c r="AM462" t="str">
        <f t="shared" si="352"/>
        <v/>
      </c>
    </row>
    <row r="463" spans="3:39" x14ac:dyDescent="0.35">
      <c r="D463" t="s">
        <v>38</v>
      </c>
      <c r="E463" t="s">
        <v>25</v>
      </c>
      <c r="G463" s="4">
        <v>0.12391169518139598</v>
      </c>
      <c r="H463" s="4">
        <v>0.22513940852756262</v>
      </c>
      <c r="I463" s="4">
        <v>0.65094889629104147</v>
      </c>
      <c r="K463">
        <v>5.6</v>
      </c>
      <c r="L463">
        <v>4</v>
      </c>
      <c r="M463">
        <v>1.75</v>
      </c>
      <c r="N463" s="4">
        <v>0.17857142857142858</v>
      </c>
      <c r="O463" s="4">
        <v>0.25</v>
      </c>
      <c r="P463" s="4">
        <v>0.5714285714285714</v>
      </c>
      <c r="R463" t="s">
        <v>103</v>
      </c>
      <c r="S463">
        <v>4</v>
      </c>
      <c r="T463">
        <v>1</v>
      </c>
      <c r="V463" t="s">
        <v>105</v>
      </c>
      <c r="W463">
        <v>0</v>
      </c>
      <c r="Z463" t="s">
        <v>117</v>
      </c>
      <c r="AB463" t="str">
        <f t="shared" si="353"/>
        <v/>
      </c>
      <c r="AC463" t="str">
        <f t="shared" si="354"/>
        <v/>
      </c>
      <c r="AD463">
        <f t="shared" si="355"/>
        <v>0</v>
      </c>
      <c r="AE463" t="str">
        <f t="shared" si="356"/>
        <v>A</v>
      </c>
      <c r="AF463">
        <f t="shared" si="357"/>
        <v>0</v>
      </c>
      <c r="AH463" t="str">
        <f t="shared" si="358"/>
        <v/>
      </c>
      <c r="AI463" t="str">
        <f t="shared" si="359"/>
        <v/>
      </c>
      <c r="AJ463">
        <f t="shared" si="360"/>
        <v>0</v>
      </c>
      <c r="AK463" t="str">
        <f t="shared" si="361"/>
        <v/>
      </c>
      <c r="AL463" t="str">
        <f t="shared" si="351"/>
        <v/>
      </c>
      <c r="AM463">
        <f t="shared" si="352"/>
        <v>-1</v>
      </c>
    </row>
    <row r="464" spans="3:39" x14ac:dyDescent="0.35">
      <c r="D464" t="s">
        <v>39</v>
      </c>
      <c r="E464" t="s">
        <v>34</v>
      </c>
      <c r="G464" s="4">
        <v>0.43952070847067704</v>
      </c>
      <c r="H464" s="4">
        <v>0.30241916832350818</v>
      </c>
      <c r="I464" s="4">
        <v>0.2580601232058149</v>
      </c>
      <c r="K464">
        <v>1.33</v>
      </c>
      <c r="L464">
        <v>6.3</v>
      </c>
      <c r="M464">
        <v>12</v>
      </c>
      <c r="N464" s="4">
        <v>0.75187969924812026</v>
      </c>
      <c r="O464" s="4">
        <v>0.15873015873015872</v>
      </c>
      <c r="P464" s="4">
        <v>8.3333333333333329E-2</v>
      </c>
      <c r="R464" t="s">
        <v>104</v>
      </c>
      <c r="S464">
        <v>2</v>
      </c>
      <c r="T464">
        <v>2</v>
      </c>
      <c r="V464" t="s">
        <v>103</v>
      </c>
      <c r="W464">
        <v>0</v>
      </c>
      <c r="Z464" t="s">
        <v>117</v>
      </c>
      <c r="AB464">
        <f t="shared" si="353"/>
        <v>0</v>
      </c>
      <c r="AC464" t="str">
        <f t="shared" si="354"/>
        <v/>
      </c>
      <c r="AD464" t="str">
        <f t="shared" si="355"/>
        <v/>
      </c>
      <c r="AE464" t="str">
        <f t="shared" si="356"/>
        <v>H</v>
      </c>
      <c r="AF464">
        <f t="shared" si="357"/>
        <v>0</v>
      </c>
      <c r="AH464">
        <f t="shared" si="358"/>
        <v>0</v>
      </c>
      <c r="AI464" t="str">
        <f t="shared" si="359"/>
        <v/>
      </c>
      <c r="AJ464" t="str">
        <f t="shared" si="360"/>
        <v/>
      </c>
      <c r="AK464">
        <f t="shared" si="361"/>
        <v>-1</v>
      </c>
      <c r="AL464" t="str">
        <f t="shared" si="351"/>
        <v/>
      </c>
      <c r="AM464" t="str">
        <f t="shared" si="352"/>
        <v/>
      </c>
    </row>
    <row r="465" spans="3:39" x14ac:dyDescent="0.35">
      <c r="G465" s="4"/>
      <c r="H465" s="4"/>
      <c r="I465" s="4"/>
      <c r="N465" s="4"/>
      <c r="O465" s="4"/>
      <c r="P465" s="4"/>
      <c r="AB465" s="4"/>
      <c r="AC465" s="4"/>
      <c r="AD465" s="4"/>
    </row>
    <row r="468" spans="3:39" x14ac:dyDescent="0.35">
      <c r="C468" t="s">
        <v>154</v>
      </c>
      <c r="H468" s="21" t="s">
        <v>107</v>
      </c>
      <c r="K468" s="22" t="s">
        <v>106</v>
      </c>
      <c r="N468" t="s">
        <v>108</v>
      </c>
    </row>
    <row r="469" spans="3:39" x14ac:dyDescent="0.35">
      <c r="G469" t="s">
        <v>103</v>
      </c>
      <c r="H469" t="s">
        <v>104</v>
      </c>
      <c r="I469" t="s">
        <v>105</v>
      </c>
      <c r="K469" t="s">
        <v>103</v>
      </c>
      <c r="L469" t="s">
        <v>104</v>
      </c>
      <c r="M469" t="s">
        <v>105</v>
      </c>
      <c r="N469" t="s">
        <v>103</v>
      </c>
      <c r="O469" t="s">
        <v>104</v>
      </c>
      <c r="P469" t="s">
        <v>105</v>
      </c>
      <c r="R469" t="s">
        <v>110</v>
      </c>
      <c r="V469" t="s">
        <v>112</v>
      </c>
      <c r="W469" t="s">
        <v>111</v>
      </c>
      <c r="X469" s="28" t="s">
        <v>114</v>
      </c>
      <c r="Z469" t="s">
        <v>113</v>
      </c>
      <c r="AA469" s="28" t="s">
        <v>116</v>
      </c>
      <c r="AB469" t="s">
        <v>166</v>
      </c>
      <c r="AC469" t="s">
        <v>167</v>
      </c>
      <c r="AD469" t="s">
        <v>168</v>
      </c>
    </row>
    <row r="470" spans="3:39" x14ac:dyDescent="0.35">
      <c r="D470" t="s">
        <v>42</v>
      </c>
      <c r="E470" t="s">
        <v>50</v>
      </c>
      <c r="G470" s="4">
        <v>0.6556114167889594</v>
      </c>
      <c r="H470" s="4">
        <v>0.24970986236435577</v>
      </c>
      <c r="I470" s="4">
        <v>9.46787208466848E-2</v>
      </c>
      <c r="K470">
        <v>1.1399999999999999</v>
      </c>
      <c r="L470">
        <v>10.8</v>
      </c>
      <c r="M470">
        <v>24.75</v>
      </c>
      <c r="N470" s="4">
        <v>0.87719298245614041</v>
      </c>
      <c r="O470" s="4">
        <v>9.2592592592592587E-2</v>
      </c>
      <c r="P470" s="4">
        <v>4.0404040404040407E-2</v>
      </c>
      <c r="R470" t="s">
        <v>103</v>
      </c>
      <c r="S470">
        <v>1</v>
      </c>
      <c r="T470">
        <v>0</v>
      </c>
      <c r="V470" t="s">
        <v>103</v>
      </c>
      <c r="W470">
        <v>1</v>
      </c>
      <c r="X470" s="28">
        <v>0.6</v>
      </c>
      <c r="Z470">
        <v>0</v>
      </c>
      <c r="AA470" s="28">
        <v>0</v>
      </c>
      <c r="AB470">
        <f>IF(V470=$G$5, IF(W470=$R$2, 1,0), "")</f>
        <v>1</v>
      </c>
      <c r="AC470" t="str">
        <f>IF(V470=$H$5, IF(W470=$R$2, 1,0), "")</f>
        <v/>
      </c>
      <c r="AD470" t="str">
        <f>IF(V470=$I$5, IF(W470=$R$2, 1,0), "")</f>
        <v/>
      </c>
      <c r="AE470" t="str">
        <f>IF(MAX(N470:P470)=N470,$N$5,IF(MAX(N470:P470)=O470,$O$5,$P$5))</f>
        <v>H</v>
      </c>
      <c r="AF470">
        <f>IF(AE470=R470, $R$2,$R$3)</f>
        <v>1</v>
      </c>
      <c r="AG470" s="28">
        <f>COUNTIF(AF470:AF479, $R$2)/COUNT(AF470:AF479)</f>
        <v>0.6</v>
      </c>
      <c r="AH470">
        <f>IF(AE470=$G$5, IF(AF470=$R$2, 1,0), "")</f>
        <v>1</v>
      </c>
      <c r="AI470" t="str">
        <f>IF(AE470=$H$5, IF(AF470=$R$2, 1,0), "")</f>
        <v/>
      </c>
      <c r="AJ470" t="str">
        <f>IF(AE470=$I$5, IF(AF470=$R$2, 1,0), "")</f>
        <v/>
      </c>
      <c r="AK470">
        <f>IF(AB470=1, K470-1, IF(AB470=0, -1,""))</f>
        <v>0.1399999999999999</v>
      </c>
      <c r="AL470" t="str">
        <f t="shared" ref="AL470:AL479" si="362">IF(AC470=1, L470-1, IF(AC470=0, -1,""))</f>
        <v/>
      </c>
      <c r="AM470" t="str">
        <f t="shared" ref="AM470:AM479" si="363">IF(AD470=1, M470-1, IF(AD470=0, -1,""))</f>
        <v/>
      </c>
    </row>
    <row r="471" spans="3:39" x14ac:dyDescent="0.35">
      <c r="D471" t="s">
        <v>36</v>
      </c>
      <c r="E471" t="s">
        <v>38</v>
      </c>
      <c r="G471" s="4">
        <v>0.77083563548177614</v>
      </c>
      <c r="H471" s="4">
        <v>0.16606222957516403</v>
      </c>
      <c r="I471" s="4">
        <v>6.3102134943059857E-2</v>
      </c>
      <c r="K471">
        <v>1.18</v>
      </c>
      <c r="L471">
        <v>9.8000000000000007</v>
      </c>
      <c r="M471">
        <v>20.5</v>
      </c>
      <c r="N471" s="4">
        <v>0.84745762711864414</v>
      </c>
      <c r="O471" s="4">
        <v>0.1020408163265306</v>
      </c>
      <c r="P471" s="4">
        <v>4.878048780487805E-2</v>
      </c>
      <c r="R471" t="s">
        <v>103</v>
      </c>
      <c r="S471">
        <v>2</v>
      </c>
      <c r="T471">
        <v>1</v>
      </c>
      <c r="V471" t="s">
        <v>103</v>
      </c>
      <c r="W471">
        <v>1</v>
      </c>
      <c r="Z471">
        <v>0</v>
      </c>
      <c r="AA471" s="29" t="s">
        <v>117</v>
      </c>
      <c r="AB471">
        <f t="shared" ref="AB471:AB479" si="364">IF(V471=$G$5, IF(W471=$R$2, 1,0), "")</f>
        <v>1</v>
      </c>
      <c r="AC471" t="str">
        <f t="shared" ref="AC471:AC479" si="365">IF(V471=$H$5, IF(W471=$R$2, 1,0), "")</f>
        <v/>
      </c>
      <c r="AD471" t="str">
        <f t="shared" ref="AD471:AD479" si="366">IF(V471=$I$5, IF(W471=$R$2, 1,0), "")</f>
        <v/>
      </c>
      <c r="AE471" t="str">
        <f t="shared" ref="AE471:AE479" si="367">IF(MAX(N471:P471)=N471,$N$5,IF(MAX(N471:P471)=O471,$O$5,$P$5))</f>
        <v>H</v>
      </c>
      <c r="AF471">
        <f t="shared" ref="AF471:AF479" si="368">IF(AE471=R471, $R$2,$R$3)</f>
        <v>1</v>
      </c>
      <c r="AH471">
        <f t="shared" ref="AH471:AH479" si="369">IF(AE471=$G$5, IF(AF471=$R$2, 1,0), "")</f>
        <v>1</v>
      </c>
      <c r="AI471" t="str">
        <f t="shared" ref="AI471:AI479" si="370">IF(AE471=$H$5, IF(AF471=$R$2, 1,0), "")</f>
        <v/>
      </c>
      <c r="AJ471" t="str">
        <f t="shared" ref="AJ471:AJ479" si="371">IF(AE471=$I$5, IF(AF471=$R$2, 1,0), "")</f>
        <v/>
      </c>
      <c r="AK471">
        <f t="shared" ref="AK471:AK479" si="372">IF(AB471=1, K471-1, IF(AB471=0, -1,""))</f>
        <v>0.17999999999999994</v>
      </c>
      <c r="AL471" t="str">
        <f t="shared" si="362"/>
        <v/>
      </c>
      <c r="AM471" t="str">
        <f t="shared" si="363"/>
        <v/>
      </c>
    </row>
    <row r="472" spans="3:39" x14ac:dyDescent="0.35">
      <c r="D472" t="s">
        <v>46</v>
      </c>
      <c r="E472" t="s">
        <v>29</v>
      </c>
      <c r="G472" s="4">
        <v>0.23310059834766542</v>
      </c>
      <c r="H472" s="4">
        <v>0.31197210615324839</v>
      </c>
      <c r="I472" s="4">
        <v>0.454927295499086</v>
      </c>
      <c r="K472">
        <v>4.8</v>
      </c>
      <c r="L472">
        <v>3.98</v>
      </c>
      <c r="M472">
        <v>1.85</v>
      </c>
      <c r="N472" s="4">
        <v>0.20833333333333334</v>
      </c>
      <c r="O472" s="4">
        <v>0.25125628140703515</v>
      </c>
      <c r="P472" s="4">
        <v>0.54054054054054046</v>
      </c>
      <c r="R472" t="s">
        <v>105</v>
      </c>
      <c r="S472">
        <v>1</v>
      </c>
      <c r="T472">
        <v>3</v>
      </c>
      <c r="V472" t="s">
        <v>105</v>
      </c>
      <c r="W472">
        <v>1</v>
      </c>
      <c r="Z472">
        <v>0</v>
      </c>
      <c r="AB472" t="str">
        <f t="shared" si="364"/>
        <v/>
      </c>
      <c r="AC472" t="str">
        <f t="shared" si="365"/>
        <v/>
      </c>
      <c r="AD472">
        <f t="shared" si="366"/>
        <v>1</v>
      </c>
      <c r="AE472" t="str">
        <f t="shared" si="367"/>
        <v>A</v>
      </c>
      <c r="AF472">
        <f t="shared" si="368"/>
        <v>1</v>
      </c>
      <c r="AH472" t="str">
        <f t="shared" si="369"/>
        <v/>
      </c>
      <c r="AI472" t="str">
        <f t="shared" si="370"/>
        <v/>
      </c>
      <c r="AJ472">
        <f t="shared" si="371"/>
        <v>1</v>
      </c>
      <c r="AK472" t="str">
        <f t="shared" si="372"/>
        <v/>
      </c>
      <c r="AL472" t="str">
        <f t="shared" si="362"/>
        <v/>
      </c>
      <c r="AM472">
        <f t="shared" si="363"/>
        <v>0.85000000000000009</v>
      </c>
    </row>
    <row r="473" spans="3:39" x14ac:dyDescent="0.35">
      <c r="D473" t="s">
        <v>32</v>
      </c>
      <c r="E473" t="s">
        <v>49</v>
      </c>
      <c r="G473" s="4">
        <v>0.2154410932667632</v>
      </c>
      <c r="H473" s="4">
        <v>0.32071666169887836</v>
      </c>
      <c r="I473" s="4">
        <v>0.46384224503435839</v>
      </c>
      <c r="K473">
        <v>5</v>
      </c>
      <c r="L473">
        <v>3.42</v>
      </c>
      <c r="M473">
        <v>1.97</v>
      </c>
      <c r="N473" s="4">
        <v>0.2</v>
      </c>
      <c r="O473" s="4">
        <v>0.29239766081871343</v>
      </c>
      <c r="P473" s="4">
        <v>0.50761421319796951</v>
      </c>
      <c r="R473" t="s">
        <v>104</v>
      </c>
      <c r="S473">
        <v>1</v>
      </c>
      <c r="T473">
        <v>1</v>
      </c>
      <c r="V473" t="s">
        <v>105</v>
      </c>
      <c r="W473">
        <v>0</v>
      </c>
      <c r="Z473" t="s">
        <v>117</v>
      </c>
      <c r="AB473" t="str">
        <f t="shared" si="364"/>
        <v/>
      </c>
      <c r="AC473" t="str">
        <f t="shared" si="365"/>
        <v/>
      </c>
      <c r="AD473">
        <f t="shared" si="366"/>
        <v>0</v>
      </c>
      <c r="AE473" t="str">
        <f t="shared" si="367"/>
        <v>A</v>
      </c>
      <c r="AF473">
        <f t="shared" si="368"/>
        <v>0</v>
      </c>
      <c r="AH473" t="str">
        <f t="shared" si="369"/>
        <v/>
      </c>
      <c r="AI473" t="str">
        <f t="shared" si="370"/>
        <v/>
      </c>
      <c r="AJ473">
        <f t="shared" si="371"/>
        <v>0</v>
      </c>
      <c r="AK473" t="str">
        <f t="shared" si="372"/>
        <v/>
      </c>
      <c r="AL473" t="str">
        <f t="shared" si="362"/>
        <v/>
      </c>
      <c r="AM473">
        <f t="shared" si="363"/>
        <v>-1</v>
      </c>
    </row>
    <row r="474" spans="3:39" x14ac:dyDescent="0.35">
      <c r="D474" t="s">
        <v>40</v>
      </c>
      <c r="E474" t="s">
        <v>41</v>
      </c>
      <c r="G474" s="4">
        <v>0.17132226636698908</v>
      </c>
      <c r="H474" s="4">
        <v>0.25655804620105677</v>
      </c>
      <c r="I474" s="4">
        <v>0.57211968743195396</v>
      </c>
      <c r="K474">
        <v>4.0999999999999996</v>
      </c>
      <c r="L474">
        <v>4.05</v>
      </c>
      <c r="M474">
        <v>1.95</v>
      </c>
      <c r="N474" s="4">
        <v>0.24390243902439027</v>
      </c>
      <c r="O474" s="4">
        <v>0.24691358024691359</v>
      </c>
      <c r="P474" s="4">
        <v>0.51282051282051289</v>
      </c>
      <c r="R474" t="s">
        <v>103</v>
      </c>
      <c r="S474">
        <v>2</v>
      </c>
      <c r="T474">
        <v>1</v>
      </c>
      <c r="V474" t="s">
        <v>105</v>
      </c>
      <c r="W474">
        <v>0</v>
      </c>
      <c r="Z474" t="s">
        <v>117</v>
      </c>
      <c r="AB474" t="str">
        <f t="shared" si="364"/>
        <v/>
      </c>
      <c r="AC474" t="str">
        <f t="shared" si="365"/>
        <v/>
      </c>
      <c r="AD474">
        <f t="shared" si="366"/>
        <v>0</v>
      </c>
      <c r="AE474" t="str">
        <f t="shared" si="367"/>
        <v>A</v>
      </c>
      <c r="AF474">
        <f t="shared" si="368"/>
        <v>0</v>
      </c>
      <c r="AH474" t="str">
        <f t="shared" si="369"/>
        <v/>
      </c>
      <c r="AI474" t="str">
        <f t="shared" si="370"/>
        <v/>
      </c>
      <c r="AJ474">
        <f t="shared" si="371"/>
        <v>0</v>
      </c>
      <c r="AK474" t="str">
        <f t="shared" si="372"/>
        <v/>
      </c>
      <c r="AL474" t="str">
        <f t="shared" si="362"/>
        <v/>
      </c>
      <c r="AM474">
        <f t="shared" si="363"/>
        <v>-1</v>
      </c>
    </row>
    <row r="475" spans="3:39" x14ac:dyDescent="0.35">
      <c r="D475" t="s">
        <v>28</v>
      </c>
      <c r="E475" t="s">
        <v>52</v>
      </c>
      <c r="G475" s="4">
        <v>0.4637494944930296</v>
      </c>
      <c r="H475" s="4">
        <v>0.30308911522650894</v>
      </c>
      <c r="I475" s="4">
        <v>0.23316139028046159</v>
      </c>
      <c r="K475">
        <v>2.1</v>
      </c>
      <c r="L475">
        <v>3.74</v>
      </c>
      <c r="M475">
        <v>3.94</v>
      </c>
      <c r="N475" s="4">
        <v>0.47619047619047616</v>
      </c>
      <c r="O475" s="4">
        <v>0.26737967914438499</v>
      </c>
      <c r="P475" s="4">
        <v>0.25380710659898476</v>
      </c>
      <c r="R475" t="s">
        <v>104</v>
      </c>
      <c r="S475">
        <v>1</v>
      </c>
      <c r="T475">
        <v>1</v>
      </c>
      <c r="V475" t="s">
        <v>103</v>
      </c>
      <c r="W475">
        <v>0</v>
      </c>
      <c r="Z475" t="s">
        <v>117</v>
      </c>
      <c r="AB475">
        <f t="shared" si="364"/>
        <v>0</v>
      </c>
      <c r="AC475" t="str">
        <f t="shared" si="365"/>
        <v/>
      </c>
      <c r="AD475" t="str">
        <f t="shared" si="366"/>
        <v/>
      </c>
      <c r="AE475" t="str">
        <f t="shared" si="367"/>
        <v>H</v>
      </c>
      <c r="AF475">
        <f t="shared" si="368"/>
        <v>0</v>
      </c>
      <c r="AH475">
        <f t="shared" si="369"/>
        <v>0</v>
      </c>
      <c r="AI475" t="str">
        <f t="shared" si="370"/>
        <v/>
      </c>
      <c r="AJ475" t="str">
        <f t="shared" si="371"/>
        <v/>
      </c>
      <c r="AK475">
        <f t="shared" si="372"/>
        <v>-1</v>
      </c>
      <c r="AL475" t="str">
        <f t="shared" si="362"/>
        <v/>
      </c>
      <c r="AM475" t="str">
        <f t="shared" si="363"/>
        <v/>
      </c>
    </row>
    <row r="476" spans="3:39" x14ac:dyDescent="0.35">
      <c r="D476" t="s">
        <v>25</v>
      </c>
      <c r="E476" t="s">
        <v>51</v>
      </c>
      <c r="G476" s="4">
        <v>0.4376596817939607</v>
      </c>
      <c r="H476" s="4">
        <v>0.34622219216045341</v>
      </c>
      <c r="I476" s="4">
        <v>0.2161181260455857</v>
      </c>
      <c r="K476">
        <v>2.1</v>
      </c>
      <c r="L476">
        <v>3.58</v>
      </c>
      <c r="M476">
        <v>4.2</v>
      </c>
      <c r="N476" s="4">
        <v>0.47619047619047616</v>
      </c>
      <c r="O476" s="4">
        <v>0.27932960893854747</v>
      </c>
      <c r="P476" s="4">
        <v>0.23809523809523808</v>
      </c>
      <c r="R476" t="s">
        <v>103</v>
      </c>
      <c r="S476">
        <v>2</v>
      </c>
      <c r="T476">
        <v>0</v>
      </c>
      <c r="V476" t="s">
        <v>103</v>
      </c>
      <c r="W476">
        <v>1</v>
      </c>
      <c r="Z476">
        <v>0</v>
      </c>
      <c r="AB476">
        <f t="shared" si="364"/>
        <v>1</v>
      </c>
      <c r="AC476" t="str">
        <f t="shared" si="365"/>
        <v/>
      </c>
      <c r="AD476" t="str">
        <f t="shared" si="366"/>
        <v/>
      </c>
      <c r="AE476" t="str">
        <f t="shared" si="367"/>
        <v>H</v>
      </c>
      <c r="AF476">
        <f t="shared" si="368"/>
        <v>1</v>
      </c>
      <c r="AH476">
        <f t="shared" si="369"/>
        <v>1</v>
      </c>
      <c r="AI476" t="str">
        <f t="shared" si="370"/>
        <v/>
      </c>
      <c r="AJ476" t="str">
        <f t="shared" si="371"/>
        <v/>
      </c>
      <c r="AK476">
        <f t="shared" si="372"/>
        <v>1.1000000000000001</v>
      </c>
      <c r="AL476" t="str">
        <f t="shared" si="362"/>
        <v/>
      </c>
      <c r="AM476" t="str">
        <f t="shared" si="363"/>
        <v/>
      </c>
    </row>
    <row r="477" spans="3:39" x14ac:dyDescent="0.35">
      <c r="D477" t="s">
        <v>34</v>
      </c>
      <c r="E477" t="s">
        <v>45</v>
      </c>
      <c r="G477" s="4">
        <v>0.21550377656301212</v>
      </c>
      <c r="H477" s="4">
        <v>0.29558627387991582</v>
      </c>
      <c r="I477" s="4">
        <v>0.48890994955707162</v>
      </c>
      <c r="K477">
        <v>2.2599999999999998</v>
      </c>
      <c r="L477">
        <v>3.48</v>
      </c>
      <c r="M477">
        <v>3.68</v>
      </c>
      <c r="N477" s="4">
        <v>0.44247787610619471</v>
      </c>
      <c r="O477" s="4">
        <v>0.28735632183908044</v>
      </c>
      <c r="P477" s="4">
        <v>0.27173913043478259</v>
      </c>
      <c r="R477" t="s">
        <v>104</v>
      </c>
      <c r="S477">
        <v>1</v>
      </c>
      <c r="T477">
        <v>1</v>
      </c>
      <c r="V477" t="s">
        <v>105</v>
      </c>
      <c r="W477">
        <v>0</v>
      </c>
      <c r="Z477" t="s">
        <v>117</v>
      </c>
      <c r="AB477" t="str">
        <f t="shared" si="364"/>
        <v/>
      </c>
      <c r="AC477" t="str">
        <f t="shared" si="365"/>
        <v/>
      </c>
      <c r="AD477">
        <f t="shared" si="366"/>
        <v>0</v>
      </c>
      <c r="AE477" t="str">
        <f t="shared" si="367"/>
        <v>H</v>
      </c>
      <c r="AF477">
        <f t="shared" si="368"/>
        <v>0</v>
      </c>
      <c r="AH477">
        <f t="shared" si="369"/>
        <v>0</v>
      </c>
      <c r="AI477" t="str">
        <f t="shared" si="370"/>
        <v/>
      </c>
      <c r="AJ477" t="str">
        <f t="shared" si="371"/>
        <v/>
      </c>
      <c r="AK477" t="str">
        <f t="shared" si="372"/>
        <v/>
      </c>
      <c r="AL477" t="str">
        <f t="shared" si="362"/>
        <v/>
      </c>
      <c r="AM477">
        <f t="shared" si="363"/>
        <v>-1</v>
      </c>
    </row>
    <row r="478" spans="3:39" x14ac:dyDescent="0.35">
      <c r="D478" t="s">
        <v>30</v>
      </c>
      <c r="E478" t="s">
        <v>39</v>
      </c>
      <c r="G478" s="4">
        <v>0.16942635933460162</v>
      </c>
      <c r="H478" s="4">
        <v>0.34724839431249255</v>
      </c>
      <c r="I478" s="4">
        <v>0.4833252463529058</v>
      </c>
      <c r="K478">
        <v>10.9</v>
      </c>
      <c r="L478">
        <v>5.4</v>
      </c>
      <c r="M478">
        <v>1.38</v>
      </c>
      <c r="N478" s="4">
        <v>9.1743119266055037E-2</v>
      </c>
      <c r="O478" s="4">
        <v>0.18518518518518517</v>
      </c>
      <c r="P478" s="4">
        <v>0.7246376811594204</v>
      </c>
      <c r="R478" t="s">
        <v>105</v>
      </c>
      <c r="S478">
        <v>0</v>
      </c>
      <c r="T478">
        <v>2</v>
      </c>
      <c r="V478" t="s">
        <v>105</v>
      </c>
      <c r="W478">
        <v>1</v>
      </c>
      <c r="Z478">
        <v>0</v>
      </c>
      <c r="AB478" t="str">
        <f t="shared" si="364"/>
        <v/>
      </c>
      <c r="AC478" t="str">
        <f t="shared" si="365"/>
        <v/>
      </c>
      <c r="AD478">
        <f t="shared" si="366"/>
        <v>1</v>
      </c>
      <c r="AE478" t="str">
        <f t="shared" si="367"/>
        <v>A</v>
      </c>
      <c r="AF478">
        <f t="shared" si="368"/>
        <v>1</v>
      </c>
      <c r="AH478" t="str">
        <f t="shared" si="369"/>
        <v/>
      </c>
      <c r="AI478" t="str">
        <f t="shared" si="370"/>
        <v/>
      </c>
      <c r="AJ478">
        <f t="shared" si="371"/>
        <v>1</v>
      </c>
      <c r="AK478" t="str">
        <f t="shared" si="372"/>
        <v/>
      </c>
      <c r="AL478" t="str">
        <f t="shared" si="362"/>
        <v/>
      </c>
      <c r="AM478">
        <f t="shared" si="363"/>
        <v>0.37999999999999989</v>
      </c>
    </row>
    <row r="479" spans="3:39" x14ac:dyDescent="0.35">
      <c r="D479" t="s">
        <v>43</v>
      </c>
      <c r="E479" t="s">
        <v>35</v>
      </c>
      <c r="G479" s="4">
        <v>0.39320885986807941</v>
      </c>
      <c r="H479" s="4">
        <v>0.31808333995769938</v>
      </c>
      <c r="I479" s="4">
        <v>0.28870780017422137</v>
      </c>
      <c r="K479">
        <v>2.5</v>
      </c>
      <c r="L479">
        <v>3.18</v>
      </c>
      <c r="M479">
        <v>3.5</v>
      </c>
      <c r="N479" s="4">
        <v>0.4</v>
      </c>
      <c r="O479" s="4">
        <v>0.31446540880503143</v>
      </c>
      <c r="P479" s="4">
        <v>0.2857142857142857</v>
      </c>
      <c r="R479" t="s">
        <v>103</v>
      </c>
      <c r="S479">
        <v>3</v>
      </c>
      <c r="T479">
        <v>1</v>
      </c>
      <c r="V479" t="s">
        <v>103</v>
      </c>
      <c r="W479">
        <v>1</v>
      </c>
      <c r="Z479">
        <v>0</v>
      </c>
      <c r="AB479">
        <f t="shared" si="364"/>
        <v>1</v>
      </c>
      <c r="AC479" t="str">
        <f t="shared" si="365"/>
        <v/>
      </c>
      <c r="AD479" t="str">
        <f t="shared" si="366"/>
        <v/>
      </c>
      <c r="AE479" t="str">
        <f t="shared" si="367"/>
        <v>H</v>
      </c>
      <c r="AF479">
        <f t="shared" si="368"/>
        <v>1</v>
      </c>
      <c r="AH479">
        <f t="shared" si="369"/>
        <v>1</v>
      </c>
      <c r="AI479" t="str">
        <f t="shared" si="370"/>
        <v/>
      </c>
      <c r="AJ479" t="str">
        <f t="shared" si="371"/>
        <v/>
      </c>
      <c r="AK479">
        <f t="shared" si="372"/>
        <v>1.5</v>
      </c>
      <c r="AL479" t="str">
        <f t="shared" si="362"/>
        <v/>
      </c>
      <c r="AM479" t="str">
        <f t="shared" si="363"/>
        <v/>
      </c>
    </row>
    <row r="480" spans="3:39" x14ac:dyDescent="0.35">
      <c r="G480" s="4"/>
      <c r="H480" s="4"/>
      <c r="I480" s="4"/>
      <c r="N480" s="4"/>
      <c r="O480" s="4"/>
      <c r="P480" s="4"/>
      <c r="AB480" s="4"/>
      <c r="AC480" s="4"/>
      <c r="AD480" s="4"/>
    </row>
    <row r="483" spans="3:39" x14ac:dyDescent="0.35">
      <c r="C483" t="s">
        <v>155</v>
      </c>
      <c r="H483" s="21" t="s">
        <v>107</v>
      </c>
      <c r="K483" s="22" t="s">
        <v>106</v>
      </c>
      <c r="N483" t="s">
        <v>108</v>
      </c>
    </row>
    <row r="484" spans="3:39" x14ac:dyDescent="0.35">
      <c r="G484" t="s">
        <v>103</v>
      </c>
      <c r="H484" t="s">
        <v>104</v>
      </c>
      <c r="I484" t="s">
        <v>105</v>
      </c>
      <c r="K484" t="s">
        <v>103</v>
      </c>
      <c r="L484" t="s">
        <v>104</v>
      </c>
      <c r="M484" t="s">
        <v>105</v>
      </c>
      <c r="N484" t="s">
        <v>103</v>
      </c>
      <c r="O484" t="s">
        <v>104</v>
      </c>
      <c r="P484" t="s">
        <v>105</v>
      </c>
      <c r="R484" t="s">
        <v>110</v>
      </c>
      <c r="V484" t="s">
        <v>112</v>
      </c>
      <c r="W484" t="s">
        <v>111</v>
      </c>
      <c r="X484" s="28" t="s">
        <v>114</v>
      </c>
      <c r="Z484" t="s">
        <v>113</v>
      </c>
      <c r="AA484" s="28" t="s">
        <v>116</v>
      </c>
      <c r="AB484" t="s">
        <v>166</v>
      </c>
      <c r="AC484" t="s">
        <v>167</v>
      </c>
      <c r="AD484" t="s">
        <v>168</v>
      </c>
      <c r="AK484" t="str">
        <f t="shared" ref="AK484:AK499" si="373">IF(AB484=1, K484, IF(AB484=0, -1,""))</f>
        <v/>
      </c>
      <c r="AL484" t="str">
        <f t="shared" ref="AL484:AL499" si="374">IF(AC484=1, L484, IF(AC484=0, -1,""))</f>
        <v/>
      </c>
      <c r="AM484" t="str">
        <f t="shared" ref="AM484:AM499" si="375">IF(AD484=1, M484, IF(AD484=0, -1,""))</f>
        <v/>
      </c>
    </row>
    <row r="485" spans="3:39" x14ac:dyDescent="0.35">
      <c r="D485" t="s">
        <v>50</v>
      </c>
      <c r="E485" t="s">
        <v>32</v>
      </c>
      <c r="G485" s="4">
        <v>0.21109733849617746</v>
      </c>
      <c r="H485" s="4">
        <v>0.32090522677787686</v>
      </c>
      <c r="I485" s="4">
        <v>0.46799743472594546</v>
      </c>
      <c r="K485">
        <v>3.52</v>
      </c>
      <c r="L485">
        <v>3.43</v>
      </c>
      <c r="M485">
        <v>2.36</v>
      </c>
      <c r="N485" s="4">
        <v>0.28409090909090912</v>
      </c>
      <c r="O485" s="4">
        <v>0.29154518950437314</v>
      </c>
      <c r="P485" s="4">
        <v>0.42372881355932207</v>
      </c>
      <c r="R485" t="s">
        <v>105</v>
      </c>
      <c r="S485">
        <v>0</v>
      </c>
      <c r="T485">
        <v>2</v>
      </c>
      <c r="V485" t="s">
        <v>105</v>
      </c>
      <c r="W485">
        <v>1</v>
      </c>
      <c r="X485" s="28">
        <v>0.5</v>
      </c>
      <c r="Z485">
        <v>1</v>
      </c>
      <c r="AA485" s="28">
        <v>0.6</v>
      </c>
      <c r="AB485" t="str">
        <f>IF(V485=$G$5, IF(W485=$R$2, 1,0), "")</f>
        <v/>
      </c>
      <c r="AC485" t="str">
        <f>IF(V485=$H$5, IF(W485=$R$2, 1,0), "")</f>
        <v/>
      </c>
      <c r="AD485">
        <f>IF(V485=$I$5, IF(W485=$R$2, 1,0), "")</f>
        <v>1</v>
      </c>
      <c r="AE485" t="str">
        <f>IF(MAX(N485:P485)=N485,$N$5,IF(MAX(N485:P485)=O485,$O$5,$P$5))</f>
        <v>A</v>
      </c>
      <c r="AF485">
        <f>IF(AE485=R485, $R$2,$R$3)</f>
        <v>1</v>
      </c>
      <c r="AG485" s="28">
        <f>COUNTIF(AF485:AF494, $R$2)/COUNT(AF485:AF494)</f>
        <v>0.5</v>
      </c>
      <c r="AH485" t="str">
        <f>IF(AE485=$G$5, IF(AF485=$R$2, 1,0), "")</f>
        <v/>
      </c>
      <c r="AI485" t="str">
        <f>IF(AE485=$H$5, IF(AF485=$R$2, 1,0), "")</f>
        <v/>
      </c>
      <c r="AJ485">
        <f>IF(AE485=$I$5, IF(AF485=$R$2, 1,0), "")</f>
        <v>1</v>
      </c>
      <c r="AK485" t="str">
        <f>IF(AB485=1, K485-1, IF(AB485=0, -1,""))</f>
        <v/>
      </c>
      <c r="AL485" t="str">
        <f t="shared" ref="AL485:AL494" si="376">IF(AC485=1, L485-1, IF(AC485=0, -1,""))</f>
        <v/>
      </c>
      <c r="AM485">
        <f t="shared" ref="AM485:AM494" si="377">IF(AD485=1, M485-1, IF(AD485=0, -1,""))</f>
        <v>1.3599999999999999</v>
      </c>
    </row>
    <row r="486" spans="3:39" x14ac:dyDescent="0.35">
      <c r="D486" t="s">
        <v>38</v>
      </c>
      <c r="E486" t="s">
        <v>34</v>
      </c>
      <c r="G486" s="4">
        <v>0.19987246110989407</v>
      </c>
      <c r="H486" s="4">
        <v>0.26884586800685556</v>
      </c>
      <c r="I486" s="4">
        <v>0.53128167088325018</v>
      </c>
      <c r="K486">
        <v>2.5</v>
      </c>
      <c r="L486">
        <v>3.82</v>
      </c>
      <c r="M486">
        <v>3.01</v>
      </c>
      <c r="N486" s="4">
        <v>0.4</v>
      </c>
      <c r="O486" s="4">
        <v>0.26178010471204188</v>
      </c>
      <c r="P486" s="4">
        <v>0.33222591362126247</v>
      </c>
      <c r="R486" t="s">
        <v>105</v>
      </c>
      <c r="S486">
        <v>0</v>
      </c>
      <c r="T486">
        <v>2</v>
      </c>
      <c r="V486" t="s">
        <v>105</v>
      </c>
      <c r="W486">
        <v>1</v>
      </c>
      <c r="Z486">
        <v>1</v>
      </c>
      <c r="AA486" s="29" t="s">
        <v>117</v>
      </c>
      <c r="AB486" t="str">
        <f t="shared" ref="AB486:AB494" si="378">IF(V486=$G$5, IF(W486=$R$2, 1,0), "")</f>
        <v/>
      </c>
      <c r="AC486" t="str">
        <f t="shared" ref="AC486:AC494" si="379">IF(V486=$H$5, IF(W486=$R$2, 1,0), "")</f>
        <v/>
      </c>
      <c r="AD486">
        <f t="shared" ref="AD486:AD494" si="380">IF(V486=$I$5, IF(W486=$R$2, 1,0), "")</f>
        <v>1</v>
      </c>
      <c r="AE486" t="str">
        <f t="shared" ref="AE486:AE494" si="381">IF(MAX(N486:P486)=N486,$N$5,IF(MAX(N486:P486)=O486,$O$5,$P$5))</f>
        <v>H</v>
      </c>
      <c r="AF486">
        <f t="shared" ref="AF486:AF494" si="382">IF(AE486=R486, $R$2,$R$3)</f>
        <v>0</v>
      </c>
      <c r="AH486">
        <f t="shared" ref="AH486:AH494" si="383">IF(AE486=$G$5, IF(AF486=$R$2, 1,0), "")</f>
        <v>0</v>
      </c>
      <c r="AI486" t="str">
        <f t="shared" ref="AI486:AI494" si="384">IF(AE486=$H$5, IF(AF486=$R$2, 1,0), "")</f>
        <v/>
      </c>
      <c r="AJ486" t="str">
        <f t="shared" ref="AJ486:AJ494" si="385">IF(AE486=$I$5, IF(AF486=$R$2, 1,0), "")</f>
        <v/>
      </c>
      <c r="AK486" t="str">
        <f t="shared" ref="AK486:AK494" si="386">IF(AB486=1, K486-1, IF(AB486=0, -1,""))</f>
        <v/>
      </c>
      <c r="AL486" t="str">
        <f t="shared" si="376"/>
        <v/>
      </c>
      <c r="AM486">
        <f t="shared" si="377"/>
        <v>2.0099999999999998</v>
      </c>
    </row>
    <row r="487" spans="3:39" x14ac:dyDescent="0.35">
      <c r="D487" t="s">
        <v>29</v>
      </c>
      <c r="E487" t="s">
        <v>25</v>
      </c>
      <c r="G487" s="4">
        <v>0.27037878635041057</v>
      </c>
      <c r="H487" s="4">
        <v>0.28864967134963626</v>
      </c>
      <c r="I487" s="4">
        <v>0.44097154229995339</v>
      </c>
      <c r="K487">
        <v>2.41</v>
      </c>
      <c r="L487">
        <v>3.58</v>
      </c>
      <c r="M487">
        <v>3.25</v>
      </c>
      <c r="N487" s="4">
        <v>0.41493775933609955</v>
      </c>
      <c r="O487" s="4">
        <v>0.27932960893854747</v>
      </c>
      <c r="P487" s="4">
        <v>0.30769230769230771</v>
      </c>
      <c r="R487" t="s">
        <v>103</v>
      </c>
      <c r="S487">
        <v>3</v>
      </c>
      <c r="T487">
        <v>0</v>
      </c>
      <c r="V487" t="s">
        <v>105</v>
      </c>
      <c r="W487">
        <v>0</v>
      </c>
      <c r="Z487" t="s">
        <v>117</v>
      </c>
      <c r="AB487" t="str">
        <f t="shared" si="378"/>
        <v/>
      </c>
      <c r="AC487" t="str">
        <f t="shared" si="379"/>
        <v/>
      </c>
      <c r="AD487">
        <f t="shared" si="380"/>
        <v>0</v>
      </c>
      <c r="AE487" t="str">
        <f t="shared" si="381"/>
        <v>H</v>
      </c>
      <c r="AF487">
        <f t="shared" si="382"/>
        <v>1</v>
      </c>
      <c r="AH487">
        <f t="shared" si="383"/>
        <v>1</v>
      </c>
      <c r="AI487" t="str">
        <f t="shared" si="384"/>
        <v/>
      </c>
      <c r="AJ487" t="str">
        <f t="shared" si="385"/>
        <v/>
      </c>
      <c r="AK487" t="str">
        <f t="shared" si="386"/>
        <v/>
      </c>
      <c r="AL487" t="str">
        <f t="shared" si="376"/>
        <v/>
      </c>
      <c r="AM487">
        <f t="shared" si="377"/>
        <v>-1</v>
      </c>
    </row>
    <row r="488" spans="3:39" x14ac:dyDescent="0.35">
      <c r="D488" t="s">
        <v>51</v>
      </c>
      <c r="E488" t="s">
        <v>28</v>
      </c>
      <c r="G488" s="4">
        <v>0.37618505216873477</v>
      </c>
      <c r="H488" s="4">
        <v>0.33591917020089812</v>
      </c>
      <c r="I488" s="4">
        <v>0.28789577763036728</v>
      </c>
      <c r="K488">
        <v>2.27</v>
      </c>
      <c r="L488">
        <v>3.45</v>
      </c>
      <c r="M488">
        <v>3.7</v>
      </c>
      <c r="N488" s="4">
        <v>0.44052863436123346</v>
      </c>
      <c r="O488" s="4">
        <v>0.28985507246376813</v>
      </c>
      <c r="P488" s="4">
        <v>0.27027027027027023</v>
      </c>
      <c r="R488" t="s">
        <v>105</v>
      </c>
      <c r="S488">
        <v>0</v>
      </c>
      <c r="T488">
        <v>1</v>
      </c>
      <c r="V488" t="s">
        <v>103</v>
      </c>
      <c r="W488">
        <v>0</v>
      </c>
      <c r="Z488" t="s">
        <v>117</v>
      </c>
      <c r="AB488">
        <f t="shared" si="378"/>
        <v>0</v>
      </c>
      <c r="AC488" t="str">
        <f t="shared" si="379"/>
        <v/>
      </c>
      <c r="AD488" t="str">
        <f t="shared" si="380"/>
        <v/>
      </c>
      <c r="AE488" t="str">
        <f t="shared" si="381"/>
        <v>H</v>
      </c>
      <c r="AF488">
        <f t="shared" si="382"/>
        <v>0</v>
      </c>
      <c r="AH488">
        <f t="shared" si="383"/>
        <v>0</v>
      </c>
      <c r="AI488" t="str">
        <f t="shared" si="384"/>
        <v/>
      </c>
      <c r="AJ488" t="str">
        <f t="shared" si="385"/>
        <v/>
      </c>
      <c r="AK488">
        <f t="shared" si="386"/>
        <v>-1</v>
      </c>
      <c r="AL488" t="str">
        <f t="shared" si="376"/>
        <v/>
      </c>
      <c r="AM488" t="str">
        <f t="shared" si="377"/>
        <v/>
      </c>
    </row>
    <row r="489" spans="3:39" x14ac:dyDescent="0.35">
      <c r="D489" t="s">
        <v>45</v>
      </c>
      <c r="E489" t="s">
        <v>46</v>
      </c>
      <c r="G489" s="4">
        <v>0.38934836508970544</v>
      </c>
      <c r="H489" s="4">
        <v>0.31989627339746174</v>
      </c>
      <c r="I489" s="4">
        <v>0.29075536151283315</v>
      </c>
      <c r="K489">
        <v>2</v>
      </c>
      <c r="L489">
        <v>3.62</v>
      </c>
      <c r="M489">
        <v>4.5</v>
      </c>
      <c r="N489" s="4">
        <v>0.5</v>
      </c>
      <c r="O489" s="4">
        <v>0.27624309392265195</v>
      </c>
      <c r="P489" s="4">
        <v>0.22222222222222221</v>
      </c>
      <c r="R489" t="s">
        <v>104</v>
      </c>
      <c r="S489">
        <v>0</v>
      </c>
      <c r="T489">
        <v>0</v>
      </c>
      <c r="V489" t="s">
        <v>103</v>
      </c>
      <c r="W489">
        <v>0</v>
      </c>
      <c r="Z489" t="s">
        <v>117</v>
      </c>
      <c r="AB489">
        <f t="shared" si="378"/>
        <v>0</v>
      </c>
      <c r="AC489" t="str">
        <f t="shared" si="379"/>
        <v/>
      </c>
      <c r="AD489" t="str">
        <f t="shared" si="380"/>
        <v/>
      </c>
      <c r="AE489" t="str">
        <f t="shared" si="381"/>
        <v>H</v>
      </c>
      <c r="AF489">
        <f t="shared" si="382"/>
        <v>0</v>
      </c>
      <c r="AH489">
        <f t="shared" si="383"/>
        <v>0</v>
      </c>
      <c r="AI489" t="str">
        <f t="shared" si="384"/>
        <v/>
      </c>
      <c r="AJ489" t="str">
        <f t="shared" si="385"/>
        <v/>
      </c>
      <c r="AK489">
        <f t="shared" si="386"/>
        <v>-1</v>
      </c>
      <c r="AL489" t="str">
        <f t="shared" si="376"/>
        <v/>
      </c>
      <c r="AM489" t="str">
        <f t="shared" si="377"/>
        <v/>
      </c>
    </row>
    <row r="490" spans="3:39" x14ac:dyDescent="0.35">
      <c r="D490" t="s">
        <v>49</v>
      </c>
      <c r="E490" t="s">
        <v>30</v>
      </c>
      <c r="G490" s="4">
        <v>0.47778713593542449</v>
      </c>
      <c r="H490" s="4">
        <v>0.33275925829352232</v>
      </c>
      <c r="I490" s="4">
        <v>0.18945360577105341</v>
      </c>
      <c r="K490">
        <v>1.54</v>
      </c>
      <c r="L490">
        <v>4.3499999999999996</v>
      </c>
      <c r="M490">
        <v>8.3000000000000007</v>
      </c>
      <c r="N490" s="4">
        <v>0.64935064935064934</v>
      </c>
      <c r="O490" s="4">
        <v>0.22988505747126439</v>
      </c>
      <c r="P490" s="4">
        <v>0.12048192771084336</v>
      </c>
      <c r="R490" t="s">
        <v>103</v>
      </c>
      <c r="S490">
        <v>2</v>
      </c>
      <c r="T490">
        <v>0</v>
      </c>
      <c r="V490" t="s">
        <v>103</v>
      </c>
      <c r="W490">
        <v>1</v>
      </c>
      <c r="Z490">
        <v>0</v>
      </c>
      <c r="AB490">
        <f t="shared" si="378"/>
        <v>1</v>
      </c>
      <c r="AC490" t="str">
        <f t="shared" si="379"/>
        <v/>
      </c>
      <c r="AD490" t="str">
        <f t="shared" si="380"/>
        <v/>
      </c>
      <c r="AE490" t="str">
        <f t="shared" si="381"/>
        <v>H</v>
      </c>
      <c r="AF490">
        <f t="shared" si="382"/>
        <v>1</v>
      </c>
      <c r="AH490">
        <f t="shared" si="383"/>
        <v>1</v>
      </c>
      <c r="AI490" t="str">
        <f t="shared" si="384"/>
        <v/>
      </c>
      <c r="AJ490" t="str">
        <f t="shared" si="385"/>
        <v/>
      </c>
      <c r="AK490">
        <f t="shared" si="386"/>
        <v>0.54</v>
      </c>
      <c r="AL490" t="str">
        <f t="shared" si="376"/>
        <v/>
      </c>
      <c r="AM490" t="str">
        <f t="shared" si="377"/>
        <v/>
      </c>
    </row>
    <row r="491" spans="3:39" x14ac:dyDescent="0.35">
      <c r="D491" t="s">
        <v>35</v>
      </c>
      <c r="E491" t="s">
        <v>36</v>
      </c>
      <c r="G491" s="4">
        <v>0.12669838004873704</v>
      </c>
      <c r="H491" s="4">
        <v>0.19909430309061329</v>
      </c>
      <c r="I491" s="4">
        <v>0.67420731686064972</v>
      </c>
      <c r="K491">
        <v>10</v>
      </c>
      <c r="L491">
        <v>6.15</v>
      </c>
      <c r="M491">
        <v>1.37</v>
      </c>
      <c r="N491" s="4">
        <v>0.1</v>
      </c>
      <c r="O491" s="4">
        <v>0.16260162601626016</v>
      </c>
      <c r="P491" s="4">
        <v>0.72992700729927007</v>
      </c>
      <c r="R491" t="s">
        <v>105</v>
      </c>
      <c r="S491">
        <v>0</v>
      </c>
      <c r="T491">
        <v>4</v>
      </c>
      <c r="V491" t="s">
        <v>105</v>
      </c>
      <c r="W491">
        <v>1</v>
      </c>
      <c r="Z491">
        <v>0</v>
      </c>
      <c r="AB491" t="str">
        <f t="shared" si="378"/>
        <v/>
      </c>
      <c r="AC491" t="str">
        <f t="shared" si="379"/>
        <v/>
      </c>
      <c r="AD491">
        <f t="shared" si="380"/>
        <v>1</v>
      </c>
      <c r="AE491" t="str">
        <f t="shared" si="381"/>
        <v>A</v>
      </c>
      <c r="AF491">
        <f t="shared" si="382"/>
        <v>1</v>
      </c>
      <c r="AH491" t="str">
        <f t="shared" si="383"/>
        <v/>
      </c>
      <c r="AI491" t="str">
        <f t="shared" si="384"/>
        <v/>
      </c>
      <c r="AJ491">
        <f t="shared" si="385"/>
        <v>1</v>
      </c>
      <c r="AK491" t="str">
        <f t="shared" si="386"/>
        <v/>
      </c>
      <c r="AL491" t="str">
        <f t="shared" si="376"/>
        <v/>
      </c>
      <c r="AM491">
        <f t="shared" si="377"/>
        <v>0.37000000000000011</v>
      </c>
    </row>
    <row r="492" spans="3:39" x14ac:dyDescent="0.35">
      <c r="D492" t="s">
        <v>52</v>
      </c>
      <c r="E492" t="s">
        <v>40</v>
      </c>
      <c r="G492" s="4">
        <v>0.22038144155713307</v>
      </c>
      <c r="H492" s="4">
        <v>0.28865534406786802</v>
      </c>
      <c r="I492" s="4">
        <v>0.49096321437499879</v>
      </c>
      <c r="K492">
        <v>3.4</v>
      </c>
      <c r="L492">
        <v>3.98</v>
      </c>
      <c r="M492">
        <v>2.2000000000000002</v>
      </c>
      <c r="N492" s="4">
        <v>0.29411764705882354</v>
      </c>
      <c r="O492" s="4">
        <v>0.25125628140703515</v>
      </c>
      <c r="P492" s="4">
        <v>0.45454545454545453</v>
      </c>
      <c r="R492" t="s">
        <v>103</v>
      </c>
      <c r="S492">
        <v>1</v>
      </c>
      <c r="T492">
        <v>0</v>
      </c>
      <c r="V492" t="s">
        <v>105</v>
      </c>
      <c r="W492">
        <v>0</v>
      </c>
      <c r="Z492" t="s">
        <v>117</v>
      </c>
      <c r="AB492" t="str">
        <f t="shared" si="378"/>
        <v/>
      </c>
      <c r="AC492" t="str">
        <f t="shared" si="379"/>
        <v/>
      </c>
      <c r="AD492">
        <f t="shared" si="380"/>
        <v>0</v>
      </c>
      <c r="AE492" t="str">
        <f t="shared" si="381"/>
        <v>A</v>
      </c>
      <c r="AF492">
        <f t="shared" si="382"/>
        <v>0</v>
      </c>
      <c r="AH492" t="str">
        <f t="shared" si="383"/>
        <v/>
      </c>
      <c r="AI492" t="str">
        <f t="shared" si="384"/>
        <v/>
      </c>
      <c r="AJ492">
        <f t="shared" si="385"/>
        <v>0</v>
      </c>
      <c r="AK492" t="str">
        <f t="shared" si="386"/>
        <v/>
      </c>
      <c r="AL492" t="str">
        <f t="shared" si="376"/>
        <v/>
      </c>
      <c r="AM492">
        <f t="shared" si="377"/>
        <v>-1</v>
      </c>
    </row>
    <row r="493" spans="3:39" x14ac:dyDescent="0.35">
      <c r="D493" t="s">
        <v>39</v>
      </c>
      <c r="E493" t="s">
        <v>43</v>
      </c>
      <c r="G493" s="4">
        <v>0.57508489542487018</v>
      </c>
      <c r="H493" s="4">
        <v>0.26459941062616221</v>
      </c>
      <c r="I493" s="4">
        <v>0.160315693948968</v>
      </c>
      <c r="K493">
        <v>1.28</v>
      </c>
      <c r="L493">
        <v>7</v>
      </c>
      <c r="M493">
        <v>13.5</v>
      </c>
      <c r="N493" s="4">
        <v>0.78125</v>
      </c>
      <c r="O493" s="4">
        <v>0.14285714285714285</v>
      </c>
      <c r="P493" s="4">
        <v>7.407407407407407E-2</v>
      </c>
      <c r="R493" t="s">
        <v>104</v>
      </c>
      <c r="S493">
        <v>1</v>
      </c>
      <c r="T493">
        <v>1</v>
      </c>
      <c r="V493" t="s">
        <v>103</v>
      </c>
      <c r="W493">
        <v>0</v>
      </c>
      <c r="Z493" t="s">
        <v>117</v>
      </c>
      <c r="AB493">
        <f t="shared" si="378"/>
        <v>0</v>
      </c>
      <c r="AC493" t="str">
        <f t="shared" si="379"/>
        <v/>
      </c>
      <c r="AD493" t="str">
        <f t="shared" si="380"/>
        <v/>
      </c>
      <c r="AE493" t="str">
        <f t="shared" si="381"/>
        <v>H</v>
      </c>
      <c r="AF493">
        <f t="shared" si="382"/>
        <v>0</v>
      </c>
      <c r="AH493">
        <f t="shared" si="383"/>
        <v>0</v>
      </c>
      <c r="AI493" t="str">
        <f t="shared" si="384"/>
        <v/>
      </c>
      <c r="AJ493" t="str">
        <f t="shared" si="385"/>
        <v/>
      </c>
      <c r="AK493">
        <f t="shared" si="386"/>
        <v>-1</v>
      </c>
      <c r="AL493" t="str">
        <f t="shared" si="376"/>
        <v/>
      </c>
      <c r="AM493" t="str">
        <f t="shared" si="377"/>
        <v/>
      </c>
    </row>
    <row r="494" spans="3:39" x14ac:dyDescent="0.35">
      <c r="D494" t="s">
        <v>41</v>
      </c>
      <c r="E494" t="s">
        <v>42</v>
      </c>
      <c r="G494" s="4">
        <v>0.56235195233286583</v>
      </c>
      <c r="H494" s="4">
        <v>0.24572630953221244</v>
      </c>
      <c r="I494" s="4">
        <v>0.19192173813492169</v>
      </c>
      <c r="K494">
        <v>2.13</v>
      </c>
      <c r="L494">
        <v>3.95</v>
      </c>
      <c r="M494">
        <v>3.7</v>
      </c>
      <c r="N494" s="4">
        <v>0.46948356807511737</v>
      </c>
      <c r="O494" s="4">
        <v>0.25316455696202528</v>
      </c>
      <c r="P494" s="4">
        <v>0.27027027027027023</v>
      </c>
      <c r="R494" t="s">
        <v>103</v>
      </c>
      <c r="S494">
        <v>5</v>
      </c>
      <c r="T494">
        <v>3</v>
      </c>
      <c r="V494" t="s">
        <v>103</v>
      </c>
      <c r="W494">
        <v>1</v>
      </c>
      <c r="Z494">
        <v>1</v>
      </c>
      <c r="AB494">
        <f t="shared" si="378"/>
        <v>1</v>
      </c>
      <c r="AC494" t="str">
        <f t="shared" si="379"/>
        <v/>
      </c>
      <c r="AD494" t="str">
        <f t="shared" si="380"/>
        <v/>
      </c>
      <c r="AE494" t="str">
        <f t="shared" si="381"/>
        <v>H</v>
      </c>
      <c r="AF494">
        <f t="shared" si="382"/>
        <v>1</v>
      </c>
      <c r="AH494">
        <f t="shared" si="383"/>
        <v>1</v>
      </c>
      <c r="AI494" t="str">
        <f t="shared" si="384"/>
        <v/>
      </c>
      <c r="AJ494" t="str">
        <f t="shared" si="385"/>
        <v/>
      </c>
      <c r="AK494">
        <f t="shared" si="386"/>
        <v>1.1299999999999999</v>
      </c>
      <c r="AL494" t="str">
        <f t="shared" si="376"/>
        <v/>
      </c>
      <c r="AM494" t="str">
        <f t="shared" si="377"/>
        <v/>
      </c>
    </row>
    <row r="495" spans="3:39" x14ac:dyDescent="0.35">
      <c r="G495" s="4"/>
      <c r="H495" s="4"/>
      <c r="I495" s="4"/>
      <c r="N495" s="4"/>
      <c r="O495" s="4"/>
      <c r="P495" s="4"/>
      <c r="AB495" s="4"/>
      <c r="AC495" s="4"/>
      <c r="AD495" s="4"/>
    </row>
    <row r="498" spans="3:39" x14ac:dyDescent="0.35">
      <c r="C498" t="s">
        <v>156</v>
      </c>
      <c r="H498" s="21" t="s">
        <v>107</v>
      </c>
      <c r="K498" s="22" t="s">
        <v>106</v>
      </c>
      <c r="N498" t="s">
        <v>108</v>
      </c>
    </row>
    <row r="499" spans="3:39" x14ac:dyDescent="0.35">
      <c r="G499" t="s">
        <v>103</v>
      </c>
      <c r="H499" t="s">
        <v>104</v>
      </c>
      <c r="I499" t="s">
        <v>105</v>
      </c>
      <c r="K499" t="s">
        <v>103</v>
      </c>
      <c r="L499" t="s">
        <v>104</v>
      </c>
      <c r="M499" t="s">
        <v>105</v>
      </c>
      <c r="N499" t="s">
        <v>103</v>
      </c>
      <c r="O499" t="s">
        <v>104</v>
      </c>
      <c r="P499" t="s">
        <v>105</v>
      </c>
      <c r="R499" t="s">
        <v>110</v>
      </c>
      <c r="V499" t="s">
        <v>112</v>
      </c>
      <c r="W499" t="s">
        <v>111</v>
      </c>
      <c r="X499" s="28" t="s">
        <v>114</v>
      </c>
      <c r="Z499" t="s">
        <v>113</v>
      </c>
      <c r="AA499" s="28" t="s">
        <v>116</v>
      </c>
      <c r="AB499" t="s">
        <v>166</v>
      </c>
      <c r="AC499" t="s">
        <v>167</v>
      </c>
      <c r="AD499" t="s">
        <v>168</v>
      </c>
      <c r="AK499" t="str">
        <f t="shared" si="373"/>
        <v/>
      </c>
      <c r="AL499" t="str">
        <f t="shared" si="374"/>
        <v/>
      </c>
      <c r="AM499" t="str">
        <f t="shared" si="375"/>
        <v/>
      </c>
    </row>
    <row r="500" spans="3:39" x14ac:dyDescent="0.35">
      <c r="D500" t="s">
        <v>25</v>
      </c>
      <c r="E500" t="s">
        <v>39</v>
      </c>
      <c r="G500" s="4">
        <v>0.28141113309153015</v>
      </c>
      <c r="H500" s="4">
        <v>0.32866552069379296</v>
      </c>
      <c r="I500" s="4">
        <v>0.38992334621467717</v>
      </c>
      <c r="K500">
        <v>3.36</v>
      </c>
      <c r="L500">
        <v>4.54</v>
      </c>
      <c r="M500">
        <v>2.35</v>
      </c>
      <c r="N500" s="4">
        <v>0.29761904761904762</v>
      </c>
      <c r="O500" s="4">
        <v>0.22026431718061673</v>
      </c>
      <c r="P500" s="4">
        <v>0.42553191489361702</v>
      </c>
      <c r="R500" t="s">
        <v>105</v>
      </c>
      <c r="S500">
        <v>0</v>
      </c>
      <c r="T500">
        <v>2</v>
      </c>
      <c r="V500" t="s">
        <v>105</v>
      </c>
      <c r="W500">
        <v>1</v>
      </c>
      <c r="X500" s="28">
        <v>0.5</v>
      </c>
      <c r="Z500">
        <v>0</v>
      </c>
      <c r="AA500" s="28">
        <v>0</v>
      </c>
      <c r="AB500" t="str">
        <f>IF(V500=$G$5, IF(W500=$R$2, 1,0), "")</f>
        <v/>
      </c>
      <c r="AC500" t="str">
        <f>IF(V500=$H$5, IF(W500=$R$2, 1,0), "")</f>
        <v/>
      </c>
      <c r="AD500">
        <f>IF(V500=$I$5, IF(W500=$R$2, 1,0), "")</f>
        <v>1</v>
      </c>
      <c r="AE500" t="str">
        <f>IF(MAX(N500:P500)=N500,$N$5,IF(MAX(N500:P500)=O500,$O$5,$P$5))</f>
        <v>A</v>
      </c>
      <c r="AF500">
        <f>IF(AE500=R500, $R$2,$R$3)</f>
        <v>1</v>
      </c>
      <c r="AG500" s="28">
        <f>COUNTIF(AF500:AF509, $R$2)/COUNT(AF500:AF509)</f>
        <v>0.6</v>
      </c>
      <c r="AH500" t="str">
        <f>IF(AE500=$G$5, IF(AF500=$R$2, 1,0), "")</f>
        <v/>
      </c>
      <c r="AI500" t="str">
        <f>IF(AE500=$H$5, IF(AF500=$R$2, 1,0), "")</f>
        <v/>
      </c>
      <c r="AJ500">
        <f>IF(AE500=$I$5, IF(AF500=$R$2, 1,0), "")</f>
        <v>1</v>
      </c>
      <c r="AK500" t="str">
        <f>IF(AB500=1, K500-1, IF(AB500=0, -1,""))</f>
        <v/>
      </c>
      <c r="AL500" t="str">
        <f t="shared" ref="AL500:AL509" si="387">IF(AC500=1, L500-1, IF(AC500=0, -1,""))</f>
        <v/>
      </c>
      <c r="AM500">
        <f t="shared" ref="AM500:AM509" si="388">IF(AD500=1, M500-1, IF(AD500=0, -1,""))</f>
        <v>1.35</v>
      </c>
    </row>
    <row r="501" spans="3:39" x14ac:dyDescent="0.35">
      <c r="D501" t="s">
        <v>34</v>
      </c>
      <c r="E501" t="s">
        <v>51</v>
      </c>
      <c r="G501" s="4">
        <v>0.30255918365157619</v>
      </c>
      <c r="H501" s="4">
        <v>0.34329592124905145</v>
      </c>
      <c r="I501" s="4">
        <v>0.35414489509937286</v>
      </c>
      <c r="K501">
        <v>2.25</v>
      </c>
      <c r="L501">
        <v>3.6</v>
      </c>
      <c r="M501">
        <v>3.56</v>
      </c>
      <c r="N501" s="4">
        <v>0.44444444444444442</v>
      </c>
      <c r="O501" s="4">
        <v>0.27777777777777779</v>
      </c>
      <c r="P501" s="4">
        <v>0.2808988764044944</v>
      </c>
      <c r="R501" t="s">
        <v>103</v>
      </c>
      <c r="S501">
        <v>3</v>
      </c>
      <c r="T501">
        <v>1</v>
      </c>
      <c r="V501" t="s">
        <v>105</v>
      </c>
      <c r="W501">
        <v>0</v>
      </c>
      <c r="Z501" t="s">
        <v>117</v>
      </c>
      <c r="AA501" s="29" t="s">
        <v>117</v>
      </c>
      <c r="AB501" t="str">
        <f t="shared" ref="AB501:AB509" si="389">IF(V501=$G$5, IF(W501=$R$2, 1,0), "")</f>
        <v/>
      </c>
      <c r="AC501" t="str">
        <f t="shared" ref="AC501:AC509" si="390">IF(V501=$H$5, IF(W501=$R$2, 1,0), "")</f>
        <v/>
      </c>
      <c r="AD501">
        <f t="shared" ref="AD501:AD509" si="391">IF(V501=$I$5, IF(W501=$R$2, 1,0), "")</f>
        <v>0</v>
      </c>
      <c r="AE501" t="str">
        <f t="shared" ref="AE501:AE509" si="392">IF(MAX(N501:P501)=N501,$N$5,IF(MAX(N501:P501)=O501,$O$5,$P$5))</f>
        <v>H</v>
      </c>
      <c r="AF501">
        <f t="shared" ref="AF501:AF509" si="393">IF(AE501=R501, $R$2,$R$3)</f>
        <v>1</v>
      </c>
      <c r="AH501">
        <f t="shared" ref="AH501:AH509" si="394">IF(AE501=$G$5, IF(AF501=$R$2, 1,0), "")</f>
        <v>1</v>
      </c>
      <c r="AI501" t="str">
        <f t="shared" ref="AI501:AI509" si="395">IF(AE501=$H$5, IF(AF501=$R$2, 1,0), "")</f>
        <v/>
      </c>
      <c r="AJ501" t="str">
        <f t="shared" ref="AJ501:AJ509" si="396">IF(AE501=$I$5, IF(AF501=$R$2, 1,0), "")</f>
        <v/>
      </c>
      <c r="AK501" t="str">
        <f t="shared" ref="AK501:AK509" si="397">IF(AB501=1, K501-1, IF(AB501=0, -1,""))</f>
        <v/>
      </c>
      <c r="AL501" t="str">
        <f t="shared" si="387"/>
        <v/>
      </c>
      <c r="AM501">
        <f t="shared" si="388"/>
        <v>-1</v>
      </c>
    </row>
    <row r="502" spans="3:39" x14ac:dyDescent="0.35">
      <c r="D502" t="s">
        <v>32</v>
      </c>
      <c r="E502" t="s">
        <v>45</v>
      </c>
      <c r="G502" s="4">
        <v>0.37262373025043111</v>
      </c>
      <c r="H502" s="4">
        <v>0.31707442452133922</v>
      </c>
      <c r="I502" s="4">
        <v>0.31030184522822979</v>
      </c>
      <c r="K502">
        <v>2.38</v>
      </c>
      <c r="L502">
        <v>3.65</v>
      </c>
      <c r="M502">
        <v>3.26</v>
      </c>
      <c r="N502" s="4">
        <v>0.42016806722689076</v>
      </c>
      <c r="O502" s="4">
        <v>0.27397260273972601</v>
      </c>
      <c r="P502" s="4">
        <v>0.30674846625766872</v>
      </c>
      <c r="R502" t="s">
        <v>105</v>
      </c>
      <c r="S502">
        <v>1</v>
      </c>
      <c r="T502">
        <v>2</v>
      </c>
      <c r="V502" t="s">
        <v>103</v>
      </c>
      <c r="W502">
        <v>0</v>
      </c>
      <c r="Z502" t="s">
        <v>117</v>
      </c>
      <c r="AB502">
        <f t="shared" si="389"/>
        <v>0</v>
      </c>
      <c r="AC502" t="str">
        <f t="shared" si="390"/>
        <v/>
      </c>
      <c r="AD502" t="str">
        <f t="shared" si="391"/>
        <v/>
      </c>
      <c r="AE502" t="str">
        <f t="shared" si="392"/>
        <v>H</v>
      </c>
      <c r="AF502">
        <f t="shared" si="393"/>
        <v>0</v>
      </c>
      <c r="AH502">
        <f t="shared" si="394"/>
        <v>0</v>
      </c>
      <c r="AI502" t="str">
        <f t="shared" si="395"/>
        <v/>
      </c>
      <c r="AJ502" t="str">
        <f t="shared" si="396"/>
        <v/>
      </c>
      <c r="AK502">
        <f t="shared" si="397"/>
        <v>-1</v>
      </c>
      <c r="AL502" t="str">
        <f t="shared" si="387"/>
        <v/>
      </c>
      <c r="AM502" t="str">
        <f t="shared" si="388"/>
        <v/>
      </c>
    </row>
    <row r="503" spans="3:39" x14ac:dyDescent="0.35">
      <c r="D503" t="s">
        <v>28</v>
      </c>
      <c r="E503" t="s">
        <v>38</v>
      </c>
      <c r="G503" s="4">
        <v>0.42122861432823744</v>
      </c>
      <c r="H503" s="4">
        <v>0.33135171096103561</v>
      </c>
      <c r="I503" s="4">
        <v>0.24741967471072707</v>
      </c>
      <c r="K503">
        <v>2.33</v>
      </c>
      <c r="L503">
        <v>4.0999999999999996</v>
      </c>
      <c r="M503">
        <v>3.15</v>
      </c>
      <c r="N503" s="4">
        <v>0.42918454935622319</v>
      </c>
      <c r="O503" s="4">
        <v>0.24390243902439027</v>
      </c>
      <c r="P503" s="4">
        <v>0.31746031746031744</v>
      </c>
      <c r="R503" t="s">
        <v>105</v>
      </c>
      <c r="S503">
        <v>1</v>
      </c>
      <c r="T503">
        <v>3</v>
      </c>
      <c r="V503" t="s">
        <v>103</v>
      </c>
      <c r="W503">
        <v>0</v>
      </c>
      <c r="Z503" t="s">
        <v>117</v>
      </c>
      <c r="AB503">
        <f t="shared" si="389"/>
        <v>0</v>
      </c>
      <c r="AC503" t="str">
        <f t="shared" si="390"/>
        <v/>
      </c>
      <c r="AD503" t="str">
        <f t="shared" si="391"/>
        <v/>
      </c>
      <c r="AE503" t="str">
        <f t="shared" si="392"/>
        <v>H</v>
      </c>
      <c r="AF503">
        <f t="shared" si="393"/>
        <v>0</v>
      </c>
      <c r="AH503">
        <f t="shared" si="394"/>
        <v>0</v>
      </c>
      <c r="AI503" t="str">
        <f t="shared" si="395"/>
        <v/>
      </c>
      <c r="AJ503" t="str">
        <f t="shared" si="396"/>
        <v/>
      </c>
      <c r="AK503">
        <f t="shared" si="397"/>
        <v>-1</v>
      </c>
      <c r="AL503" t="str">
        <f t="shared" si="387"/>
        <v/>
      </c>
      <c r="AM503" t="str">
        <f t="shared" si="388"/>
        <v/>
      </c>
    </row>
    <row r="504" spans="3:39" x14ac:dyDescent="0.35">
      <c r="D504" t="s">
        <v>42</v>
      </c>
      <c r="E504" t="s">
        <v>49</v>
      </c>
      <c r="G504" s="4">
        <v>0.41451690517005013</v>
      </c>
      <c r="H504" s="4">
        <v>0.34225901405507059</v>
      </c>
      <c r="I504" s="4">
        <v>0.24322408077487923</v>
      </c>
      <c r="K504">
        <v>1.9</v>
      </c>
      <c r="L504">
        <v>3.92</v>
      </c>
      <c r="M504">
        <v>4.55</v>
      </c>
      <c r="N504" s="4">
        <v>0.52631578947368418</v>
      </c>
      <c r="O504" s="4">
        <v>0.25510204081632654</v>
      </c>
      <c r="P504" s="4">
        <v>0.21978021978021978</v>
      </c>
      <c r="R504" t="s">
        <v>103</v>
      </c>
      <c r="S504">
        <v>2</v>
      </c>
      <c r="T504">
        <v>0</v>
      </c>
      <c r="V504" t="s">
        <v>103</v>
      </c>
      <c r="W504">
        <v>1</v>
      </c>
      <c r="Z504">
        <v>0</v>
      </c>
      <c r="AB504">
        <f t="shared" si="389"/>
        <v>1</v>
      </c>
      <c r="AC504" t="str">
        <f t="shared" si="390"/>
        <v/>
      </c>
      <c r="AD504" t="str">
        <f t="shared" si="391"/>
        <v/>
      </c>
      <c r="AE504" t="str">
        <f t="shared" si="392"/>
        <v>H</v>
      </c>
      <c r="AF504">
        <f t="shared" si="393"/>
        <v>1</v>
      </c>
      <c r="AH504">
        <f t="shared" si="394"/>
        <v>1</v>
      </c>
      <c r="AI504" t="str">
        <f t="shared" si="395"/>
        <v/>
      </c>
      <c r="AJ504" t="str">
        <f t="shared" si="396"/>
        <v/>
      </c>
      <c r="AK504">
        <f t="shared" si="397"/>
        <v>0.89999999999999991</v>
      </c>
      <c r="AL504" t="str">
        <f t="shared" si="387"/>
        <v/>
      </c>
      <c r="AM504" t="str">
        <f t="shared" si="388"/>
        <v/>
      </c>
    </row>
    <row r="505" spans="3:39" x14ac:dyDescent="0.35">
      <c r="D505" t="s">
        <v>40</v>
      </c>
      <c r="E505" t="s">
        <v>35</v>
      </c>
      <c r="G505" s="4">
        <v>0.45404343982400897</v>
      </c>
      <c r="H505" s="4">
        <v>0.31372302453851048</v>
      </c>
      <c r="I505" s="4">
        <v>0.23223353563748059</v>
      </c>
      <c r="K505">
        <v>2.0499999999999998</v>
      </c>
      <c r="L505">
        <v>4.05</v>
      </c>
      <c r="M505">
        <v>4</v>
      </c>
      <c r="N505" s="4">
        <v>0.48780487804878053</v>
      </c>
      <c r="O505" s="4">
        <v>0.24691358024691359</v>
      </c>
      <c r="P505" s="4">
        <v>0.25</v>
      </c>
      <c r="R505" t="s">
        <v>103</v>
      </c>
      <c r="S505">
        <v>3</v>
      </c>
      <c r="T505">
        <v>2</v>
      </c>
      <c r="V505" t="s">
        <v>103</v>
      </c>
      <c r="W505">
        <v>1</v>
      </c>
      <c r="Z505">
        <v>0</v>
      </c>
      <c r="AB505">
        <f t="shared" si="389"/>
        <v>1</v>
      </c>
      <c r="AC505" t="str">
        <f t="shared" si="390"/>
        <v/>
      </c>
      <c r="AD505" t="str">
        <f t="shared" si="391"/>
        <v/>
      </c>
      <c r="AE505" t="str">
        <f t="shared" si="392"/>
        <v>H</v>
      </c>
      <c r="AF505">
        <f t="shared" si="393"/>
        <v>1</v>
      </c>
      <c r="AH505">
        <f t="shared" si="394"/>
        <v>1</v>
      </c>
      <c r="AI505" t="str">
        <f t="shared" si="395"/>
        <v/>
      </c>
      <c r="AJ505" t="str">
        <f t="shared" si="396"/>
        <v/>
      </c>
      <c r="AK505">
        <f t="shared" si="397"/>
        <v>1.0499999999999998</v>
      </c>
      <c r="AL505" t="str">
        <f t="shared" si="387"/>
        <v/>
      </c>
      <c r="AM505" t="str">
        <f t="shared" si="388"/>
        <v/>
      </c>
    </row>
    <row r="506" spans="3:39" x14ac:dyDescent="0.35">
      <c r="D506" t="s">
        <v>43</v>
      </c>
      <c r="E506" t="s">
        <v>52</v>
      </c>
      <c r="G506" s="4">
        <v>0.39791094639028091</v>
      </c>
      <c r="H506" s="4">
        <v>0.27824205744873309</v>
      </c>
      <c r="I506" s="4">
        <v>0.32384699616098556</v>
      </c>
      <c r="K506">
        <v>3.2</v>
      </c>
      <c r="L506">
        <v>3.82</v>
      </c>
      <c r="M506">
        <v>2.36</v>
      </c>
      <c r="N506" s="4">
        <v>0.3125</v>
      </c>
      <c r="O506" s="4">
        <v>0.26178010471204188</v>
      </c>
      <c r="P506" s="4">
        <v>0.42372881355932207</v>
      </c>
      <c r="R506" t="s">
        <v>104</v>
      </c>
      <c r="S506">
        <v>1</v>
      </c>
      <c r="T506">
        <v>1</v>
      </c>
      <c r="V506" t="s">
        <v>103</v>
      </c>
      <c r="W506">
        <v>0</v>
      </c>
      <c r="Z506" t="s">
        <v>117</v>
      </c>
      <c r="AB506">
        <f t="shared" si="389"/>
        <v>0</v>
      </c>
      <c r="AC506" t="str">
        <f t="shared" si="390"/>
        <v/>
      </c>
      <c r="AD506" t="str">
        <f t="shared" si="391"/>
        <v/>
      </c>
      <c r="AE506" t="str">
        <f t="shared" si="392"/>
        <v>A</v>
      </c>
      <c r="AF506">
        <f t="shared" si="393"/>
        <v>0</v>
      </c>
      <c r="AH506" t="str">
        <f t="shared" si="394"/>
        <v/>
      </c>
      <c r="AI506" t="str">
        <f t="shared" si="395"/>
        <v/>
      </c>
      <c r="AJ506">
        <f t="shared" si="396"/>
        <v>0</v>
      </c>
      <c r="AK506">
        <f t="shared" si="397"/>
        <v>-1</v>
      </c>
      <c r="AL506" t="str">
        <f t="shared" si="387"/>
        <v/>
      </c>
      <c r="AM506" t="str">
        <f t="shared" si="388"/>
        <v/>
      </c>
    </row>
    <row r="507" spans="3:39" x14ac:dyDescent="0.35">
      <c r="D507" t="s">
        <v>46</v>
      </c>
      <c r="E507" t="s">
        <v>41</v>
      </c>
      <c r="G507" s="4">
        <v>0.10831937274672251</v>
      </c>
      <c r="H507" s="4">
        <v>0.23555349894258462</v>
      </c>
      <c r="I507" s="4">
        <v>0.65612712831069275</v>
      </c>
      <c r="K507">
        <v>8.1999999999999993</v>
      </c>
      <c r="L507">
        <v>5.4</v>
      </c>
      <c r="M507">
        <v>1.45</v>
      </c>
      <c r="N507" s="4">
        <v>0.12195121951219513</v>
      </c>
      <c r="O507" s="4">
        <v>0.18518518518518517</v>
      </c>
      <c r="P507" s="4">
        <v>0.68965517241379315</v>
      </c>
      <c r="R507" t="s">
        <v>105</v>
      </c>
      <c r="S507">
        <v>1</v>
      </c>
      <c r="T507">
        <v>3</v>
      </c>
      <c r="V507" t="s">
        <v>105</v>
      </c>
      <c r="W507">
        <v>1</v>
      </c>
      <c r="Z507">
        <v>0</v>
      </c>
      <c r="AB507" t="str">
        <f t="shared" si="389"/>
        <v/>
      </c>
      <c r="AC507" t="str">
        <f t="shared" si="390"/>
        <v/>
      </c>
      <c r="AD507">
        <f t="shared" si="391"/>
        <v>1</v>
      </c>
      <c r="AE507" t="str">
        <f t="shared" si="392"/>
        <v>A</v>
      </c>
      <c r="AF507">
        <f t="shared" si="393"/>
        <v>1</v>
      </c>
      <c r="AH507" t="str">
        <f t="shared" si="394"/>
        <v/>
      </c>
      <c r="AI507" t="str">
        <f t="shared" si="395"/>
        <v/>
      </c>
      <c r="AJ507">
        <f t="shared" si="396"/>
        <v>1</v>
      </c>
      <c r="AK507" t="str">
        <f t="shared" si="397"/>
        <v/>
      </c>
      <c r="AL507" t="str">
        <f t="shared" si="387"/>
        <v/>
      </c>
      <c r="AM507">
        <f t="shared" si="388"/>
        <v>0.44999999999999996</v>
      </c>
    </row>
    <row r="508" spans="3:39" x14ac:dyDescent="0.35">
      <c r="D508" t="s">
        <v>30</v>
      </c>
      <c r="E508" t="s">
        <v>29</v>
      </c>
      <c r="G508" s="4">
        <v>0.24500074711918746</v>
      </c>
      <c r="H508" s="4">
        <v>0.34452976060681006</v>
      </c>
      <c r="I508" s="4">
        <v>0.41046949227400287</v>
      </c>
      <c r="K508">
        <v>6.75</v>
      </c>
      <c r="L508">
        <v>4.45</v>
      </c>
      <c r="M508">
        <v>1.6</v>
      </c>
      <c r="N508" s="4">
        <v>0.14814814814814814</v>
      </c>
      <c r="O508" s="4">
        <v>0.2247191011235955</v>
      </c>
      <c r="P508" s="4">
        <v>0.625</v>
      </c>
      <c r="R508" t="s">
        <v>104</v>
      </c>
      <c r="S508">
        <v>1</v>
      </c>
      <c r="T508">
        <v>1</v>
      </c>
      <c r="V508" t="s">
        <v>105</v>
      </c>
      <c r="W508">
        <v>0</v>
      </c>
      <c r="Z508" t="s">
        <v>117</v>
      </c>
      <c r="AB508" t="str">
        <f t="shared" si="389"/>
        <v/>
      </c>
      <c r="AC508" t="str">
        <f t="shared" si="390"/>
        <v/>
      </c>
      <c r="AD508">
        <f t="shared" si="391"/>
        <v>0</v>
      </c>
      <c r="AE508" t="str">
        <f t="shared" si="392"/>
        <v>A</v>
      </c>
      <c r="AF508">
        <f t="shared" si="393"/>
        <v>0</v>
      </c>
      <c r="AH508" t="str">
        <f t="shared" si="394"/>
        <v/>
      </c>
      <c r="AI508" t="str">
        <f t="shared" si="395"/>
        <v/>
      </c>
      <c r="AJ508">
        <f t="shared" si="396"/>
        <v>0</v>
      </c>
      <c r="AK508" t="str">
        <f t="shared" si="397"/>
        <v/>
      </c>
      <c r="AL508" t="str">
        <f t="shared" si="387"/>
        <v/>
      </c>
      <c r="AM508">
        <f t="shared" si="388"/>
        <v>-1</v>
      </c>
    </row>
    <row r="509" spans="3:39" x14ac:dyDescent="0.35">
      <c r="D509" t="s">
        <v>36</v>
      </c>
      <c r="E509" t="s">
        <v>50</v>
      </c>
      <c r="G509" s="4">
        <v>0.77930486436269086</v>
      </c>
      <c r="H509" s="4">
        <v>0.16722749668633632</v>
      </c>
      <c r="I509" s="4">
        <v>5.3467638950972556E-2</v>
      </c>
      <c r="K509">
        <v>1.1000000000000001</v>
      </c>
      <c r="L509">
        <v>15.25</v>
      </c>
      <c r="M509">
        <v>41</v>
      </c>
      <c r="N509" s="4">
        <v>0.90909090909090906</v>
      </c>
      <c r="O509" s="4">
        <v>6.5573770491803282E-2</v>
      </c>
      <c r="P509" s="4">
        <v>2.4390243902439025E-2</v>
      </c>
      <c r="R509" t="s">
        <v>103</v>
      </c>
      <c r="S509">
        <v>5</v>
      </c>
      <c r="T509">
        <v>0</v>
      </c>
      <c r="V509" t="s">
        <v>103</v>
      </c>
      <c r="W509">
        <v>1</v>
      </c>
      <c r="Z509">
        <v>0</v>
      </c>
      <c r="AB509">
        <f t="shared" si="389"/>
        <v>1</v>
      </c>
      <c r="AC509" t="str">
        <f t="shared" si="390"/>
        <v/>
      </c>
      <c r="AD509" t="str">
        <f t="shared" si="391"/>
        <v/>
      </c>
      <c r="AE509" t="str">
        <f t="shared" si="392"/>
        <v>H</v>
      </c>
      <c r="AF509">
        <f t="shared" si="393"/>
        <v>1</v>
      </c>
      <c r="AH509">
        <f t="shared" si="394"/>
        <v>1</v>
      </c>
      <c r="AI509" t="str">
        <f t="shared" si="395"/>
        <v/>
      </c>
      <c r="AJ509" t="str">
        <f t="shared" si="396"/>
        <v/>
      </c>
      <c r="AK509">
        <f t="shared" si="397"/>
        <v>0.10000000000000009</v>
      </c>
      <c r="AL509" t="str">
        <f t="shared" si="387"/>
        <v/>
      </c>
      <c r="AM509" t="str">
        <f t="shared" si="388"/>
        <v/>
      </c>
    </row>
    <row r="510" spans="3:39" x14ac:dyDescent="0.35">
      <c r="G510" s="4"/>
      <c r="H510" s="4"/>
      <c r="I510" s="4"/>
      <c r="N510" s="4"/>
      <c r="O510" s="4"/>
      <c r="P510" s="4"/>
      <c r="AB510" s="4"/>
      <c r="AC510" s="4"/>
      <c r="AD510" s="4"/>
    </row>
  </sheetData>
  <mergeCells count="1">
    <mergeCell ref="S5:U5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D5D3-82B0-431A-8CC2-25E155DC1B45}">
  <dimension ref="B3:O99"/>
  <sheetViews>
    <sheetView zoomScale="82" workbookViewId="0">
      <selection activeCell="L26" sqref="L26"/>
    </sheetView>
    <sheetView zoomScale="73" workbookViewId="1">
      <selection activeCell="D6" sqref="D6:E15"/>
    </sheetView>
  </sheetViews>
  <sheetFormatPr defaultRowHeight="14.5" x14ac:dyDescent="0.35"/>
  <cols>
    <col min="2" max="2" width="9.453125" bestFit="1" customWidth="1"/>
    <col min="4" max="4" width="16.7265625" bestFit="1" customWidth="1"/>
    <col min="5" max="5" width="17.36328125" bestFit="1" customWidth="1"/>
    <col min="14" max="15" width="22.36328125" bestFit="1" customWidth="1"/>
  </cols>
  <sheetData>
    <row r="3" spans="2:15" x14ac:dyDescent="0.35">
      <c r="B3" t="s">
        <v>98</v>
      </c>
      <c r="C3" s="20">
        <f>BackTest!C3</f>
        <v>0.3</v>
      </c>
    </row>
    <row r="4" spans="2:15" x14ac:dyDescent="0.35">
      <c r="B4" t="s">
        <v>99</v>
      </c>
      <c r="C4" s="20">
        <f>BackTest!C4</f>
        <v>0.7</v>
      </c>
    </row>
    <row r="5" spans="2:15" x14ac:dyDescent="0.35">
      <c r="G5" s="27" t="s">
        <v>184</v>
      </c>
      <c r="H5" s="27" t="s">
        <v>88</v>
      </c>
      <c r="I5" s="27" t="s">
        <v>122</v>
      </c>
    </row>
    <row r="6" spans="2:15" x14ac:dyDescent="0.35">
      <c r="D6" s="23" t="s">
        <v>25</v>
      </c>
      <c r="E6" s="23" t="s">
        <v>39</v>
      </c>
      <c r="G6" s="32">
        <f>' Poisson 2018'!I7</f>
        <v>0.28141113309153015</v>
      </c>
      <c r="H6" s="32">
        <f>' Poisson 2018'!J7</f>
        <v>0.32866552069379296</v>
      </c>
      <c r="I6" s="32">
        <f>' Poisson 2018'!K7</f>
        <v>0.38992334621467717</v>
      </c>
      <c r="N6" t="s">
        <v>51</v>
      </c>
      <c r="O6" t="s">
        <v>41</v>
      </c>
    </row>
    <row r="7" spans="2:15" x14ac:dyDescent="0.35">
      <c r="D7" s="23" t="s">
        <v>34</v>
      </c>
      <c r="E7" s="23" t="s">
        <v>51</v>
      </c>
      <c r="G7" s="32">
        <f>' Poisson 2018'!I40</f>
        <v>0.30255918365157619</v>
      </c>
      <c r="H7" s="32">
        <f>' Poisson 2018'!J40</f>
        <v>0.34329592124905145</v>
      </c>
      <c r="I7" s="32">
        <f>' Poisson 2018'!K40</f>
        <v>0.35414489509937286</v>
      </c>
      <c r="N7" t="s">
        <v>42</v>
      </c>
      <c r="O7" t="s">
        <v>45</v>
      </c>
    </row>
    <row r="8" spans="2:15" x14ac:dyDescent="0.35">
      <c r="D8" s="23" t="s">
        <v>32</v>
      </c>
      <c r="E8" s="23" t="s">
        <v>45</v>
      </c>
      <c r="G8" s="32">
        <f>' Poisson 2018'!I73</f>
        <v>0.37262373025043111</v>
      </c>
      <c r="H8" s="32">
        <f>' Poisson 2018'!J73</f>
        <v>0.31707442452133922</v>
      </c>
      <c r="I8" s="32">
        <f>' Poisson 2018'!K73</f>
        <v>0.31030184522822979</v>
      </c>
      <c r="N8" t="s">
        <v>29</v>
      </c>
      <c r="O8" t="s">
        <v>34</v>
      </c>
    </row>
    <row r="9" spans="2:15" x14ac:dyDescent="0.35">
      <c r="D9" s="23" t="s">
        <v>28</v>
      </c>
      <c r="E9" s="23" t="s">
        <v>38</v>
      </c>
      <c r="G9" s="32">
        <f>' Poisson 2018'!I106</f>
        <v>0.42122861432823744</v>
      </c>
      <c r="H9" s="32">
        <f>' Poisson 2018'!J106</f>
        <v>0.33135171096103561</v>
      </c>
      <c r="I9" s="32">
        <f>' Poisson 2018'!K106</f>
        <v>0.24741967471072707</v>
      </c>
      <c r="N9" t="s">
        <v>38</v>
      </c>
      <c r="O9" t="s">
        <v>43</v>
      </c>
    </row>
    <row r="10" spans="2:15" x14ac:dyDescent="0.35">
      <c r="D10" s="23" t="s">
        <v>42</v>
      </c>
      <c r="E10" s="23" t="s">
        <v>49</v>
      </c>
      <c r="G10" s="32">
        <f>' Poisson 2018'!I139</f>
        <v>0.41451690517005013</v>
      </c>
      <c r="H10" s="32">
        <f>' Poisson 2018'!J139</f>
        <v>0.34225901405507059</v>
      </c>
      <c r="I10" s="32">
        <f>' Poisson 2018'!K139</f>
        <v>0.24322408077487923</v>
      </c>
      <c r="N10" t="s">
        <v>30</v>
      </c>
      <c r="O10" t="s">
        <v>50</v>
      </c>
    </row>
    <row r="11" spans="2:15" x14ac:dyDescent="0.35">
      <c r="D11" s="23" t="s">
        <v>40</v>
      </c>
      <c r="E11" s="23" t="s">
        <v>35</v>
      </c>
      <c r="G11" s="32">
        <f>' Poisson 2018'!I172</f>
        <v>0.45404343982400897</v>
      </c>
      <c r="H11" s="32">
        <f>' Poisson 2018'!J172</f>
        <v>0.31372302453851048</v>
      </c>
      <c r="I11" s="32">
        <f>' Poisson 2018'!K172</f>
        <v>0.23223353563748059</v>
      </c>
      <c r="N11" t="s">
        <v>52</v>
      </c>
      <c r="O11" t="s">
        <v>32</v>
      </c>
    </row>
    <row r="12" spans="2:15" x14ac:dyDescent="0.35">
      <c r="D12" s="23" t="s">
        <v>43</v>
      </c>
      <c r="E12" s="23" t="s">
        <v>52</v>
      </c>
      <c r="G12" s="32">
        <f>' Poisson 2018'!I205</f>
        <v>0.39791094639028091</v>
      </c>
      <c r="H12" s="32">
        <f>' Poisson 2018'!J205</f>
        <v>0.27824205744873309</v>
      </c>
      <c r="I12" s="32">
        <f>' Poisson 2018'!K205</f>
        <v>0.32384699616098556</v>
      </c>
      <c r="N12" t="s">
        <v>49</v>
      </c>
      <c r="O12" t="s">
        <v>35</v>
      </c>
    </row>
    <row r="13" spans="2:15" x14ac:dyDescent="0.35">
      <c r="D13" s="23" t="s">
        <v>46</v>
      </c>
      <c r="E13" s="23" t="s">
        <v>41</v>
      </c>
      <c r="G13" s="32">
        <f>' Poisson 2018'!I238</f>
        <v>0.10831937274672251</v>
      </c>
      <c r="H13" s="32">
        <f>' Poisson 2018'!J238</f>
        <v>0.23555349894258462</v>
      </c>
      <c r="I13" s="32">
        <f>' Poisson 2018'!K238</f>
        <v>0.65612712831069275</v>
      </c>
      <c r="N13" t="s">
        <v>28</v>
      </c>
      <c r="O13" t="s">
        <v>36</v>
      </c>
    </row>
    <row r="14" spans="2:15" x14ac:dyDescent="0.35">
      <c r="D14" s="23" t="s">
        <v>30</v>
      </c>
      <c r="E14" s="23" t="s">
        <v>29</v>
      </c>
      <c r="G14" s="32">
        <f>' Poisson 2018'!I271</f>
        <v>0.24500074711918746</v>
      </c>
      <c r="H14" s="32">
        <f>' Poisson 2018'!J271</f>
        <v>0.34452976060681006</v>
      </c>
      <c r="I14" s="32">
        <f>' Poisson 2018'!K271</f>
        <v>0.41046949227400287</v>
      </c>
      <c r="N14" t="s">
        <v>25</v>
      </c>
      <c r="O14" t="s">
        <v>46</v>
      </c>
    </row>
    <row r="15" spans="2:15" x14ac:dyDescent="0.35">
      <c r="D15" s="23" t="s">
        <v>36</v>
      </c>
      <c r="E15" s="23" t="s">
        <v>50</v>
      </c>
      <c r="G15" s="32">
        <f>' Poisson 2018'!I304</f>
        <v>0.77930486436269086</v>
      </c>
      <c r="H15" s="32">
        <f>' Poisson 2018'!J304</f>
        <v>0.16722749668633632</v>
      </c>
      <c r="I15" s="32">
        <f>' Poisson 2018'!K304</f>
        <v>5.3467638950972556E-2</v>
      </c>
      <c r="N15" t="s">
        <v>39</v>
      </c>
      <c r="O15" t="s">
        <v>40</v>
      </c>
    </row>
    <row r="16" spans="2:15" x14ac:dyDescent="0.35">
      <c r="G16" s="4"/>
      <c r="H16" s="4"/>
      <c r="I16" s="4"/>
    </row>
    <row r="18" spans="4:15" x14ac:dyDescent="0.35">
      <c r="D18" s="31"/>
      <c r="E18" s="31"/>
      <c r="N18" t="s">
        <v>45</v>
      </c>
      <c r="O18" t="s">
        <v>29</v>
      </c>
    </row>
    <row r="19" spans="4:15" x14ac:dyDescent="0.35">
      <c r="N19" t="s">
        <v>41</v>
      </c>
      <c r="O19" t="s">
        <v>25</v>
      </c>
    </row>
    <row r="20" spans="4:15" x14ac:dyDescent="0.35">
      <c r="N20" t="s">
        <v>50</v>
      </c>
      <c r="O20" t="s">
        <v>52</v>
      </c>
    </row>
    <row r="21" spans="4:15" x14ac:dyDescent="0.35">
      <c r="N21" t="s">
        <v>32</v>
      </c>
      <c r="O21" t="s">
        <v>28</v>
      </c>
    </row>
    <row r="22" spans="4:15" x14ac:dyDescent="0.35">
      <c r="N22" t="s">
        <v>35</v>
      </c>
      <c r="O22" t="s">
        <v>51</v>
      </c>
    </row>
    <row r="23" spans="4:15" x14ac:dyDescent="0.35">
      <c r="N23" t="s">
        <v>43</v>
      </c>
      <c r="O23" t="s">
        <v>30</v>
      </c>
    </row>
    <row r="24" spans="4:15" x14ac:dyDescent="0.35">
      <c r="N24" t="s">
        <v>36</v>
      </c>
      <c r="O24" t="s">
        <v>49</v>
      </c>
    </row>
    <row r="25" spans="4:15" x14ac:dyDescent="0.35">
      <c r="N25" t="s">
        <v>34</v>
      </c>
      <c r="O25" t="s">
        <v>42</v>
      </c>
    </row>
    <row r="26" spans="4:15" x14ac:dyDescent="0.35">
      <c r="N26" t="s">
        <v>40</v>
      </c>
      <c r="O26" t="s">
        <v>38</v>
      </c>
    </row>
    <row r="27" spans="4:15" x14ac:dyDescent="0.35">
      <c r="N27" t="s">
        <v>46</v>
      </c>
      <c r="O27" t="s">
        <v>39</v>
      </c>
    </row>
    <row r="30" spans="4:15" x14ac:dyDescent="0.35">
      <c r="N30" t="s">
        <v>28</v>
      </c>
      <c r="O30" t="s">
        <v>43</v>
      </c>
    </row>
    <row r="31" spans="4:15" x14ac:dyDescent="0.35">
      <c r="N31" t="s">
        <v>38</v>
      </c>
      <c r="O31" t="s">
        <v>50</v>
      </c>
    </row>
    <row r="32" spans="4:15" x14ac:dyDescent="0.35">
      <c r="N32" t="s">
        <v>52</v>
      </c>
      <c r="O32" t="s">
        <v>45</v>
      </c>
    </row>
    <row r="33" spans="14:15" x14ac:dyDescent="0.35">
      <c r="N33" t="s">
        <v>29</v>
      </c>
      <c r="O33" t="s">
        <v>35</v>
      </c>
    </row>
    <row r="34" spans="14:15" x14ac:dyDescent="0.35">
      <c r="N34" t="s">
        <v>42</v>
      </c>
      <c r="O34" t="s">
        <v>46</v>
      </c>
    </row>
    <row r="35" spans="14:15" x14ac:dyDescent="0.35">
      <c r="N35" t="s">
        <v>25</v>
      </c>
      <c r="O35" t="s">
        <v>32</v>
      </c>
    </row>
    <row r="36" spans="14:15" x14ac:dyDescent="0.35">
      <c r="N36" t="s">
        <v>49</v>
      </c>
      <c r="O36" t="s">
        <v>34</v>
      </c>
    </row>
    <row r="37" spans="14:15" x14ac:dyDescent="0.35">
      <c r="N37" t="s">
        <v>30</v>
      </c>
      <c r="O37" t="s">
        <v>36</v>
      </c>
    </row>
    <row r="38" spans="14:15" x14ac:dyDescent="0.35">
      <c r="N38" t="s">
        <v>39</v>
      </c>
      <c r="O38" t="s">
        <v>41</v>
      </c>
    </row>
    <row r="39" spans="14:15" x14ac:dyDescent="0.35">
      <c r="N39" t="s">
        <v>51</v>
      </c>
      <c r="O39" t="s">
        <v>40</v>
      </c>
    </row>
    <row r="42" spans="14:15" x14ac:dyDescent="0.35">
      <c r="N42" t="s">
        <v>34</v>
      </c>
      <c r="O42" t="s">
        <v>25</v>
      </c>
    </row>
    <row r="43" spans="14:15" x14ac:dyDescent="0.35">
      <c r="N43" t="s">
        <v>36</v>
      </c>
      <c r="O43" t="s">
        <v>52</v>
      </c>
    </row>
    <row r="44" spans="14:15" x14ac:dyDescent="0.35">
      <c r="N44" t="s">
        <v>45</v>
      </c>
      <c r="O44" t="s">
        <v>28</v>
      </c>
    </row>
    <row r="45" spans="14:15" x14ac:dyDescent="0.35">
      <c r="N45" t="s">
        <v>35</v>
      </c>
      <c r="O45" t="s">
        <v>38</v>
      </c>
    </row>
    <row r="46" spans="14:15" x14ac:dyDescent="0.35">
      <c r="N46" t="s">
        <v>43</v>
      </c>
      <c r="O46" t="s">
        <v>51</v>
      </c>
    </row>
    <row r="47" spans="14:15" x14ac:dyDescent="0.35">
      <c r="N47" t="s">
        <v>32</v>
      </c>
      <c r="O47" t="s">
        <v>42</v>
      </c>
    </row>
    <row r="48" spans="14:15" x14ac:dyDescent="0.35">
      <c r="N48" t="s">
        <v>46</v>
      </c>
      <c r="O48" t="s">
        <v>49</v>
      </c>
    </row>
    <row r="49" spans="14:15" x14ac:dyDescent="0.35">
      <c r="N49" t="s">
        <v>50</v>
      </c>
      <c r="O49" t="s">
        <v>39</v>
      </c>
    </row>
    <row r="50" spans="14:15" x14ac:dyDescent="0.35">
      <c r="N50" t="s">
        <v>41</v>
      </c>
      <c r="O50" t="s">
        <v>29</v>
      </c>
    </row>
    <row r="51" spans="14:15" x14ac:dyDescent="0.35">
      <c r="N51" t="s">
        <v>40</v>
      </c>
      <c r="O51" t="s">
        <v>30</v>
      </c>
    </row>
    <row r="54" spans="14:15" x14ac:dyDescent="0.35">
      <c r="N54" t="s">
        <v>38</v>
      </c>
      <c r="O54" t="s">
        <v>39</v>
      </c>
    </row>
    <row r="55" spans="14:15" x14ac:dyDescent="0.35">
      <c r="N55" t="s">
        <v>51</v>
      </c>
      <c r="O55" t="s">
        <v>32</v>
      </c>
    </row>
    <row r="56" spans="14:15" x14ac:dyDescent="0.35">
      <c r="N56" t="s">
        <v>40</v>
      </c>
      <c r="O56" t="s">
        <v>49</v>
      </c>
    </row>
    <row r="57" spans="14:15" x14ac:dyDescent="0.35">
      <c r="N57" t="s">
        <v>52</v>
      </c>
      <c r="O57" t="s">
        <v>41</v>
      </c>
    </row>
    <row r="58" spans="14:15" x14ac:dyDescent="0.35">
      <c r="N58" t="s">
        <v>36</v>
      </c>
      <c r="O58" t="s">
        <v>34</v>
      </c>
    </row>
    <row r="59" spans="14:15" x14ac:dyDescent="0.35">
      <c r="N59" t="s">
        <v>43</v>
      </c>
      <c r="O59" t="s">
        <v>46</v>
      </c>
    </row>
    <row r="60" spans="14:15" x14ac:dyDescent="0.35">
      <c r="N60" t="s">
        <v>45</v>
      </c>
      <c r="O60" t="s">
        <v>50</v>
      </c>
    </row>
    <row r="61" spans="14:15" x14ac:dyDescent="0.35">
      <c r="N61" t="s">
        <v>35</v>
      </c>
      <c r="O61" t="s">
        <v>42</v>
      </c>
    </row>
    <row r="62" spans="14:15" x14ac:dyDescent="0.35">
      <c r="N62" t="s">
        <v>30</v>
      </c>
      <c r="O62" t="s">
        <v>25</v>
      </c>
    </row>
    <row r="63" spans="14:15" x14ac:dyDescent="0.35">
      <c r="N63" t="s">
        <v>28</v>
      </c>
      <c r="O63" t="s">
        <v>29</v>
      </c>
    </row>
    <row r="66" spans="14:15" x14ac:dyDescent="0.35">
      <c r="N66" t="s">
        <v>50</v>
      </c>
      <c r="O66" t="s">
        <v>35</v>
      </c>
    </row>
    <row r="67" spans="14:15" x14ac:dyDescent="0.35">
      <c r="N67" t="s">
        <v>42</v>
      </c>
      <c r="O67" t="s">
        <v>30</v>
      </c>
    </row>
    <row r="68" spans="14:15" x14ac:dyDescent="0.35">
      <c r="N68" t="s">
        <v>34</v>
      </c>
      <c r="O68" t="s">
        <v>28</v>
      </c>
    </row>
    <row r="69" spans="14:15" x14ac:dyDescent="0.35">
      <c r="N69" t="s">
        <v>46</v>
      </c>
      <c r="O69" t="s">
        <v>38</v>
      </c>
    </row>
    <row r="70" spans="14:15" x14ac:dyDescent="0.35">
      <c r="N70" t="s">
        <v>32</v>
      </c>
      <c r="O70" t="s">
        <v>43</v>
      </c>
    </row>
    <row r="71" spans="14:15" x14ac:dyDescent="0.35">
      <c r="N71" t="s">
        <v>29</v>
      </c>
      <c r="O71" t="s">
        <v>51</v>
      </c>
    </row>
    <row r="72" spans="14:15" x14ac:dyDescent="0.35">
      <c r="N72" t="s">
        <v>25</v>
      </c>
      <c r="O72" t="s">
        <v>40</v>
      </c>
    </row>
    <row r="73" spans="14:15" x14ac:dyDescent="0.35">
      <c r="N73" t="s">
        <v>49</v>
      </c>
      <c r="O73" t="s">
        <v>52</v>
      </c>
    </row>
    <row r="74" spans="14:15" x14ac:dyDescent="0.35">
      <c r="N74" t="s">
        <v>39</v>
      </c>
      <c r="O74" t="s">
        <v>45</v>
      </c>
    </row>
    <row r="75" spans="14:15" x14ac:dyDescent="0.35">
      <c r="N75" t="s">
        <v>41</v>
      </c>
      <c r="O75" t="s">
        <v>36</v>
      </c>
    </row>
    <row r="78" spans="14:15" x14ac:dyDescent="0.35">
      <c r="N78" t="s">
        <v>43</v>
      </c>
      <c r="O78" t="s">
        <v>29</v>
      </c>
    </row>
    <row r="79" spans="14:15" x14ac:dyDescent="0.35">
      <c r="N79" t="s">
        <v>45</v>
      </c>
      <c r="O79" t="s">
        <v>25</v>
      </c>
    </row>
    <row r="80" spans="14:15" x14ac:dyDescent="0.35">
      <c r="N80" t="s">
        <v>28</v>
      </c>
      <c r="O80" t="s">
        <v>50</v>
      </c>
    </row>
    <row r="81" spans="14:15" x14ac:dyDescent="0.35">
      <c r="N81" t="s">
        <v>30</v>
      </c>
      <c r="O81" t="s">
        <v>41</v>
      </c>
    </row>
    <row r="82" spans="14:15" x14ac:dyDescent="0.35">
      <c r="N82" t="s">
        <v>38</v>
      </c>
      <c r="O82" t="s">
        <v>49</v>
      </c>
    </row>
    <row r="83" spans="14:15" x14ac:dyDescent="0.35">
      <c r="N83" t="s">
        <v>40</v>
      </c>
      <c r="O83" t="s">
        <v>34</v>
      </c>
    </row>
    <row r="84" spans="14:15" x14ac:dyDescent="0.35">
      <c r="N84" t="s">
        <v>35</v>
      </c>
      <c r="O84" t="s">
        <v>32</v>
      </c>
    </row>
    <row r="85" spans="14:15" x14ac:dyDescent="0.35">
      <c r="N85" t="s">
        <v>36</v>
      </c>
      <c r="O85" t="s">
        <v>42</v>
      </c>
    </row>
    <row r="86" spans="14:15" x14ac:dyDescent="0.35">
      <c r="N86" t="s">
        <v>51</v>
      </c>
      <c r="O86" t="s">
        <v>39</v>
      </c>
    </row>
    <row r="87" spans="14:15" x14ac:dyDescent="0.35">
      <c r="N87" t="s">
        <v>52</v>
      </c>
      <c r="O87" t="s">
        <v>46</v>
      </c>
    </row>
    <row r="90" spans="14:15" x14ac:dyDescent="0.35">
      <c r="N90" t="s">
        <v>46</v>
      </c>
      <c r="O90" t="s">
        <v>36</v>
      </c>
    </row>
    <row r="91" spans="14:15" x14ac:dyDescent="0.35">
      <c r="N91" t="s">
        <v>41</v>
      </c>
      <c r="O91" t="s">
        <v>45</v>
      </c>
    </row>
    <row r="92" spans="14:15" x14ac:dyDescent="0.35">
      <c r="N92" t="s">
        <v>29</v>
      </c>
      <c r="O92" t="s">
        <v>38</v>
      </c>
    </row>
    <row r="93" spans="14:15" x14ac:dyDescent="0.35">
      <c r="N93" t="s">
        <v>32</v>
      </c>
      <c r="O93" t="s">
        <v>30</v>
      </c>
    </row>
    <row r="94" spans="14:15" x14ac:dyDescent="0.35">
      <c r="N94" t="s">
        <v>42</v>
      </c>
      <c r="O94" t="s">
        <v>43</v>
      </c>
    </row>
    <row r="95" spans="14:15" x14ac:dyDescent="0.35">
      <c r="N95" t="s">
        <v>34</v>
      </c>
      <c r="O95" t="s">
        <v>35</v>
      </c>
    </row>
    <row r="96" spans="14:15" x14ac:dyDescent="0.35">
      <c r="N96" t="s">
        <v>49</v>
      </c>
      <c r="O96" t="s">
        <v>51</v>
      </c>
    </row>
    <row r="97" spans="14:15" x14ac:dyDescent="0.35">
      <c r="N97" t="s">
        <v>50</v>
      </c>
      <c r="O97" t="s">
        <v>40</v>
      </c>
    </row>
    <row r="98" spans="14:15" x14ac:dyDescent="0.35">
      <c r="N98" t="s">
        <v>39</v>
      </c>
      <c r="O98" t="s">
        <v>52</v>
      </c>
    </row>
    <row r="99" spans="14:15" x14ac:dyDescent="0.35">
      <c r="N99" t="s">
        <v>25</v>
      </c>
      <c r="O99" t="s">
        <v>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B897-3AEA-40D9-8077-7EC12EAC0FEF}">
  <dimension ref="B2:L328"/>
  <sheetViews>
    <sheetView topLeftCell="A2" zoomScale="63" zoomScaleNormal="98" workbookViewId="0">
      <selection activeCell="F8" sqref="F8"/>
    </sheetView>
    <sheetView topLeftCell="A35" workbookViewId="1"/>
  </sheetViews>
  <sheetFormatPr defaultRowHeight="14.5" x14ac:dyDescent="0.35"/>
  <cols>
    <col min="4" max="5" width="18.54296875" customWidth="1"/>
    <col min="6" max="6" width="8.6328125" customWidth="1"/>
    <col min="7" max="7" width="7.08984375" customWidth="1"/>
  </cols>
  <sheetData>
    <row r="2" spans="2:12" ht="15" thickBot="1" x14ac:dyDescent="0.4"/>
    <row r="3" spans="2:12" x14ac:dyDescent="0.35">
      <c r="B3" s="5"/>
      <c r="C3" s="6"/>
      <c r="D3" s="6"/>
      <c r="E3" s="6"/>
      <c r="F3" s="6"/>
      <c r="G3" s="6"/>
      <c r="H3" s="6"/>
      <c r="I3" s="6"/>
      <c r="J3" s="6"/>
      <c r="K3" s="6"/>
      <c r="L3" s="7"/>
    </row>
    <row r="4" spans="2:12" x14ac:dyDescent="0.35">
      <c r="B4" s="8"/>
      <c r="C4" s="9" t="s">
        <v>85</v>
      </c>
      <c r="D4" s="9"/>
      <c r="E4" s="9"/>
      <c r="F4" s="9"/>
      <c r="G4" s="9"/>
      <c r="H4" s="9"/>
      <c r="I4" s="9"/>
      <c r="J4" s="9"/>
      <c r="K4" s="9"/>
      <c r="L4" s="10"/>
    </row>
    <row r="5" spans="2:12" x14ac:dyDescent="0.35">
      <c r="B5" s="8"/>
      <c r="C5" s="9"/>
      <c r="D5" s="9"/>
      <c r="E5" s="9"/>
      <c r="F5" s="9"/>
      <c r="G5" s="9"/>
      <c r="H5" s="9"/>
      <c r="I5" s="9"/>
      <c r="J5" s="9"/>
      <c r="K5" s="9"/>
      <c r="L5" s="10"/>
    </row>
    <row r="6" spans="2:12" x14ac:dyDescent="0.35">
      <c r="B6" s="8"/>
      <c r="C6" s="9"/>
      <c r="D6" s="9"/>
      <c r="E6" s="9"/>
      <c r="F6" s="11" t="s">
        <v>84</v>
      </c>
      <c r="G6" s="11"/>
      <c r="H6" s="9"/>
      <c r="I6" s="12" t="s">
        <v>83</v>
      </c>
      <c r="J6" s="12" t="s">
        <v>88</v>
      </c>
      <c r="K6" s="12" t="s">
        <v>82</v>
      </c>
      <c r="L6" s="10"/>
    </row>
    <row r="7" spans="2:12" x14ac:dyDescent="0.35">
      <c r="B7" s="8"/>
      <c r="C7" s="9"/>
      <c r="D7" s="9" t="s">
        <v>81</v>
      </c>
      <c r="E7" s="9" t="s">
        <v>82</v>
      </c>
      <c r="F7" s="9" t="s">
        <v>83</v>
      </c>
      <c r="G7" s="9" t="s">
        <v>82</v>
      </c>
      <c r="H7" s="9"/>
      <c r="I7" s="13">
        <f>SUM(F22:K22, G23:K23,H24:K24,I25:K25,J26:K26,K27)/K30</f>
        <v>0.28141113309153015</v>
      </c>
      <c r="J7" s="13">
        <f>SUM(E22,F23,G24,H25,I26,J27,K28)/K30</f>
        <v>0.32866552069379296</v>
      </c>
      <c r="K7" s="13">
        <f>SUM(E23:E28,F24:F28,G25:G28,H26:H28,I27:I28,J28)/K30</f>
        <v>0.38992334621467717</v>
      </c>
      <c r="L7" s="10"/>
    </row>
    <row r="8" spans="2:12" x14ac:dyDescent="0.35">
      <c r="B8" s="8"/>
      <c r="C8" s="9"/>
      <c r="D8" s="9" t="str">
        <f>Games!D6</f>
        <v>Leicester City</v>
      </c>
      <c r="E8" s="9" t="str">
        <f>Games!E6</f>
        <v>Manchester United</v>
      </c>
      <c r="F8" s="9">
        <f>(VLOOKUP($D8,Calculator!$F$11:$V$30,10,FALSE) *VLOOKUP($E8,Calculator!$F$11:$V$30,13,FALSE))*Games!$C$3 + (VLOOKUP($D8,Calculator!$F$11:$V$30,14,FALSE) *VLOOKUP($E8,Calculator!$F$11:$V$30,17,FALSE)) *Games!$C$4</f>
        <v>0.79128929008629267</v>
      </c>
      <c r="G8" s="9">
        <f>(VLOOKUP($E8,Calculator!$F$11:$V$30,12,FALSE) *VLOOKUP($D8,Calculator!$F$11:$V$30,11,FALSE))*Games!$C$3 + (VLOOKUP($E8,Calculator!$F$11:$V$30,16,FALSE) *VLOOKUP($D8,Calculator!$F$11:$V$30,15,FALSE)) *Games!$C$4</f>
        <v>0.98945559026094554</v>
      </c>
      <c r="H8" s="9"/>
      <c r="I8" s="14"/>
      <c r="J8" s="14"/>
      <c r="K8" s="14"/>
      <c r="L8" s="10"/>
    </row>
    <row r="9" spans="2:12" x14ac:dyDescent="0.35">
      <c r="B9" s="8"/>
      <c r="C9" s="9"/>
      <c r="D9" s="9"/>
      <c r="E9" s="9"/>
      <c r="F9" s="9"/>
      <c r="G9" s="9"/>
      <c r="H9" s="9"/>
      <c r="I9" s="9"/>
      <c r="J9" s="9"/>
      <c r="K9" s="9"/>
      <c r="L9" s="10"/>
    </row>
    <row r="10" spans="2:12" x14ac:dyDescent="0.35">
      <c r="B10" s="8"/>
      <c r="C10" s="9"/>
      <c r="D10" s="9"/>
      <c r="E10" s="9"/>
      <c r="F10" s="9"/>
      <c r="G10" s="9"/>
      <c r="H10" s="9"/>
      <c r="I10" s="9"/>
      <c r="J10" s="9"/>
      <c r="K10" s="9"/>
      <c r="L10" s="10"/>
    </row>
    <row r="11" spans="2:12" x14ac:dyDescent="0.35">
      <c r="B11" s="8"/>
      <c r="C11" s="9"/>
      <c r="D11" s="9"/>
      <c r="E11" s="9"/>
      <c r="F11" s="9"/>
      <c r="G11" s="9"/>
      <c r="H11" s="9"/>
      <c r="I11" s="9"/>
      <c r="J11" s="9"/>
      <c r="K11" s="9"/>
      <c r="L11" s="10"/>
    </row>
    <row r="12" spans="2:12" x14ac:dyDescent="0.35">
      <c r="B12" s="8"/>
      <c r="C12" s="9"/>
      <c r="D12" s="9"/>
      <c r="E12" s="9">
        <v>0</v>
      </c>
      <c r="F12" s="9">
        <v>1</v>
      </c>
      <c r="G12" s="9">
        <v>2</v>
      </c>
      <c r="H12" s="9">
        <v>3</v>
      </c>
      <c r="I12" s="9">
        <v>4</v>
      </c>
      <c r="J12" s="9">
        <v>5</v>
      </c>
      <c r="K12" s="9">
        <v>6</v>
      </c>
      <c r="L12" s="10"/>
    </row>
    <row r="13" spans="2:12" x14ac:dyDescent="0.35">
      <c r="B13" s="8"/>
      <c r="C13" s="9"/>
      <c r="D13" s="9" t="s">
        <v>83</v>
      </c>
      <c r="E13" s="15">
        <f>_xlfn.POISSON.DIST(E12,$F8, FALSE)</f>
        <v>0.45326003473107601</v>
      </c>
      <c r="F13" s="15">
        <f t="shared" ref="F13" si="0">_xlfn.POISSON.DIST(F12,$F8, FALSE)</f>
        <v>0.35865981110684153</v>
      </c>
      <c r="G13" s="15">
        <f t="shared" ref="G13" si="1">_xlfn.POISSON.DIST(G12,$F8, FALSE)</f>
        <v>0.14190183365660822</v>
      </c>
      <c r="H13" s="15">
        <f t="shared" ref="H13" si="2">_xlfn.POISSON.DIST(H12,$F8, FALSE)</f>
        <v>3.7428467072026898E-2</v>
      </c>
      <c r="I13" s="15">
        <f t="shared" ref="I13" si="3">_xlfn.POISSON.DIST(I12,$F8, FALSE)</f>
        <v>7.4041862846105869E-3</v>
      </c>
      <c r="J13" s="15">
        <f t="shared" ref="J13" si="4">_xlfn.POISSON.DIST(J12,$F8, FALSE)</f>
        <v>1.1717706617632355E-3</v>
      </c>
      <c r="K13" s="15">
        <f t="shared" ref="K13" si="5">_xlfn.POISSON.DIST(K12,$F8, FALSE)</f>
        <v>1.5453492918176263E-4</v>
      </c>
      <c r="L13" s="10"/>
    </row>
    <row r="14" spans="2:12" x14ac:dyDescent="0.35">
      <c r="B14" s="8"/>
      <c r="C14" s="9"/>
      <c r="D14" s="9" t="s">
        <v>82</v>
      </c>
      <c r="E14" s="15">
        <f>_xlfn.POISSON.DIST(E12,$G8, FALSE)</f>
        <v>0.3717790360657523</v>
      </c>
      <c r="F14" s="15">
        <f t="shared" ref="F14:I14" si="6">_xlfn.POISSON.DIST(F12,$G8, FALSE)</f>
        <v>0.36785884557708431</v>
      </c>
      <c r="G14" s="15">
        <f t="shared" si="6"/>
        <v>0.18198999559159199</v>
      </c>
      <c r="H14" s="15">
        <f t="shared" si="6"/>
        <v>6.0023672836555179E-2</v>
      </c>
      <c r="I14" s="15">
        <f t="shared" si="6"/>
        <v>1.4847689659030895E-2</v>
      </c>
      <c r="J14" s="15">
        <f>_xlfn.POISSON.DIST(J12,$G8, FALSE)</f>
        <v>2.9382259071175508E-3</v>
      </c>
      <c r="K14" s="15">
        <f t="shared" ref="K14" si="7">_xlfn.POISSON.DIST(K12,$G8, FALSE)</f>
        <v>4.8454067487449959E-4</v>
      </c>
      <c r="L14" s="10"/>
    </row>
    <row r="15" spans="2:12" x14ac:dyDescent="0.35">
      <c r="B15" s="8"/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x14ac:dyDescent="0.35">
      <c r="B16" s="8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2:12" x14ac:dyDescent="0.35">
      <c r="B17" s="8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2:12" x14ac:dyDescent="0.35">
      <c r="B18" s="8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x14ac:dyDescent="0.35">
      <c r="B19" s="8"/>
      <c r="C19" s="9"/>
      <c r="D19" s="9" t="s">
        <v>86</v>
      </c>
      <c r="E19" s="9"/>
      <c r="F19" s="9"/>
      <c r="G19" s="9"/>
      <c r="H19" s="9"/>
      <c r="I19" s="9"/>
      <c r="J19" s="9"/>
      <c r="K19" s="9"/>
      <c r="L19" s="10"/>
    </row>
    <row r="20" spans="2:12" x14ac:dyDescent="0.35">
      <c r="B20" s="8"/>
      <c r="C20" s="9"/>
      <c r="D20" s="9"/>
      <c r="E20" s="9" t="s">
        <v>83</v>
      </c>
      <c r="F20" s="9"/>
      <c r="G20" s="9"/>
      <c r="H20" s="9"/>
      <c r="I20" s="9"/>
      <c r="J20" s="9"/>
      <c r="K20" s="9"/>
      <c r="L20" s="10"/>
    </row>
    <row r="21" spans="2:12" x14ac:dyDescent="0.35">
      <c r="B21" s="8"/>
      <c r="C21" s="9"/>
      <c r="D21" s="9" t="s">
        <v>82</v>
      </c>
      <c r="E21" s="9">
        <v>0</v>
      </c>
      <c r="F21" s="9">
        <v>1</v>
      </c>
      <c r="G21" s="9">
        <v>2</v>
      </c>
      <c r="H21" s="9">
        <v>3</v>
      </c>
      <c r="I21" s="9">
        <v>4</v>
      </c>
      <c r="J21" s="9">
        <v>5</v>
      </c>
      <c r="K21" s="9">
        <v>6</v>
      </c>
      <c r="L21" s="10"/>
    </row>
    <row r="22" spans="2:12" x14ac:dyDescent="0.35">
      <c r="B22" s="8"/>
      <c r="C22" s="9"/>
      <c r="D22" s="9">
        <v>0</v>
      </c>
      <c r="E22" s="16">
        <f>E13*E14</f>
        <v>0.16851257879944884</v>
      </c>
      <c r="F22" s="16">
        <f>F13*E14</f>
        <v>0.13334219884882634</v>
      </c>
      <c r="G22" s="16">
        <f>G13*E14</f>
        <v>5.2756126932816533E-2</v>
      </c>
      <c r="H22" s="16">
        <f>H13*E14</f>
        <v>1.3915119409456911E-2</v>
      </c>
      <c r="I22" s="16">
        <f>I13*E14</f>
        <v>2.7527212397437878E-3</v>
      </c>
      <c r="J22" s="16">
        <f>J13*E14</f>
        <v>4.3563976712046435E-4</v>
      </c>
      <c r="K22" s="16">
        <f>K13*E14</f>
        <v>5.7452847009685004E-5</v>
      </c>
      <c r="L22" s="10"/>
    </row>
    <row r="23" spans="2:12" x14ac:dyDescent="0.35">
      <c r="B23" s="8"/>
      <c r="C23" s="9"/>
      <c r="D23" s="9">
        <v>1</v>
      </c>
      <c r="E23" s="16">
        <f>E13*F14</f>
        <v>0.16673571312240276</v>
      </c>
      <c r="F23" s="16">
        <f>F13*F14</f>
        <v>0.13193618406865784</v>
      </c>
      <c r="G23" s="16">
        <f>G13*F14</f>
        <v>5.2199844714191347E-2</v>
      </c>
      <c r="H23" s="16">
        <f>H13*F14</f>
        <v>1.3768392688835727E-2</v>
      </c>
      <c r="I23" s="16">
        <f>I13*F14</f>
        <v>2.7236954190945316E-3</v>
      </c>
      <c r="J23" s="16">
        <f>F14*J13</f>
        <v>4.3104620291731997E-4</v>
      </c>
      <c r="K23" s="16">
        <f>F14*K13</f>
        <v>5.684704065013968E-5</v>
      </c>
      <c r="L23" s="10"/>
    </row>
    <row r="24" spans="2:12" x14ac:dyDescent="0.35">
      <c r="B24" s="8"/>
      <c r="C24" s="9"/>
      <c r="D24" s="9">
        <v>2</v>
      </c>
      <c r="E24" s="16">
        <f>E13*G14</f>
        <v>8.2488791722553356E-2</v>
      </c>
      <c r="F24" s="16">
        <f>G14*F13</f>
        <v>6.5272497442215305E-2</v>
      </c>
      <c r="G24" s="16">
        <f>G13*G14</f>
        <v>2.5824714081604947E-2</v>
      </c>
      <c r="H24" s="16">
        <f>G14*H13</f>
        <v>6.811606557438221E-3</v>
      </c>
      <c r="I24" s="16">
        <f>G14*I13</f>
        <v>1.3474878292956067E-3</v>
      </c>
      <c r="J24" s="16">
        <f>J13*G14</f>
        <v>2.1325053756864805E-4</v>
      </c>
      <c r="K24" s="16">
        <f>K13*G14</f>
        <v>2.812381108053596E-5</v>
      </c>
      <c r="L24" s="10"/>
    </row>
    <row r="25" spans="2:12" x14ac:dyDescent="0.35">
      <c r="B25" s="8"/>
      <c r="C25" s="9"/>
      <c r="D25" s="9">
        <v>3</v>
      </c>
      <c r="E25" s="16">
        <f>E13*H14</f>
        <v>2.7206332034583745E-2</v>
      </c>
      <c r="F25" s="16">
        <f>H14*F13</f>
        <v>2.1528079161497734E-2</v>
      </c>
      <c r="G25" s="16">
        <f>H14*G13</f>
        <v>8.5174692383115265E-3</v>
      </c>
      <c r="H25" s="16">
        <f>H13*H14</f>
        <v>2.2465940623051209E-3</v>
      </c>
      <c r="I25" s="16">
        <f>H14*I13</f>
        <v>4.4442645516837488E-4</v>
      </c>
      <c r="J25" s="16">
        <f>H14*J13</f>
        <v>7.0333978841150203E-5</v>
      </c>
      <c r="K25" s="16">
        <f>H14*K13</f>
        <v>9.2757540310263436E-6</v>
      </c>
      <c r="L25" s="10"/>
    </row>
    <row r="26" spans="2:12" x14ac:dyDescent="0.35">
      <c r="B26" s="8"/>
      <c r="C26" s="9"/>
      <c r="D26" s="9">
        <v>4</v>
      </c>
      <c r="E26" s="16">
        <f>E13*I14</f>
        <v>6.7298643305285814E-3</v>
      </c>
      <c r="F26" s="16">
        <f>F13*I14</f>
        <v>5.3252695684810249E-3</v>
      </c>
      <c r="G26" s="16">
        <f>I14*G13</f>
        <v>2.1069143881807442E-3</v>
      </c>
      <c r="H26" s="16">
        <f>I14*H13</f>
        <v>5.5572626349871209E-4</v>
      </c>
      <c r="I26" s="16">
        <f>I13*I14</f>
        <v>1.0993506013155099E-4</v>
      </c>
      <c r="J26" s="16">
        <f>I14*J13</f>
        <v>1.739808713741778E-5</v>
      </c>
      <c r="K26" s="16">
        <f>I14*K13</f>
        <v>2.2944866699711288E-6</v>
      </c>
      <c r="L26" s="10"/>
    </row>
    <row r="27" spans="2:12" x14ac:dyDescent="0.35">
      <c r="B27" s="8"/>
      <c r="C27" s="9"/>
      <c r="D27" s="9">
        <v>5</v>
      </c>
      <c r="E27" s="16">
        <f>E13*J14</f>
        <v>1.3317803767078484E-3</v>
      </c>
      <c r="F27" s="16">
        <f>J14*F13</f>
        <v>1.0538235488360089E-3</v>
      </c>
      <c r="G27" s="16">
        <f>J14*G13</f>
        <v>4.1693964391733147E-4</v>
      </c>
      <c r="H27" s="16">
        <f>J14*H13</f>
        <v>1.0997329161472561E-4</v>
      </c>
      <c r="I27" s="16">
        <f>J14*I13</f>
        <v>2.1755171962567271E-5</v>
      </c>
      <c r="J27" s="16">
        <f>J13*J14</f>
        <v>3.4429269155930154E-6</v>
      </c>
      <c r="K27" s="16">
        <f>J14*K13</f>
        <v>4.5405853247643099E-7</v>
      </c>
      <c r="L27" s="10"/>
    </row>
    <row r="28" spans="2:12" x14ac:dyDescent="0.35">
      <c r="B28" s="8"/>
      <c r="C28" s="9"/>
      <c r="D28" s="9">
        <v>6</v>
      </c>
      <c r="E28" s="16">
        <f>E13*K14</f>
        <v>2.1962292312223471E-4</v>
      </c>
      <c r="F28" s="16">
        <f>K14*F13</f>
        <v>1.7378526692406955E-4</v>
      </c>
      <c r="G28" s="16">
        <f>K14*G13</f>
        <v>6.8757210245901925E-5</v>
      </c>
      <c r="H28" s="16">
        <f>K14*H13</f>
        <v>1.8135614694597897E-5</v>
      </c>
      <c r="I28" s="16">
        <f>K14*I13</f>
        <v>3.5876294192417274E-6</v>
      </c>
      <c r="J28" s="16">
        <f>K14*J13</f>
        <v>5.6777054724889712E-7</v>
      </c>
      <c r="K28" s="16">
        <f>K14*K13</f>
        <v>7.487845887741427E-8</v>
      </c>
      <c r="L28" s="10"/>
    </row>
    <row r="29" spans="2:12" x14ac:dyDescent="0.35">
      <c r="B29" s="8"/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spans="2:12" x14ac:dyDescent="0.35">
      <c r="B30" s="8"/>
      <c r="C30" s="9"/>
      <c r="D30" s="9"/>
      <c r="E30" s="9"/>
      <c r="F30" s="9"/>
      <c r="G30" s="9"/>
      <c r="H30" s="9"/>
      <c r="I30" s="9"/>
      <c r="J30" s="9" t="s">
        <v>87</v>
      </c>
      <c r="K30" s="16">
        <f>SUM(E22:K28)</f>
        <v>0.99990264626419401</v>
      </c>
      <c r="L30" s="10"/>
    </row>
    <row r="31" spans="2:12" ht="15" thickBot="1" x14ac:dyDescent="0.4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5" spans="2:12" ht="15" thickBot="1" x14ac:dyDescent="0.4"/>
    <row r="36" spans="2:12" x14ac:dyDescent="0.35">
      <c r="B36" s="5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2:12" x14ac:dyDescent="0.35">
      <c r="B37" s="8"/>
      <c r="C37" s="9" t="s">
        <v>89</v>
      </c>
      <c r="D37" s="9"/>
      <c r="E37" s="9"/>
      <c r="F37" s="9"/>
      <c r="G37" s="9"/>
      <c r="H37" s="9"/>
      <c r="I37" s="9"/>
      <c r="J37" s="9"/>
      <c r="K37" s="9"/>
      <c r="L37" s="10"/>
    </row>
    <row r="38" spans="2:12" x14ac:dyDescent="0.35">
      <c r="B38" s="8"/>
      <c r="C38" s="9"/>
      <c r="D38" s="9"/>
      <c r="E38" s="9"/>
      <c r="F38" s="9"/>
      <c r="G38" s="9"/>
      <c r="H38" s="9"/>
      <c r="I38" s="9"/>
      <c r="J38" s="9"/>
      <c r="K38" s="9"/>
      <c r="L38" s="10"/>
    </row>
    <row r="39" spans="2:12" x14ac:dyDescent="0.35">
      <c r="B39" s="8"/>
      <c r="C39" s="9"/>
      <c r="D39" s="9"/>
      <c r="E39" s="9"/>
      <c r="F39" s="11" t="s">
        <v>84</v>
      </c>
      <c r="G39" s="11"/>
      <c r="H39" s="9"/>
      <c r="I39" s="12" t="s">
        <v>83</v>
      </c>
      <c r="J39" s="12" t="s">
        <v>88</v>
      </c>
      <c r="K39" s="12" t="s">
        <v>82</v>
      </c>
      <c r="L39" s="10"/>
    </row>
    <row r="40" spans="2:12" x14ac:dyDescent="0.35">
      <c r="B40" s="8"/>
      <c r="C40" s="9"/>
      <c r="D40" s="9" t="s">
        <v>81</v>
      </c>
      <c r="E40" s="9" t="s">
        <v>82</v>
      </c>
      <c r="F40" s="9" t="s">
        <v>83</v>
      </c>
      <c r="G40" s="9" t="s">
        <v>82</v>
      </c>
      <c r="H40" s="9"/>
      <c r="I40" s="13">
        <f>SUM(F55:K55, G56:K56,H57:K57,I58:K58,J59:K59,K60)/K63</f>
        <v>0.30255918365157619</v>
      </c>
      <c r="J40" s="13">
        <f>SUM(E55,F56,G57,H58,I59,J60,K61)/K63</f>
        <v>0.34329592124905145</v>
      </c>
      <c r="K40" s="13">
        <f>SUM(E56:E61,F57:F61,G58:G61,H59:H61,I60:I61,J61)/K63</f>
        <v>0.35414489509937286</v>
      </c>
      <c r="L40" s="10"/>
    </row>
    <row r="41" spans="2:12" x14ac:dyDescent="0.35">
      <c r="B41" s="8"/>
      <c r="C41" s="9"/>
      <c r="D41" s="9" t="str">
        <f>Games!D7</f>
        <v>Southampton</v>
      </c>
      <c r="E41" s="9" t="str">
        <f>Games!E7</f>
        <v>Sheffield United</v>
      </c>
      <c r="F41" s="9">
        <f>(VLOOKUP($D41,Calculator!$F$11:$V$30,10,FALSE) *VLOOKUP($E41,Calculator!$F$11:$V$30,13,FALSE))*Games!$C$3 + (VLOOKUP($D41,Calculator!$F$11:$V$30,14,FALSE) *VLOOKUP($E41,Calculator!$F$11:$V$30,17,FALSE)) *Games!$C$4</f>
        <v>0.79071419368263718</v>
      </c>
      <c r="G41" s="9">
        <f>(VLOOKUP($E41,Calculator!$F$11:$V$30,12,FALSE) *VLOOKUP($D41,Calculator!$F$11:$V$30,11,FALSE))*Games!$C$3 + (VLOOKUP($E41,Calculator!$F$11:$V$30,16,FALSE) *VLOOKUP($D41,Calculator!$F$11:$V$30,15,FALSE)) *Games!$C$4</f>
        <v>0.88248505593905535</v>
      </c>
      <c r="H41" s="9"/>
      <c r="I41" s="14"/>
      <c r="J41" s="14"/>
      <c r="K41" s="14"/>
      <c r="L41" s="10"/>
    </row>
    <row r="42" spans="2:12" x14ac:dyDescent="0.35">
      <c r="B42" s="8"/>
      <c r="C42" s="9"/>
      <c r="D42" s="9"/>
      <c r="E42" s="9"/>
      <c r="F42" s="9"/>
      <c r="G42" s="9"/>
      <c r="H42" s="9"/>
      <c r="I42" s="9"/>
      <c r="J42" s="9"/>
      <c r="K42" s="9"/>
      <c r="L42" s="10"/>
    </row>
    <row r="43" spans="2:12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10"/>
    </row>
    <row r="44" spans="2:12" x14ac:dyDescent="0.35">
      <c r="B44" s="8"/>
      <c r="C44" s="9"/>
      <c r="D44" s="9"/>
      <c r="E44" s="9"/>
      <c r="F44" s="9"/>
      <c r="G44" s="9"/>
      <c r="H44" s="9"/>
      <c r="I44" s="9"/>
      <c r="J44" s="9"/>
      <c r="K44" s="9"/>
      <c r="L44" s="10"/>
    </row>
    <row r="45" spans="2:12" x14ac:dyDescent="0.35">
      <c r="B45" s="8"/>
      <c r="C45" s="9"/>
      <c r="D45" s="9"/>
      <c r="E45" s="9">
        <v>0</v>
      </c>
      <c r="F45" s="9">
        <v>1</v>
      </c>
      <c r="G45" s="9">
        <v>2</v>
      </c>
      <c r="H45" s="9">
        <v>3</v>
      </c>
      <c r="I45" s="9">
        <v>4</v>
      </c>
      <c r="J45" s="9">
        <v>5</v>
      </c>
      <c r="K45" s="9">
        <v>6</v>
      </c>
      <c r="L45" s="10"/>
    </row>
    <row r="46" spans="2:12" x14ac:dyDescent="0.35">
      <c r="B46" s="8"/>
      <c r="C46" s="9"/>
      <c r="D46" s="9" t="s">
        <v>83</v>
      </c>
      <c r="E46" s="15">
        <f>_xlfn.POISSON.DIST(E45,$F41, FALSE)</f>
        <v>0.45352077791601814</v>
      </c>
      <c r="F46" s="15">
        <f t="shared" ref="F46" si="8">_xlfn.POISSON.DIST(F45,$F41, FALSE)</f>
        <v>0.3586053162281867</v>
      </c>
      <c r="G46" s="15">
        <f t="shared" ref="G46" si="9">_xlfn.POISSON.DIST(G45,$F41, FALSE)</f>
        <v>0.14177715673583885</v>
      </c>
      <c r="H46" s="15">
        <f t="shared" ref="H46" si="10">_xlfn.POISSON.DIST(H45,$F41, FALSE)</f>
        <v>3.73684033903319E-2</v>
      </c>
      <c r="I46" s="15">
        <f t="shared" ref="I46" si="11">_xlfn.POISSON.DIST(I45,$F41, FALSE)</f>
        <v>7.3869317389984529E-3</v>
      </c>
      <c r="J46" s="15">
        <f t="shared" ref="J46" si="12">_xlfn.POISSON.DIST(J45,$F41, FALSE)</f>
        <v>1.168190354758169E-3</v>
      </c>
      <c r="K46" s="15">
        <f t="shared" ref="K46" si="13">_xlfn.POISSON.DIST(K45,$F41, FALSE)</f>
        <v>1.5395078240507316E-4</v>
      </c>
      <c r="L46" s="10"/>
    </row>
    <row r="47" spans="2:12" x14ac:dyDescent="0.35">
      <c r="B47" s="8"/>
      <c r="C47" s="9"/>
      <c r="D47" s="9" t="s">
        <v>82</v>
      </c>
      <c r="E47" s="15">
        <f>_xlfn.POISSON.DIST(E45,$G41, FALSE)</f>
        <v>0.41375343262980013</v>
      </c>
      <c r="F47" s="15">
        <f t="shared" ref="F47:I47" si="14">_xlfn.POISSON.DIST(F45,$G41, FALSE)</f>
        <v>0.36513122113928531</v>
      </c>
      <c r="G47" s="15">
        <f t="shared" si="14"/>
        <v>0.16111142305609891</v>
      </c>
      <c r="H47" s="15">
        <f t="shared" si="14"/>
        <v>4.7392807729360754E-2</v>
      </c>
      <c r="I47" s="15">
        <f t="shared" si="14"/>
        <v>1.0455861145038452E-2</v>
      </c>
      <c r="J47" s="15">
        <f>_xlfn.POISSON.DIST(J45,$G41, FALSE)</f>
        <v>1.8454282414940516E-3</v>
      </c>
      <c r="K47" s="15">
        <f t="shared" ref="K47" si="15">_xlfn.POISSON.DIST(K45,$G41, FALSE)</f>
        <v>2.7142714082106496E-4</v>
      </c>
      <c r="L47" s="10"/>
    </row>
    <row r="48" spans="2:12" x14ac:dyDescent="0.35">
      <c r="B48" s="8"/>
      <c r="C48" s="9"/>
      <c r="D48" s="9"/>
      <c r="E48" s="9"/>
      <c r="F48" s="9"/>
      <c r="G48" s="9"/>
      <c r="H48" s="9"/>
      <c r="I48" s="9"/>
      <c r="J48" s="9"/>
      <c r="K48" s="9"/>
      <c r="L48" s="10"/>
    </row>
    <row r="49" spans="2:12" x14ac:dyDescent="0.35">
      <c r="B49" s="8"/>
      <c r="C49" s="9"/>
      <c r="D49" s="9"/>
      <c r="E49" s="9"/>
      <c r="F49" s="9"/>
      <c r="G49" s="9"/>
      <c r="H49" s="9"/>
      <c r="I49" s="9"/>
      <c r="J49" s="9"/>
      <c r="K49" s="9"/>
      <c r="L49" s="10"/>
    </row>
    <row r="50" spans="2:12" x14ac:dyDescent="0.35">
      <c r="B50" s="8"/>
      <c r="C50" s="9"/>
      <c r="D50" s="9"/>
      <c r="E50" s="9"/>
      <c r="F50" s="9"/>
      <c r="G50" s="9"/>
      <c r="H50" s="9"/>
      <c r="I50" s="9"/>
      <c r="J50" s="9"/>
      <c r="K50" s="9"/>
      <c r="L50" s="10"/>
    </row>
    <row r="51" spans="2:12" x14ac:dyDescent="0.35">
      <c r="B51" s="8"/>
      <c r="C51" s="9"/>
      <c r="D51" s="9"/>
      <c r="E51" s="9"/>
      <c r="F51" s="9"/>
      <c r="G51" s="9"/>
      <c r="H51" s="9"/>
      <c r="I51" s="9"/>
      <c r="J51" s="9"/>
      <c r="K51" s="9"/>
      <c r="L51" s="10"/>
    </row>
    <row r="52" spans="2:12" x14ac:dyDescent="0.35">
      <c r="B52" s="8"/>
      <c r="C52" s="9"/>
      <c r="D52" s="9" t="s">
        <v>86</v>
      </c>
      <c r="E52" s="9"/>
      <c r="F52" s="9"/>
      <c r="G52" s="9"/>
      <c r="H52" s="9"/>
      <c r="I52" s="9"/>
      <c r="J52" s="9"/>
      <c r="K52" s="9"/>
      <c r="L52" s="10"/>
    </row>
    <row r="53" spans="2:12" x14ac:dyDescent="0.35">
      <c r="B53" s="8"/>
      <c r="C53" s="9"/>
      <c r="D53" s="9"/>
      <c r="E53" s="9" t="s">
        <v>83</v>
      </c>
      <c r="F53" s="9"/>
      <c r="G53" s="9"/>
      <c r="H53" s="9"/>
      <c r="I53" s="9"/>
      <c r="J53" s="9"/>
      <c r="K53" s="9"/>
      <c r="L53" s="10"/>
    </row>
    <row r="54" spans="2:12" x14ac:dyDescent="0.35">
      <c r="B54" s="8"/>
      <c r="C54" s="9"/>
      <c r="D54" s="9" t="s">
        <v>82</v>
      </c>
      <c r="E54" s="9">
        <v>0</v>
      </c>
      <c r="F54" s="9">
        <v>1</v>
      </c>
      <c r="G54" s="9">
        <v>2</v>
      </c>
      <c r="H54" s="9">
        <v>3</v>
      </c>
      <c r="I54" s="9">
        <v>4</v>
      </c>
      <c r="J54" s="9">
        <v>5</v>
      </c>
      <c r="K54" s="9">
        <v>6</v>
      </c>
      <c r="L54" s="10"/>
    </row>
    <row r="55" spans="2:12" x14ac:dyDescent="0.35">
      <c r="B55" s="8"/>
      <c r="C55" s="9"/>
      <c r="D55" s="9">
        <v>0</v>
      </c>
      <c r="E55" s="16">
        <f>E46*E47</f>
        <v>0.18764577863168977</v>
      </c>
      <c r="F55" s="16">
        <f>F46*E47</f>
        <v>0.14837418054870721</v>
      </c>
      <c r="G55" s="16">
        <f>G46*E47</f>
        <v>5.8660785267946512E-2</v>
      </c>
      <c r="H55" s="16">
        <f>H46*E47</f>
        <v>1.5461305174644885E-2</v>
      </c>
      <c r="I55" s="16">
        <f>I46*E47</f>
        <v>3.0563683636126286E-3</v>
      </c>
      <c r="J55" s="16">
        <f>J46*E47</f>
        <v>4.8334276924621636E-4</v>
      </c>
      <c r="K55" s="16">
        <f>K46*E47</f>
        <v>6.3697664676142451E-5</v>
      </c>
      <c r="L55" s="10"/>
    </row>
    <row r="56" spans="2:12" x14ac:dyDescent="0.35">
      <c r="B56" s="8"/>
      <c r="C56" s="9"/>
      <c r="D56" s="9">
        <v>1</v>
      </c>
      <c r="E56" s="16">
        <f>E46*F47</f>
        <v>0.16559459545251431</v>
      </c>
      <c r="F56" s="16">
        <f>F46*F47</f>
        <v>0.13093799702143738</v>
      </c>
      <c r="G56" s="16">
        <f>G46*F47</f>
        <v>5.1767266368612688E-2</v>
      </c>
      <c r="H56" s="16">
        <f>H46*F47</f>
        <v>1.3644370761937296E-2</v>
      </c>
      <c r="I56" s="16">
        <f>I46*F47</f>
        <v>2.6971994063330496E-3</v>
      </c>
      <c r="J56" s="16">
        <f>F47*J46</f>
        <v>4.2654277075598516E-4</v>
      </c>
      <c r="K56" s="16">
        <f>F47*K46</f>
        <v>5.6212237174912763E-5</v>
      </c>
      <c r="L56" s="10"/>
    </row>
    <row r="57" spans="2:12" x14ac:dyDescent="0.35">
      <c r="B57" s="8"/>
      <c r="C57" s="9"/>
      <c r="D57" s="9">
        <v>2</v>
      </c>
      <c r="E57" s="16">
        <f>E46*G47</f>
        <v>7.3067377915558673E-2</v>
      </c>
      <c r="F57" s="16">
        <f>G47*F46</f>
        <v>5.7775412813005515E-2</v>
      </c>
      <c r="G57" s="16">
        <f>G46*G47</f>
        <v>2.2841919478558577E-2</v>
      </c>
      <c r="H57" s="16">
        <f>G47*H46</f>
        <v>6.0204766475507234E-3</v>
      </c>
      <c r="I57" s="16">
        <f>G47*I46</f>
        <v>1.1901190844883041E-3</v>
      </c>
      <c r="J57" s="16">
        <f>J46*G47</f>
        <v>1.8820881045549762E-4</v>
      </c>
      <c r="K57" s="16">
        <f>K46*G47</f>
        <v>2.4803229633881171E-5</v>
      </c>
      <c r="L57" s="10"/>
    </row>
    <row r="58" spans="2:12" x14ac:dyDescent="0.35">
      <c r="B58" s="8"/>
      <c r="C58" s="9"/>
      <c r="D58" s="9">
        <v>3</v>
      </c>
      <c r="E58" s="16">
        <f>E46*H47</f>
        <v>2.1493623029043965E-2</v>
      </c>
      <c r="F58" s="16">
        <f>H47*F46</f>
        <v>1.6995312802729066E-2</v>
      </c>
      <c r="G58" s="16">
        <f>H47*G46</f>
        <v>6.719217529597055E-3</v>
      </c>
      <c r="H58" s="16">
        <f>H46*H47</f>
        <v>1.7709935570311922E-3</v>
      </c>
      <c r="I58" s="16">
        <f>H47*I46</f>
        <v>3.5008743561626616E-4</v>
      </c>
      <c r="J58" s="16">
        <f>H47*J46</f>
        <v>5.5363820874347634E-5</v>
      </c>
      <c r="K58" s="16">
        <f>H47*K46</f>
        <v>7.2961598303082868E-6</v>
      </c>
      <c r="L58" s="10"/>
    </row>
    <row r="59" spans="2:12" x14ac:dyDescent="0.35">
      <c r="B59" s="8"/>
      <c r="C59" s="9"/>
      <c r="D59" s="9">
        <v>4</v>
      </c>
      <c r="E59" s="16">
        <f>E46*I47</f>
        <v>4.7419502802797065E-3</v>
      </c>
      <c r="F59" s="16">
        <f>F46*I47</f>
        <v>3.7495273923545242E-3</v>
      </c>
      <c r="G59" s="16">
        <f>I47*G46</f>
        <v>1.4824022643682841E-3</v>
      </c>
      <c r="H59" s="16">
        <f>I47*H46</f>
        <v>3.9071883706109445E-4</v>
      </c>
      <c r="I59" s="16">
        <f>I46*I47</f>
        <v>7.7236732550845251E-5</v>
      </c>
      <c r="J59" s="16">
        <f>I47*J46</f>
        <v>1.2214436140324624E-5</v>
      </c>
      <c r="K59" s="16">
        <f>I47*K46</f>
        <v>1.6096880039974739E-6</v>
      </c>
      <c r="L59" s="10"/>
    </row>
    <row r="60" spans="2:12" x14ac:dyDescent="0.35">
      <c r="B60" s="8"/>
      <c r="C60" s="9"/>
      <c r="D60" s="9">
        <v>5</v>
      </c>
      <c r="E60" s="16">
        <f>E46*J47</f>
        <v>8.3694005167057168E-4</v>
      </c>
      <c r="F60" s="16">
        <f>J47*F46</f>
        <v>6.6178037811740083E-4</v>
      </c>
      <c r="G60" s="16">
        <f>J47*G46</f>
        <v>2.6163956903904563E-4</v>
      </c>
      <c r="H60" s="16">
        <f>J47*H46</f>
        <v>6.896070695606055E-5</v>
      </c>
      <c r="I60" s="16">
        <f>J47*I46</f>
        <v>1.3632052449136511E-5</v>
      </c>
      <c r="J60" s="16">
        <f>J46*J47</f>
        <v>2.1558114721116799E-6</v>
      </c>
      <c r="K60" s="16">
        <f>J47*K46</f>
        <v>2.8410512165042755E-7</v>
      </c>
      <c r="L60" s="10"/>
    </row>
    <row r="61" spans="2:12" x14ac:dyDescent="0.35">
      <c r="B61" s="8"/>
      <c r="C61" s="9"/>
      <c r="D61" s="9">
        <v>6</v>
      </c>
      <c r="E61" s="16">
        <f>E46*K47</f>
        <v>1.2309784805268999E-4</v>
      </c>
      <c r="F61" s="16">
        <f>K47*F46</f>
        <v>9.7335215667050559E-5</v>
      </c>
      <c r="G61" s="16">
        <f>K47*G46</f>
        <v>3.8482168286548733E-5</v>
      </c>
      <c r="H61" s="16">
        <f>K47*H46</f>
        <v>1.0142798889285978E-5</v>
      </c>
      <c r="I61" s="16">
        <f>K47*I46</f>
        <v>2.0050137613567272E-6</v>
      </c>
      <c r="J61" s="16">
        <f>K47*J46</f>
        <v>3.1707856792675534E-7</v>
      </c>
      <c r="K61" s="16">
        <f>K47*K46</f>
        <v>4.1786420695374923E-8</v>
      </c>
      <c r="L61" s="10"/>
    </row>
    <row r="62" spans="2:12" x14ac:dyDescent="0.35">
      <c r="B62" s="8"/>
      <c r="C62" s="9"/>
      <c r="D62" s="9"/>
      <c r="E62" s="9"/>
      <c r="F62" s="9"/>
      <c r="G62" s="9"/>
      <c r="H62" s="9"/>
      <c r="I62" s="9"/>
      <c r="J62" s="9"/>
      <c r="K62" s="9"/>
      <c r="L62" s="10"/>
    </row>
    <row r="63" spans="2:12" x14ac:dyDescent="0.35">
      <c r="B63" s="8"/>
      <c r="C63" s="9"/>
      <c r="D63" s="9"/>
      <c r="E63" s="9"/>
      <c r="F63" s="9"/>
      <c r="G63" s="9"/>
      <c r="H63" s="9"/>
      <c r="I63" s="9"/>
      <c r="J63" s="9" t="s">
        <v>87</v>
      </c>
      <c r="K63" s="16">
        <f>SUM(E55:K61)</f>
        <v>0.99994232896849211</v>
      </c>
      <c r="L63" s="10"/>
    </row>
    <row r="64" spans="2:12" ht="15" thickBot="1" x14ac:dyDescent="0.4"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9"/>
    </row>
    <row r="68" spans="2:12" ht="15" thickBot="1" x14ac:dyDescent="0.4"/>
    <row r="69" spans="2:12" x14ac:dyDescent="0.35">
      <c r="B69" s="5"/>
      <c r="C69" s="6"/>
      <c r="D69" s="6"/>
      <c r="E69" s="6"/>
      <c r="F69" s="6"/>
      <c r="G69" s="6"/>
      <c r="H69" s="6"/>
      <c r="I69" s="6"/>
      <c r="J69" s="6"/>
      <c r="K69" s="6"/>
      <c r="L69" s="7"/>
    </row>
    <row r="70" spans="2:12" x14ac:dyDescent="0.35">
      <c r="B70" s="8"/>
      <c r="C70" s="9" t="s">
        <v>90</v>
      </c>
      <c r="D70" s="9"/>
      <c r="E70" s="9"/>
      <c r="F70" s="9"/>
      <c r="G70" s="9"/>
      <c r="H70" s="9"/>
      <c r="I70" s="9"/>
      <c r="J70" s="9"/>
      <c r="K70" s="9"/>
      <c r="L70" s="10"/>
    </row>
    <row r="71" spans="2:12" x14ac:dyDescent="0.35">
      <c r="B71" s="8"/>
      <c r="C71" s="9"/>
      <c r="D71" s="9"/>
      <c r="E71" s="9"/>
      <c r="F71" s="9"/>
      <c r="G71" s="9"/>
      <c r="H71" s="9"/>
      <c r="I71" s="9"/>
      <c r="J71" s="9"/>
      <c r="K71" s="9"/>
      <c r="L71" s="10"/>
    </row>
    <row r="72" spans="2:12" x14ac:dyDescent="0.35">
      <c r="B72" s="8"/>
      <c r="C72" s="9"/>
      <c r="D72" s="9"/>
      <c r="E72" s="9"/>
      <c r="F72" s="11" t="s">
        <v>84</v>
      </c>
      <c r="G72" s="11"/>
      <c r="H72" s="9"/>
      <c r="I72" s="12" t="s">
        <v>83</v>
      </c>
      <c r="J72" s="12" t="s">
        <v>88</v>
      </c>
      <c r="K72" s="12" t="s">
        <v>82</v>
      </c>
      <c r="L72" s="10"/>
    </row>
    <row r="73" spans="2:12" x14ac:dyDescent="0.35">
      <c r="B73" s="8"/>
      <c r="C73" s="9"/>
      <c r="D73" s="9" t="s">
        <v>81</v>
      </c>
      <c r="E73" s="9" t="s">
        <v>82</v>
      </c>
      <c r="F73" s="9" t="s">
        <v>83</v>
      </c>
      <c r="G73" s="9" t="s">
        <v>82</v>
      </c>
      <c r="H73" s="9"/>
      <c r="I73" s="13">
        <f>SUM(F88:K88, G89:K89,H90:K90,I91:K91,J92:K92,K93)/K96</f>
        <v>0.37262373025043111</v>
      </c>
      <c r="J73" s="13">
        <f>SUM(E88,F89,G90,H91,I92,J93,K94)/K96</f>
        <v>0.31707442452133922</v>
      </c>
      <c r="K73" s="13">
        <f>SUM(E89:E94,F90:F94,G91:G94,H92:H94,I93:I94,J94)/K96</f>
        <v>0.31030184522822979</v>
      </c>
      <c r="L73" s="10"/>
    </row>
    <row r="74" spans="2:12" x14ac:dyDescent="0.35">
      <c r="B74" s="8"/>
      <c r="C74" s="9"/>
      <c r="D74" s="9" t="str">
        <f>Games!D8</f>
        <v>Burnley</v>
      </c>
      <c r="E74" s="9" t="str">
        <f>Games!E8</f>
        <v>Brighton and Hove Albion</v>
      </c>
      <c r="F74" s="9">
        <f>(VLOOKUP($D74,Calculator!$F$11:$V$30,10,FALSE) *VLOOKUP($E74,Calculator!$F$11:$V$30,13,FALSE))*Games!$C$3 + (VLOOKUP($D74,Calculator!$F$11:$V$30,14,FALSE) *VLOOKUP($E74,Calculator!$F$11:$V$30,17,FALSE)) *Games!$C$4</f>
        <v>1.0105354118881817</v>
      </c>
      <c r="G74" s="9">
        <f>(VLOOKUP($E74,Calculator!$F$11:$V$30,12,FALSE) *VLOOKUP($D74,Calculator!$F$11:$V$30,11,FALSE))*Games!$C$3 + (VLOOKUP($E74,Calculator!$F$11:$V$30,16,FALSE) *VLOOKUP($D74,Calculator!$F$11:$V$30,15,FALSE)) *Games!$C$4</f>
        <v>0.89375465339342064</v>
      </c>
      <c r="H74" s="9"/>
      <c r="I74" s="14"/>
      <c r="J74" s="14"/>
      <c r="K74" s="14"/>
      <c r="L74" s="10"/>
    </row>
    <row r="75" spans="2:12" x14ac:dyDescent="0.35">
      <c r="B75" s="8"/>
      <c r="C75" s="9"/>
      <c r="D75" s="9"/>
      <c r="E75" s="9"/>
      <c r="F75" s="9"/>
      <c r="G75" s="9"/>
      <c r="H75" s="9"/>
      <c r="I75" s="9"/>
      <c r="J75" s="9"/>
      <c r="K75" s="9"/>
      <c r="L75" s="10"/>
    </row>
    <row r="76" spans="2:12" x14ac:dyDescent="0.35">
      <c r="B76" s="8"/>
      <c r="C76" s="9"/>
      <c r="D76" s="9"/>
      <c r="E76" s="9"/>
      <c r="F76" s="9"/>
      <c r="G76" s="9"/>
      <c r="H76" s="9"/>
      <c r="I76" s="9"/>
      <c r="J76" s="9"/>
      <c r="K76" s="9"/>
      <c r="L76" s="10"/>
    </row>
    <row r="77" spans="2:12" x14ac:dyDescent="0.35">
      <c r="B77" s="8"/>
      <c r="C77" s="9"/>
      <c r="D77" s="9"/>
      <c r="E77" s="9"/>
      <c r="F77" s="9"/>
      <c r="G77" s="9"/>
      <c r="H77" s="9"/>
      <c r="I77" s="9"/>
      <c r="J77" s="9"/>
      <c r="K77" s="9"/>
      <c r="L77" s="10"/>
    </row>
    <row r="78" spans="2:12" x14ac:dyDescent="0.35">
      <c r="B78" s="8"/>
      <c r="C78" s="9"/>
      <c r="D78" s="9"/>
      <c r="E78" s="9">
        <v>0</v>
      </c>
      <c r="F78" s="9">
        <v>1</v>
      </c>
      <c r="G78" s="9">
        <v>2</v>
      </c>
      <c r="H78" s="9">
        <v>3</v>
      </c>
      <c r="I78" s="9">
        <v>4</v>
      </c>
      <c r="J78" s="9">
        <v>5</v>
      </c>
      <c r="K78" s="9">
        <v>6</v>
      </c>
      <c r="L78" s="10"/>
    </row>
    <row r="79" spans="2:12" x14ac:dyDescent="0.35">
      <c r="B79" s="8"/>
      <c r="C79" s="9"/>
      <c r="D79" s="9" t="s">
        <v>83</v>
      </c>
      <c r="E79" s="15">
        <f>_xlfn.POISSON.DIST(E78,$F74, FALSE)</f>
        <v>0.36402402459522254</v>
      </c>
      <c r="F79" s="15">
        <f t="shared" ref="F79" si="16">_xlfn.POISSON.DIST(F78,$F74, FALSE)</f>
        <v>0.36785916763152682</v>
      </c>
      <c r="G79" s="15">
        <f t="shared" ref="G79" si="17">_xlfn.POISSON.DIST(G78,$F74, FALSE)</f>
        <v>0.1858673577396843</v>
      </c>
      <c r="H79" s="15">
        <f t="shared" ref="H79" si="18">_xlfn.POISSON.DIST(H78,$F74, FALSE)</f>
        <v>6.2608515636679976E-2</v>
      </c>
      <c r="I79" s="15">
        <f t="shared" ref="I79" si="19">_xlfn.POISSON.DIST(I78,$F74, FALSE)</f>
        <v>1.5817030534155015E-2</v>
      </c>
      <c r="J79" s="15">
        <f t="shared" ref="J79" si="20">_xlfn.POISSON.DIST(J78,$F74, FALSE)</f>
        <v>3.1967338931360579E-3</v>
      </c>
      <c r="K79" s="15">
        <f t="shared" ref="K79" si="21">_xlfn.POISSON.DIST(K78,$F74, FALSE)</f>
        <v>5.3840213356619261E-4</v>
      </c>
      <c r="L79" s="10"/>
    </row>
    <row r="80" spans="2:12" x14ac:dyDescent="0.35">
      <c r="B80" s="8"/>
      <c r="C80" s="9"/>
      <c r="D80" s="9" t="s">
        <v>82</v>
      </c>
      <c r="E80" s="15">
        <f>_xlfn.POISSON.DIST(E78,$G74, FALSE)</f>
        <v>0.40911677371115523</v>
      </c>
      <c r="F80" s="15">
        <f t="shared" ref="F80:I80" si="22">_xlfn.POISSON.DIST(F78,$G74, FALSE)</f>
        <v>0.36565002028564803</v>
      </c>
      <c r="G80" s="15">
        <f t="shared" si="22"/>
        <v>0.16340070357184827</v>
      </c>
      <c r="H80" s="15">
        <f t="shared" si="22"/>
        <v>4.8680046395032789E-2</v>
      </c>
      <c r="I80" s="15">
        <f t="shared" si="22"/>
        <v>1.0877004498242039E-2</v>
      </c>
      <c r="J80" s="15">
        <f>_xlfn.POISSON.DIST(J78,$G74, FALSE)</f>
        <v>1.9442746770569985E-3</v>
      </c>
      <c r="K80" s="15">
        <f t="shared" ref="K80" si="23">_xlfn.POISSON.DIST(K78,$G74, FALSE)</f>
        <v>2.8961742334911367E-4</v>
      </c>
      <c r="L80" s="10"/>
    </row>
    <row r="81" spans="2:12" x14ac:dyDescent="0.35">
      <c r="B81" s="8"/>
      <c r="C81" s="9"/>
      <c r="D81" s="9"/>
      <c r="E81" s="9"/>
      <c r="F81" s="9"/>
      <c r="G81" s="9"/>
      <c r="H81" s="9"/>
      <c r="I81" s="9"/>
      <c r="J81" s="9"/>
      <c r="K81" s="9"/>
      <c r="L81" s="10"/>
    </row>
    <row r="82" spans="2:12" x14ac:dyDescent="0.35">
      <c r="B82" s="8"/>
      <c r="C82" s="9"/>
      <c r="D82" s="9"/>
      <c r="E82" s="9"/>
      <c r="F82" s="9"/>
      <c r="G82" s="9"/>
      <c r="H82" s="9"/>
      <c r="I82" s="9"/>
      <c r="J82" s="9"/>
      <c r="K82" s="9"/>
      <c r="L82" s="10"/>
    </row>
    <row r="83" spans="2:12" x14ac:dyDescent="0.35">
      <c r="B83" s="8"/>
      <c r="C83" s="9"/>
      <c r="D83" s="9"/>
      <c r="E83" s="9"/>
      <c r="F83" s="9"/>
      <c r="G83" s="9"/>
      <c r="H83" s="9"/>
      <c r="I83" s="9"/>
      <c r="J83" s="9"/>
      <c r="K83" s="9"/>
      <c r="L83" s="10"/>
    </row>
    <row r="84" spans="2:12" x14ac:dyDescent="0.35">
      <c r="B84" s="8"/>
      <c r="C84" s="9"/>
      <c r="D84" s="9"/>
      <c r="E84" s="9"/>
      <c r="F84" s="9"/>
      <c r="G84" s="9"/>
      <c r="H84" s="9"/>
      <c r="I84" s="9"/>
      <c r="J84" s="9"/>
      <c r="K84" s="9"/>
      <c r="L84" s="10"/>
    </row>
    <row r="85" spans="2:12" x14ac:dyDescent="0.35">
      <c r="B85" s="8"/>
      <c r="C85" s="9"/>
      <c r="D85" s="9" t="s">
        <v>86</v>
      </c>
      <c r="E85" s="9"/>
      <c r="F85" s="9"/>
      <c r="G85" s="9"/>
      <c r="H85" s="9"/>
      <c r="I85" s="9"/>
      <c r="J85" s="9"/>
      <c r="K85" s="9"/>
      <c r="L85" s="10"/>
    </row>
    <row r="86" spans="2:12" x14ac:dyDescent="0.35">
      <c r="B86" s="8"/>
      <c r="C86" s="9"/>
      <c r="D86" s="9"/>
      <c r="E86" s="9" t="s">
        <v>83</v>
      </c>
      <c r="F86" s="9"/>
      <c r="G86" s="9"/>
      <c r="H86" s="9"/>
      <c r="I86" s="9"/>
      <c r="J86" s="9"/>
      <c r="K86" s="9"/>
      <c r="L86" s="10"/>
    </row>
    <row r="87" spans="2:12" x14ac:dyDescent="0.35">
      <c r="B87" s="8"/>
      <c r="C87" s="9"/>
      <c r="D87" s="9" t="s">
        <v>82</v>
      </c>
      <c r="E87" s="9">
        <v>0</v>
      </c>
      <c r="F87" s="9">
        <v>1</v>
      </c>
      <c r="G87" s="9">
        <v>2</v>
      </c>
      <c r="H87" s="9">
        <v>3</v>
      </c>
      <c r="I87" s="9">
        <v>4</v>
      </c>
      <c r="J87" s="9">
        <v>5</v>
      </c>
      <c r="K87" s="9">
        <v>6</v>
      </c>
      <c r="L87" s="10"/>
    </row>
    <row r="88" spans="2:12" x14ac:dyDescent="0.35">
      <c r="B88" s="8"/>
      <c r="C88" s="9"/>
      <c r="D88" s="9">
        <v>0</v>
      </c>
      <c r="E88" s="16">
        <f>E79*E80</f>
        <v>0.14892833449574766</v>
      </c>
      <c r="F88" s="16">
        <f>F79*E80</f>
        <v>0.15049735584148127</v>
      </c>
      <c r="G88" s="16">
        <f>G79*E80</f>
        <v>7.6041453736676756E-2</v>
      </c>
      <c r="H88" s="16">
        <f>H79*E80</f>
        <v>2.5614193924122924E-2</v>
      </c>
      <c r="I88" s="16">
        <f>I79*E80</f>
        <v>6.4710125018243303E-3</v>
      </c>
      <c r="J88" s="16">
        <f>J79*E80</f>
        <v>1.3078374567729249E-3</v>
      </c>
      <c r="K88" s="16">
        <f>K79*E80</f>
        <v>2.2026934384380319E-4</v>
      </c>
      <c r="L88" s="10"/>
    </row>
    <row r="89" spans="2:12" x14ac:dyDescent="0.35">
      <c r="B89" s="8"/>
      <c r="C89" s="9"/>
      <c r="D89" s="9">
        <v>1</v>
      </c>
      <c r="E89" s="16">
        <f>E79*F80</f>
        <v>0.13310539197770635</v>
      </c>
      <c r="F89" s="16">
        <f>F79*F80</f>
        <v>0.13450771210672938</v>
      </c>
      <c r="G89" s="16">
        <f>G79*F80</f>
        <v>6.7962403127955359E-2</v>
      </c>
      <c r="H89" s="16">
        <f>H79*F80</f>
        <v>2.2892805012606345E-2</v>
      </c>
      <c r="I89" s="16">
        <f>I79*F80</f>
        <v>5.7834975356724954E-3</v>
      </c>
      <c r="J89" s="16">
        <f>F80*J79</f>
        <v>1.1688858128730182E-3</v>
      </c>
      <c r="K89" s="16">
        <f>F80*K79</f>
        <v>1.968667510603145E-4</v>
      </c>
      <c r="L89" s="10"/>
    </row>
    <row r="90" spans="2:12" x14ac:dyDescent="0.35">
      <c r="B90" s="8"/>
      <c r="C90" s="9"/>
      <c r="D90" s="9">
        <v>2</v>
      </c>
      <c r="E90" s="16">
        <f>E79*G80</f>
        <v>5.948178173591516E-2</v>
      </c>
      <c r="F90" s="16">
        <f>G80*F79</f>
        <v>6.0108446806345958E-2</v>
      </c>
      <c r="G90" s="16">
        <f>G79*G80</f>
        <v>3.0370857025704832E-2</v>
      </c>
      <c r="H90" s="16">
        <f>G80*H79</f>
        <v>1.0230275504622572E-2</v>
      </c>
      <c r="I90" s="16">
        <f>G80*I79</f>
        <v>2.5845139176983367E-3</v>
      </c>
      <c r="J90" s="16">
        <f>J79*G80</f>
        <v>5.2234856727040552E-4</v>
      </c>
      <c r="K90" s="16">
        <f>K79*G80</f>
        <v>8.7975287429300098E-5</v>
      </c>
      <c r="L90" s="10"/>
    </row>
    <row r="91" spans="2:12" x14ac:dyDescent="0.35">
      <c r="B91" s="8"/>
      <c r="C91" s="9"/>
      <c r="D91" s="9">
        <v>3</v>
      </c>
      <c r="E91" s="16">
        <f>E79*H80</f>
        <v>1.7720706406201991E-2</v>
      </c>
      <c r="F91" s="16">
        <f>H80*F79</f>
        <v>1.7907401347140868E-2</v>
      </c>
      <c r="G91" s="16">
        <f>H80*G79</f>
        <v>9.0480315980899888E-3</v>
      </c>
      <c r="H91" s="16">
        <f>H79*H80</f>
        <v>3.0477854459177172E-3</v>
      </c>
      <c r="I91" s="16">
        <f>H80*I79</f>
        <v>7.6997378023431636E-4</v>
      </c>
      <c r="J91" s="16">
        <f>H80*J79</f>
        <v>1.5561715423043708E-4</v>
      </c>
      <c r="K91" s="16">
        <f>H80*K79</f>
        <v>2.6209440841186898E-5</v>
      </c>
      <c r="L91" s="10"/>
    </row>
    <row r="92" spans="2:12" x14ac:dyDescent="0.35">
      <c r="B92" s="8"/>
      <c r="C92" s="9"/>
      <c r="D92" s="9">
        <v>4</v>
      </c>
      <c r="E92" s="16">
        <f>E79*I80</f>
        <v>3.9594909529904057E-3</v>
      </c>
      <c r="F92" s="16">
        <f>F79*I80</f>
        <v>4.0012058210476898E-3</v>
      </c>
      <c r="G92" s="16">
        <f>I80*G79</f>
        <v>2.0216800862109083E-3</v>
      </c>
      <c r="H92" s="16">
        <f>I80*H79</f>
        <v>6.8099310620842516E-4</v>
      </c>
      <c r="I92" s="16">
        <f>I79*I80</f>
        <v>1.7204191226883578E-4</v>
      </c>
      <c r="J92" s="16">
        <f>I80*J79</f>
        <v>3.4770888935323687E-5</v>
      </c>
      <c r="K92" s="16">
        <f>I80*K79</f>
        <v>5.856202428662588E-6</v>
      </c>
      <c r="L92" s="10"/>
    </row>
    <row r="93" spans="2:12" x14ac:dyDescent="0.35">
      <c r="B93" s="8"/>
      <c r="C93" s="9"/>
      <c r="D93" s="9">
        <v>5</v>
      </c>
      <c r="E93" s="16">
        <f>E79*J80</f>
        <v>7.0776269286086516E-4</v>
      </c>
      <c r="F93" s="16">
        <f>J80*F79</f>
        <v>7.1521926434924314E-4</v>
      </c>
      <c r="G93" s="16">
        <f>J80*G79</f>
        <v>3.6137719694476228E-4</v>
      </c>
      <c r="H93" s="16">
        <f>J80*H79</f>
        <v>1.21728151520524E-4</v>
      </c>
      <c r="I93" s="16">
        <f>J80*I79</f>
        <v>3.0752651933794926E-5</v>
      </c>
      <c r="J93" s="16">
        <f>J79*J80</f>
        <v>6.2153287577142703E-6</v>
      </c>
      <c r="K93" s="16">
        <f>J80*K79</f>
        <v>1.0468016343662082E-6</v>
      </c>
      <c r="L93" s="10"/>
    </row>
    <row r="94" spans="2:12" x14ac:dyDescent="0.35">
      <c r="B94" s="8"/>
      <c r="C94" s="9"/>
      <c r="D94" s="9">
        <v>6</v>
      </c>
      <c r="E94" s="16">
        <f>E79*K80</f>
        <v>1.0542770004044273E-4</v>
      </c>
      <c r="F94" s="16">
        <f>K80*F79</f>
        <v>1.0653842428479248E-4</v>
      </c>
      <c r="G94" s="16">
        <f>K80*G79</f>
        <v>5.3830425233275307E-5</v>
      </c>
      <c r="H94" s="16">
        <f>K80*H79</f>
        <v>1.8132516978407947E-5</v>
      </c>
      <c r="I94" s="16">
        <f>K80*I79</f>
        <v>4.5808876283362306E-6</v>
      </c>
      <c r="J94" s="16">
        <f>K80*J79</f>
        <v>9.2582983326284597E-7</v>
      </c>
      <c r="K94" s="16">
        <f>K80*K79</f>
        <v>1.5593063864910605E-7</v>
      </c>
      <c r="L94" s="10"/>
    </row>
    <row r="95" spans="2:12" x14ac:dyDescent="0.35">
      <c r="B95" s="8"/>
      <c r="C95" s="9"/>
      <c r="D95" s="9"/>
      <c r="E95" s="9"/>
      <c r="F95" s="9"/>
      <c r="G95" s="9"/>
      <c r="H95" s="9"/>
      <c r="I95" s="9"/>
      <c r="J95" s="9"/>
      <c r="K95" s="9"/>
      <c r="L95" s="10"/>
    </row>
    <row r="96" spans="2:12" x14ac:dyDescent="0.35">
      <c r="B96" s="8"/>
      <c r="C96" s="9"/>
      <c r="D96" s="9"/>
      <c r="E96" s="9"/>
      <c r="F96" s="9"/>
      <c r="G96" s="9"/>
      <c r="H96" s="9"/>
      <c r="I96" s="9"/>
      <c r="J96" s="9" t="s">
        <v>87</v>
      </c>
      <c r="K96" s="16">
        <f>SUM(E88:K94)</f>
        <v>0.99986967641544455</v>
      </c>
      <c r="L96" s="10"/>
    </row>
    <row r="97" spans="2:12" ht="15" thickBot="1" x14ac:dyDescent="0.4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9"/>
    </row>
    <row r="101" spans="2:12" ht="15" thickBot="1" x14ac:dyDescent="0.4"/>
    <row r="102" spans="2:12" x14ac:dyDescent="0.35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7"/>
    </row>
    <row r="103" spans="2:12" x14ac:dyDescent="0.35">
      <c r="B103" s="8"/>
      <c r="C103" s="9" t="s">
        <v>91</v>
      </c>
      <c r="D103" s="9"/>
      <c r="E103" s="9"/>
      <c r="F103" s="9"/>
      <c r="G103" s="9"/>
      <c r="H103" s="9"/>
      <c r="I103" s="9"/>
      <c r="J103" s="9"/>
      <c r="K103" s="9"/>
      <c r="L103" s="10"/>
    </row>
    <row r="104" spans="2:12" x14ac:dyDescent="0.35"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10"/>
    </row>
    <row r="105" spans="2:12" x14ac:dyDescent="0.35">
      <c r="B105" s="8"/>
      <c r="C105" s="9"/>
      <c r="D105" s="9"/>
      <c r="E105" s="9"/>
      <c r="F105" s="11" t="s">
        <v>84</v>
      </c>
      <c r="G105" s="11"/>
      <c r="H105" s="9"/>
      <c r="I105" s="12" t="s">
        <v>83</v>
      </c>
      <c r="J105" s="12" t="s">
        <v>88</v>
      </c>
      <c r="K105" s="12" t="s">
        <v>82</v>
      </c>
      <c r="L105" s="10"/>
    </row>
    <row r="106" spans="2:12" x14ac:dyDescent="0.35">
      <c r="B106" s="8"/>
      <c r="C106" s="9"/>
      <c r="D106" s="9" t="s">
        <v>81</v>
      </c>
      <c r="E106" s="9" t="s">
        <v>82</v>
      </c>
      <c r="F106" s="9" t="s">
        <v>83</v>
      </c>
      <c r="G106" s="9" t="s">
        <v>82</v>
      </c>
      <c r="H106" s="9"/>
      <c r="I106" s="13">
        <f>SUM(F121:K121, G122:K122,H123:K123,I124:K124,J125:K125,K126)/K129</f>
        <v>0.42122861432823744</v>
      </c>
      <c r="J106" s="13">
        <f>SUM(E121,F122,G123,H124,I125,J126,K127)/K129</f>
        <v>0.33135171096103561</v>
      </c>
      <c r="K106" s="13">
        <f>SUM(E122:E127,F123:F127,G124:G127,H125:H127,I126:I127,J127)/K129</f>
        <v>0.24741967471072707</v>
      </c>
      <c r="L106" s="10"/>
    </row>
    <row r="107" spans="2:12" x14ac:dyDescent="0.35">
      <c r="B107" s="8"/>
      <c r="C107" s="9"/>
      <c r="D107" s="9" t="str">
        <f>Games!D9</f>
        <v>Everton</v>
      </c>
      <c r="E107" s="9" t="str">
        <f>Games!E9</f>
        <v>AFC Bournemouth</v>
      </c>
      <c r="F107" s="9">
        <f>(VLOOKUP($D107,Calculator!$F$11:$V$30,10,FALSE) *VLOOKUP($E107,Calculator!$F$11:$V$30,13,FALSE))*Games!$C$3 + (VLOOKUP($D107,Calculator!$F$11:$V$30,14,FALSE) *VLOOKUP($E107,Calculator!$F$11:$V$30,17,FALSE)) *Games!$C$4</f>
        <v>1.0195372512990781</v>
      </c>
      <c r="G107" s="9">
        <f>(VLOOKUP($E107,Calculator!$F$11:$V$30,12,FALSE) *VLOOKUP($D107,Calculator!$F$11:$V$30,11,FALSE))*Games!$C$3 + (VLOOKUP($E107,Calculator!$F$11:$V$30,16,FALSE) *VLOOKUP($D107,Calculator!$F$11:$V$30,15,FALSE)) *Games!$C$4</f>
        <v>0.70513666701716404</v>
      </c>
      <c r="H107" s="9"/>
      <c r="I107" s="14"/>
      <c r="J107" s="14"/>
      <c r="K107" s="14"/>
      <c r="L107" s="10"/>
    </row>
    <row r="108" spans="2:12" x14ac:dyDescent="0.35"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10"/>
    </row>
    <row r="109" spans="2:12" x14ac:dyDescent="0.35"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10"/>
    </row>
    <row r="110" spans="2:12" x14ac:dyDescent="0.35"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10"/>
    </row>
    <row r="111" spans="2:12" x14ac:dyDescent="0.35">
      <c r="B111" s="8"/>
      <c r="C111" s="9"/>
      <c r="D111" s="9"/>
      <c r="E111" s="9">
        <v>0</v>
      </c>
      <c r="F111" s="9">
        <v>1</v>
      </c>
      <c r="G111" s="9">
        <v>2</v>
      </c>
      <c r="H111" s="9">
        <v>3</v>
      </c>
      <c r="I111" s="9">
        <v>4</v>
      </c>
      <c r="J111" s="9">
        <v>5</v>
      </c>
      <c r="K111" s="9">
        <v>6</v>
      </c>
      <c r="L111" s="10"/>
    </row>
    <row r="112" spans="2:12" x14ac:dyDescent="0.35">
      <c r="B112" s="8"/>
      <c r="C112" s="9"/>
      <c r="D112" s="9" t="s">
        <v>83</v>
      </c>
      <c r="E112" s="15">
        <f>_xlfn.POISSON.DIST(E111,$F107, FALSE)</f>
        <v>0.36076184362740238</v>
      </c>
      <c r="F112" s="15">
        <f t="shared" ref="F112" si="24">_xlfn.POISSON.DIST(F111,$F107, FALSE)</f>
        <v>0.36781013842546967</v>
      </c>
      <c r="G112" s="15">
        <f t="shared" ref="G112" si="25">_xlfn.POISSON.DIST(G111,$F107, FALSE)</f>
        <v>0.18749806876511838</v>
      </c>
      <c r="H112" s="15">
        <f t="shared" ref="H112" si="26">_xlfn.POISSON.DIST(H111,$F107, FALSE)</f>
        <v>6.3720421884224776E-2</v>
      </c>
      <c r="I112" s="15">
        <f t="shared" ref="I112" si="27">_xlfn.POISSON.DIST(I111,$F107, FALSE)</f>
        <v>1.6241335944865036E-2</v>
      </c>
      <c r="J112" s="15">
        <f t="shared" ref="J112" si="28">_xlfn.POISSON.DIST(J111,$F107, FALSE)</f>
        <v>3.3117294013305242E-3</v>
      </c>
      <c r="K112" s="15">
        <f t="shared" ref="K112" si="29">_xlfn.POISSON.DIST(K111,$F107, FALSE)</f>
        <v>5.627385818131438E-4</v>
      </c>
      <c r="L112" s="10"/>
    </row>
    <row r="113" spans="2:12" x14ac:dyDescent="0.35">
      <c r="B113" s="8"/>
      <c r="C113" s="9"/>
      <c r="D113" s="9" t="s">
        <v>82</v>
      </c>
      <c r="E113" s="15">
        <f>_xlfn.POISSON.DIST(E111,$G107, FALSE)</f>
        <v>0.49404105052538144</v>
      </c>
      <c r="F113" s="15">
        <f t="shared" ref="F113:I113" si="30">_xlfn.POISSON.DIST(F111,$G107, FALSE)</f>
        <v>0.34836645973712582</v>
      </c>
      <c r="G113" s="15">
        <f t="shared" si="30"/>
        <v>0.12282298215980297</v>
      </c>
      <c r="H113" s="15">
        <f t="shared" si="30"/>
        <v>2.8868996091090688E-2</v>
      </c>
      <c r="I113" s="15">
        <f t="shared" si="30"/>
        <v>5.0891469209508053E-3</v>
      </c>
      <c r="J113" s="15">
        <f>_xlfn.POISSON.DIST(J111,$G107, FALSE)</f>
        <v>7.1770881955998309E-4</v>
      </c>
      <c r="K113" s="15">
        <f t="shared" ref="K113" si="31">_xlfn.POISSON.DIST(K111,$G107, FALSE)</f>
        <v>8.4347134152224889E-5</v>
      </c>
      <c r="L113" s="10"/>
    </row>
    <row r="114" spans="2:12" x14ac:dyDescent="0.35"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10"/>
    </row>
    <row r="115" spans="2:12" x14ac:dyDescent="0.35"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10"/>
    </row>
    <row r="116" spans="2:12" x14ac:dyDescent="0.35"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10"/>
    </row>
    <row r="117" spans="2:12" x14ac:dyDescent="0.35"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10"/>
    </row>
    <row r="118" spans="2:12" x14ac:dyDescent="0.35">
      <c r="B118" s="8"/>
      <c r="C118" s="9"/>
      <c r="D118" s="9" t="s">
        <v>86</v>
      </c>
      <c r="E118" s="9"/>
      <c r="F118" s="9"/>
      <c r="G118" s="9"/>
      <c r="H118" s="9"/>
      <c r="I118" s="9"/>
      <c r="J118" s="9"/>
      <c r="K118" s="9"/>
      <c r="L118" s="10"/>
    </row>
    <row r="119" spans="2:12" x14ac:dyDescent="0.35">
      <c r="B119" s="8"/>
      <c r="C119" s="9"/>
      <c r="D119" s="9"/>
      <c r="E119" s="9" t="s">
        <v>83</v>
      </c>
      <c r="F119" s="9"/>
      <c r="G119" s="9"/>
      <c r="H119" s="9"/>
      <c r="I119" s="9"/>
      <c r="J119" s="9"/>
      <c r="K119" s="9"/>
      <c r="L119" s="10"/>
    </row>
    <row r="120" spans="2:12" x14ac:dyDescent="0.35">
      <c r="B120" s="8"/>
      <c r="C120" s="9"/>
      <c r="D120" s="9" t="s">
        <v>82</v>
      </c>
      <c r="E120" s="9">
        <v>0</v>
      </c>
      <c r="F120" s="9">
        <v>1</v>
      </c>
      <c r="G120" s="9">
        <v>2</v>
      </c>
      <c r="H120" s="9">
        <v>3</v>
      </c>
      <c r="I120" s="9">
        <v>4</v>
      </c>
      <c r="J120" s="9">
        <v>5</v>
      </c>
      <c r="K120" s="9">
        <v>6</v>
      </c>
      <c r="L120" s="10"/>
    </row>
    <row r="121" spans="2:12" x14ac:dyDescent="0.35">
      <c r="B121" s="8"/>
      <c r="C121" s="9"/>
      <c r="D121" s="9">
        <v>0</v>
      </c>
      <c r="E121" s="16">
        <f>E112*E113</f>
        <v>0.17823116021515525</v>
      </c>
      <c r="F121" s="16">
        <f>F112*E113</f>
        <v>0.181713307181605</v>
      </c>
      <c r="G121" s="16">
        <f>G112*E113</f>
        <v>9.2631742864199285E-2</v>
      </c>
      <c r="H121" s="16">
        <f>H112*E113</f>
        <v>3.1480504167602917E-2</v>
      </c>
      <c r="I121" s="16">
        <f>I112*E113</f>
        <v>8.0238866721367604E-3</v>
      </c>
      <c r="J121" s="16">
        <f>J112*E113</f>
        <v>1.6361302724891248E-3</v>
      </c>
      <c r="K121" s="16">
        <f>K112*E113</f>
        <v>2.7801596013012889E-4</v>
      </c>
      <c r="L121" s="10"/>
    </row>
    <row r="122" spans="2:12" x14ac:dyDescent="0.35">
      <c r="B122" s="8"/>
      <c r="C122" s="9"/>
      <c r="D122" s="9">
        <v>1</v>
      </c>
      <c r="E122" s="16">
        <f>E112*F113</f>
        <v>0.12567732627271674</v>
      </c>
      <c r="F122" s="16">
        <f>F112*F113</f>
        <v>0.12813271577870305</v>
      </c>
      <c r="G122" s="16">
        <f>G112*F113</f>
        <v>6.5318038423252456E-2</v>
      </c>
      <c r="H122" s="16">
        <f>H112*F113</f>
        <v>2.2198057784763463E-2</v>
      </c>
      <c r="I122" s="16">
        <f>I112*F113</f>
        <v>5.6579367045139599E-3</v>
      </c>
      <c r="J122" s="16">
        <f>F113*J112</f>
        <v>1.1536954471488658E-3</v>
      </c>
      <c r="K122" s="16">
        <f>F113*K112</f>
        <v>1.9603924750373583E-4</v>
      </c>
      <c r="L122" s="10"/>
    </row>
    <row r="123" spans="2:12" x14ac:dyDescent="0.35">
      <c r="B123" s="8"/>
      <c r="C123" s="9"/>
      <c r="D123" s="9">
        <v>2</v>
      </c>
      <c r="E123" s="16">
        <f>E112*G113</f>
        <v>4.4309845483786074E-2</v>
      </c>
      <c r="F123" s="16">
        <f>G113*F112</f>
        <v>4.5175538070026125E-2</v>
      </c>
      <c r="G123" s="16">
        <f>G112*G113</f>
        <v>2.3029071954935646E-2</v>
      </c>
      <c r="H123" s="16">
        <f>G113*H112</f>
        <v>7.8263322403012581E-3</v>
      </c>
      <c r="I123" s="16">
        <f>G113*I112</f>
        <v>1.994809315007525E-3</v>
      </c>
      <c r="J123" s="16">
        <f>J112*G113</f>
        <v>4.0675648117771397E-4</v>
      </c>
      <c r="K123" s="16">
        <f>K112*G113</f>
        <v>6.9117230794668583E-5</v>
      </c>
      <c r="L123" s="10"/>
    </row>
    <row r="124" spans="2:12" x14ac:dyDescent="0.35">
      <c r="B124" s="8"/>
      <c r="C124" s="9"/>
      <c r="D124" s="9">
        <v>3</v>
      </c>
      <c r="E124" s="16">
        <f>E112*H113</f>
        <v>1.041483225349415E-2</v>
      </c>
      <c r="F124" s="16">
        <f>H113*F112</f>
        <v>1.0618309448468409E-2</v>
      </c>
      <c r="G124" s="16">
        <f>H113*G112</f>
        <v>5.4128810142672554E-3</v>
      </c>
      <c r="H124" s="16">
        <f>H112*H113</f>
        <v>1.8395446102983347E-3</v>
      </c>
      <c r="I124" s="16">
        <f>H113*I112</f>
        <v>4.6887106390639942E-4</v>
      </c>
      <c r="J124" s="16">
        <f>H113*J112</f>
        <v>9.5606303141761007E-5</v>
      </c>
      <c r="K124" s="16">
        <f>H113*K112</f>
        <v>1.6245697918669567E-5</v>
      </c>
      <c r="L124" s="10"/>
    </row>
    <row r="125" spans="2:12" x14ac:dyDescent="0.35">
      <c r="B125" s="8"/>
      <c r="C125" s="9"/>
      <c r="D125" s="9">
        <v>4</v>
      </c>
      <c r="E125" s="16">
        <f>E112*I113</f>
        <v>1.8359700256929308E-3</v>
      </c>
      <c r="F125" s="16">
        <f>F112*I113</f>
        <v>1.8718398334624685E-3</v>
      </c>
      <c r="G125" s="16">
        <f>I113*G112</f>
        <v>9.5420521934022455E-4</v>
      </c>
      <c r="H125" s="16">
        <f>I113*H112</f>
        <v>3.2428258883378881E-4</v>
      </c>
      <c r="I125" s="16">
        <f>I112*I113</f>
        <v>8.2654544815937534E-5</v>
      </c>
      <c r="J125" s="16">
        <f>I113*J112</f>
        <v>1.685387748580349E-5</v>
      </c>
      <c r="K125" s="16">
        <f>I113*K112</f>
        <v>2.8638593209345836E-6</v>
      </c>
      <c r="L125" s="10"/>
    </row>
    <row r="126" spans="2:12" x14ac:dyDescent="0.35">
      <c r="B126" s="8"/>
      <c r="C126" s="9"/>
      <c r="D126" s="9">
        <v>5</v>
      </c>
      <c r="E126" s="16">
        <f>E112*J113</f>
        <v>2.5892195693210616E-4</v>
      </c>
      <c r="F126" s="16">
        <f>J113*F112</f>
        <v>2.6398058027153783E-4</v>
      </c>
      <c r="G126" s="16">
        <f>J113*G112</f>
        <v>1.3456901760318965E-4</v>
      </c>
      <c r="H126" s="16">
        <f>J113*H112</f>
        <v>4.5732708772391074E-5</v>
      </c>
      <c r="I126" s="16">
        <f>J113*I112</f>
        <v>1.1656550049066207E-5</v>
      </c>
      <c r="J126" s="16">
        <f>J112*J113</f>
        <v>2.3768573993310198E-6</v>
      </c>
      <c r="K126" s="16">
        <f>J113*K112</f>
        <v>4.0388244327397038E-7</v>
      </c>
      <c r="L126" s="10"/>
    </row>
    <row r="127" spans="2:12" x14ac:dyDescent="0.35">
      <c r="B127" s="8"/>
      <c r="C127" s="9"/>
      <c r="D127" s="9">
        <v>6</v>
      </c>
      <c r="E127" s="16">
        <f>E112*K113</f>
        <v>3.0429227621444486E-5</v>
      </c>
      <c r="F127" s="16">
        <f>K113*F112</f>
        <v>3.1023731088321498E-5</v>
      </c>
      <c r="G127" s="16">
        <f>K113*G112</f>
        <v>1.5814924759414527E-5</v>
      </c>
      <c r="H127" s="16">
        <f>K113*H112</f>
        <v>5.3746349729050737E-6</v>
      </c>
      <c r="I127" s="16">
        <f>K113*I112</f>
        <v>1.3699101417528834E-6</v>
      </c>
      <c r="J127" s="16">
        <f>K113*J112</f>
        <v>2.7933488408989315E-7</v>
      </c>
      <c r="K127" s="16">
        <f>K113*K112</f>
        <v>4.746538665282602E-8</v>
      </c>
      <c r="L127" s="10"/>
    </row>
    <row r="128" spans="2:12" x14ac:dyDescent="0.35"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10"/>
    </row>
    <row r="129" spans="2:12" x14ac:dyDescent="0.35">
      <c r="B129" s="8"/>
      <c r="C129" s="9"/>
      <c r="D129" s="9"/>
      <c r="E129" s="9"/>
      <c r="F129" s="9"/>
      <c r="G129" s="9"/>
      <c r="H129" s="9"/>
      <c r="I129" s="9"/>
      <c r="J129" s="9" t="s">
        <v>87</v>
      </c>
      <c r="K129" s="16">
        <f>SUM(E121:K127)</f>
        <v>0.99989696889072222</v>
      </c>
      <c r="L129" s="10"/>
    </row>
    <row r="130" spans="2:12" ht="15" thickBot="1" x14ac:dyDescent="0.4">
      <c r="B130" s="17"/>
      <c r="C130" s="18"/>
      <c r="D130" s="18"/>
      <c r="E130" s="18"/>
      <c r="F130" s="18"/>
      <c r="G130" s="18"/>
      <c r="H130" s="18"/>
      <c r="I130" s="18"/>
      <c r="J130" s="18"/>
      <c r="K130" s="18"/>
      <c r="L130" s="19"/>
    </row>
    <row r="134" spans="2:12" ht="15" thickBot="1" x14ac:dyDescent="0.4"/>
    <row r="135" spans="2:12" x14ac:dyDescent="0.35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7"/>
    </row>
    <row r="136" spans="2:12" x14ac:dyDescent="0.35">
      <c r="B136" s="8"/>
      <c r="C136" s="9" t="s">
        <v>92</v>
      </c>
      <c r="D136" s="9"/>
      <c r="E136" s="9"/>
      <c r="F136" s="9"/>
      <c r="G136" s="9"/>
      <c r="H136" s="9"/>
      <c r="I136" s="9"/>
      <c r="J136" s="9"/>
      <c r="K136" s="9"/>
      <c r="L136" s="10"/>
    </row>
    <row r="137" spans="2:12" x14ac:dyDescent="0.35"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10"/>
    </row>
    <row r="138" spans="2:12" x14ac:dyDescent="0.35">
      <c r="B138" s="8"/>
      <c r="C138" s="9"/>
      <c r="D138" s="9"/>
      <c r="E138" s="9"/>
      <c r="F138" s="11" t="s">
        <v>84</v>
      </c>
      <c r="G138" s="11"/>
      <c r="H138" s="9"/>
      <c r="I138" s="12" t="s">
        <v>83</v>
      </c>
      <c r="J138" s="12" t="s">
        <v>88</v>
      </c>
      <c r="K138" s="12" t="s">
        <v>82</v>
      </c>
      <c r="L138" s="10"/>
    </row>
    <row r="139" spans="2:12" x14ac:dyDescent="0.35">
      <c r="B139" s="8"/>
      <c r="C139" s="9"/>
      <c r="D139" s="9" t="s">
        <v>81</v>
      </c>
      <c r="E139" s="9" t="s">
        <v>82</v>
      </c>
      <c r="F139" s="9" t="s">
        <v>83</v>
      </c>
      <c r="G139" s="9" t="s">
        <v>82</v>
      </c>
      <c r="H139" s="9"/>
      <c r="I139" s="13">
        <f>SUM(F154:K154, G155:K155,H156:K156,I157:K157,J158:K158,K159)/K162</f>
        <v>0.41451690517005013</v>
      </c>
      <c r="J139" s="13">
        <f>SUM(E154,F155,G156,H157,I158,J159,K160)/K162</f>
        <v>0.34225901405507059</v>
      </c>
      <c r="K139" s="13">
        <f>SUM(E155:E160,F156:F160,G157:G160,H158:H160,I159:I160,J160)/K162</f>
        <v>0.24322408077487923</v>
      </c>
      <c r="L139" s="10"/>
    </row>
    <row r="140" spans="2:12" x14ac:dyDescent="0.35">
      <c r="B140" s="8"/>
      <c r="C140" s="9"/>
      <c r="D140" s="9" t="str">
        <f>Games!D10</f>
        <v>Chelsea</v>
      </c>
      <c r="E140" s="9" t="str">
        <f>Games!E10</f>
        <v>Wolverhampton</v>
      </c>
      <c r="F140" s="9">
        <f>(VLOOKUP($D140,Calculator!$F$11:$V$30,10,FALSE) *VLOOKUP($E140,Calculator!$F$11:$V$30,13,FALSE))*Games!$C$3 + (VLOOKUP($D140,Calculator!$F$11:$V$30,14,FALSE) *VLOOKUP($E140,Calculator!$F$11:$V$30,17,FALSE)) *Games!$C$4</f>
        <v>0.97056915060048565</v>
      </c>
      <c r="G140" s="9">
        <f>(VLOOKUP($E140,Calculator!$F$11:$V$30,12,FALSE) *VLOOKUP($D140,Calculator!$F$11:$V$30,11,FALSE))*Games!$C$3 + (VLOOKUP($E140,Calculator!$F$11:$V$30,16,FALSE) *VLOOKUP($D140,Calculator!$F$11:$V$30,15,FALSE)) *Games!$C$4</f>
        <v>0.66701052973628627</v>
      </c>
      <c r="H140" s="9"/>
      <c r="I140" s="14"/>
      <c r="J140" s="14"/>
      <c r="K140" s="14"/>
      <c r="L140" s="10"/>
    </row>
    <row r="141" spans="2:12" x14ac:dyDescent="0.35"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10"/>
    </row>
    <row r="142" spans="2:12" x14ac:dyDescent="0.35"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10"/>
    </row>
    <row r="143" spans="2:12" x14ac:dyDescent="0.35"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10"/>
    </row>
    <row r="144" spans="2:12" x14ac:dyDescent="0.35">
      <c r="B144" s="8"/>
      <c r="C144" s="9"/>
      <c r="D144" s="9"/>
      <c r="E144" s="9">
        <v>0</v>
      </c>
      <c r="F144" s="9">
        <v>1</v>
      </c>
      <c r="G144" s="9">
        <v>2</v>
      </c>
      <c r="H144" s="9">
        <v>3</v>
      </c>
      <c r="I144" s="9">
        <v>4</v>
      </c>
      <c r="J144" s="9">
        <v>5</v>
      </c>
      <c r="K144" s="9">
        <v>6</v>
      </c>
      <c r="L144" s="10"/>
    </row>
    <row r="145" spans="2:12" x14ac:dyDescent="0.35">
      <c r="B145" s="8"/>
      <c r="C145" s="9"/>
      <c r="D145" s="9" t="s">
        <v>83</v>
      </c>
      <c r="E145" s="15">
        <f>_xlfn.POISSON.DIST(E144,$F140, FALSE)</f>
        <v>0.37886734415162193</v>
      </c>
      <c r="F145" s="15">
        <f t="shared" ref="F145" si="32">_xlfn.POISSON.DIST(F144,$F140, FALSE)</f>
        <v>0.36771695640350155</v>
      </c>
      <c r="G145" s="15">
        <f t="shared" ref="G145" si="33">_xlfn.POISSON.DIST(G144,$F140, FALSE)</f>
        <v>0.17844736701897115</v>
      </c>
      <c r="H145" s="15">
        <f t="shared" ref="H145" si="34">_xlfn.POISSON.DIST(H144,$F140, FALSE)</f>
        <v>5.7731836478165328E-2</v>
      </c>
      <c r="I145" s="15">
        <f t="shared" ref="I145" si="35">_xlfn.POISSON.DIST(I144,$F140, FALSE)</f>
        <v>1.4008184873304762E-2</v>
      </c>
      <c r="J145" s="15">
        <f t="shared" ref="J145" si="36">_xlfn.POISSON.DIST(J144,$F140, FALSE)</f>
        <v>2.7191824187875954E-3</v>
      </c>
      <c r="K145" s="15">
        <f t="shared" ref="K145" si="37">_xlfn.POISSON.DIST(K144,$F140, FALSE)</f>
        <v>4.3985909508840836E-4</v>
      </c>
      <c r="L145" s="10"/>
    </row>
    <row r="146" spans="2:12" x14ac:dyDescent="0.35">
      <c r="B146" s="8"/>
      <c r="C146" s="9"/>
      <c r="D146" s="9" t="s">
        <v>82</v>
      </c>
      <c r="E146" s="15">
        <f>_xlfn.POISSON.DIST(E144,$G140, FALSE)</f>
        <v>0.51324060419625228</v>
      </c>
      <c r="F146" s="15">
        <f t="shared" ref="F146:I146" si="38">_xlfn.POISSON.DIST(F144,$G140, FALSE)</f>
        <v>0.34233688728711387</v>
      </c>
      <c r="G146" s="15">
        <f t="shared" si="38"/>
        <v>0.11417115426882456</v>
      </c>
      <c r="H146" s="15">
        <f t="shared" si="38"/>
        <v>2.5384454029817313E-2</v>
      </c>
      <c r="I146" s="15">
        <f t="shared" si="38"/>
        <v>4.2329245323737127E-3</v>
      </c>
      <c r="J146" s="15">
        <f>_xlfn.POISSON.DIST(J144,$G140, FALSE)</f>
        <v>5.6468104693446254E-4</v>
      </c>
      <c r="K146" s="15">
        <f t="shared" ref="K146" si="39">_xlfn.POISSON.DIST(K144,$G140, FALSE)</f>
        <v>6.2774700707966076E-5</v>
      </c>
      <c r="L146" s="10"/>
    </row>
    <row r="147" spans="2:12" x14ac:dyDescent="0.35"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10"/>
    </row>
    <row r="148" spans="2:12" x14ac:dyDescent="0.35"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10"/>
    </row>
    <row r="149" spans="2:12" x14ac:dyDescent="0.35"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10"/>
    </row>
    <row r="150" spans="2:12" x14ac:dyDescent="0.35"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10"/>
    </row>
    <row r="151" spans="2:12" x14ac:dyDescent="0.35">
      <c r="B151" s="8"/>
      <c r="C151" s="9"/>
      <c r="D151" s="9" t="s">
        <v>86</v>
      </c>
      <c r="E151" s="9"/>
      <c r="F151" s="9"/>
      <c r="G151" s="9"/>
      <c r="H151" s="9"/>
      <c r="I151" s="9"/>
      <c r="J151" s="9"/>
      <c r="K151" s="9"/>
      <c r="L151" s="10"/>
    </row>
    <row r="152" spans="2:12" x14ac:dyDescent="0.35">
      <c r="B152" s="8"/>
      <c r="C152" s="9"/>
      <c r="D152" s="9"/>
      <c r="E152" s="9" t="s">
        <v>83</v>
      </c>
      <c r="F152" s="9"/>
      <c r="G152" s="9"/>
      <c r="H152" s="9"/>
      <c r="I152" s="9"/>
      <c r="J152" s="9"/>
      <c r="K152" s="9"/>
      <c r="L152" s="10"/>
    </row>
    <row r="153" spans="2:12" x14ac:dyDescent="0.35">
      <c r="B153" s="8"/>
      <c r="C153" s="9"/>
      <c r="D153" s="9" t="s">
        <v>82</v>
      </c>
      <c r="E153" s="9">
        <v>0</v>
      </c>
      <c r="F153" s="9">
        <v>1</v>
      </c>
      <c r="G153" s="9">
        <v>2</v>
      </c>
      <c r="H153" s="9">
        <v>3</v>
      </c>
      <c r="I153" s="9">
        <v>4</v>
      </c>
      <c r="J153" s="9">
        <v>5</v>
      </c>
      <c r="K153" s="9">
        <v>6</v>
      </c>
      <c r="L153" s="10"/>
    </row>
    <row r="154" spans="2:12" x14ac:dyDescent="0.35">
      <c r="B154" s="8"/>
      <c r="C154" s="9"/>
      <c r="D154" s="9">
        <v>0</v>
      </c>
      <c r="E154" s="16">
        <f>E145*E146</f>
        <v>0.19445010462260789</v>
      </c>
      <c r="F154" s="16">
        <f>F145*E146</f>
        <v>0.1887272728777401</v>
      </c>
      <c r="G154" s="16">
        <f>G145*E146</f>
        <v>9.158643446604714E-2</v>
      </c>
      <c r="H154" s="16">
        <f>H145*E146</f>
        <v>2.963032263541281E-2</v>
      </c>
      <c r="I154" s="16">
        <f>I145*E146</f>
        <v>7.189569268067738E-3</v>
      </c>
      <c r="J154" s="16">
        <f>J145*E146</f>
        <v>1.3955948275383722E-3</v>
      </c>
      <c r="K154" s="16">
        <f>K145*E146</f>
        <v>2.2575354772439148E-4</v>
      </c>
      <c r="L154" s="10"/>
    </row>
    <row r="155" spans="2:12" x14ac:dyDescent="0.35">
      <c r="B155" s="8"/>
      <c r="C155" s="9"/>
      <c r="D155" s="9">
        <v>1</v>
      </c>
      <c r="E155" s="16">
        <f>E145*F146</f>
        <v>0.12970026729160197</v>
      </c>
      <c r="F155" s="16">
        <f>F145*F146</f>
        <v>0.12588307825786607</v>
      </c>
      <c r="G155" s="16">
        <f>G145*F146</f>
        <v>6.1089116169855767E-2</v>
      </c>
      <c r="H155" s="16">
        <f>H145*F146</f>
        <v>1.9763737197303774E-2</v>
      </c>
      <c r="I155" s="16">
        <f>I145*F146</f>
        <v>4.7955184060695854E-3</v>
      </c>
      <c r="J155" s="16">
        <f>F146*J145</f>
        <v>9.3087644521359068E-4</v>
      </c>
      <c r="K155" s="16">
        <f>F146*K145</f>
        <v>1.5057999345749235E-4</v>
      </c>
      <c r="L155" s="10"/>
    </row>
    <row r="156" spans="2:12" x14ac:dyDescent="0.35">
      <c r="B156" s="8"/>
      <c r="C156" s="9"/>
      <c r="D156" s="9">
        <v>2</v>
      </c>
      <c r="E156" s="16">
        <f>E145*G146</f>
        <v>4.3255721996554676E-2</v>
      </c>
      <c r="F156" s="16">
        <f>G146*F145</f>
        <v>4.1982669356806807E-2</v>
      </c>
      <c r="G156" s="16">
        <f>G145*G146</f>
        <v>2.0373541868788512E-2</v>
      </c>
      <c r="H156" s="16">
        <f>G146*H145</f>
        <v>6.5913104087711666E-3</v>
      </c>
      <c r="I156" s="16">
        <f>G146*I145</f>
        <v>1.5993306361962926E-3</v>
      </c>
      <c r="J156" s="16">
        <f>J145*G146</f>
        <v>3.1045219542047403E-4</v>
      </c>
      <c r="K156" s="16">
        <f>K145*G146</f>
        <v>5.0219220601884241E-5</v>
      </c>
      <c r="L156" s="10"/>
    </row>
    <row r="157" spans="2:12" x14ac:dyDescent="0.35">
      <c r="B157" s="8"/>
      <c r="C157" s="9"/>
      <c r="D157" s="9">
        <v>3</v>
      </c>
      <c r="E157" s="16">
        <f>E145*H146</f>
        <v>9.6173406810158221E-3</v>
      </c>
      <c r="F157" s="16">
        <f>H146*F145</f>
        <v>9.3342941758090218E-3</v>
      </c>
      <c r="G157" s="16">
        <f>H146*G145</f>
        <v>4.5297889848350112E-3</v>
      </c>
      <c r="H157" s="16">
        <f>H145*H146</f>
        <v>1.4654911491369181E-3</v>
      </c>
      <c r="I157" s="16">
        <f>H146*I145</f>
        <v>3.55590124957587E-4</v>
      </c>
      <c r="J157" s="16">
        <f>H146*J145</f>
        <v>6.9024961108401166E-5</v>
      </c>
      <c r="K157" s="16">
        <f>H146*K145</f>
        <v>1.1165582978868744E-5</v>
      </c>
      <c r="L157" s="10"/>
    </row>
    <row r="158" spans="2:12" x14ac:dyDescent="0.35">
      <c r="B158" s="8"/>
      <c r="C158" s="9"/>
      <c r="D158" s="9">
        <v>4</v>
      </c>
      <c r="E158" s="16">
        <f>E145*I146</f>
        <v>1.6037168755746747E-3</v>
      </c>
      <c r="F158" s="16">
        <f>F145*I146</f>
        <v>1.5565181257301767E-3</v>
      </c>
      <c r="G158" s="16">
        <f>I146*G145</f>
        <v>7.5535423759209874E-4</v>
      </c>
      <c r="H158" s="16">
        <f>I146*H145</f>
        <v>2.4437450692741362E-4</v>
      </c>
      <c r="I158" s="16">
        <f>I145*I146</f>
        <v>5.9295589404238077E-5</v>
      </c>
      <c r="J158" s="16">
        <f>I146*J145</f>
        <v>1.1510093968485303E-5</v>
      </c>
      <c r="K158" s="16">
        <f>I146*K145</f>
        <v>1.8618903543874253E-6</v>
      </c>
      <c r="L158" s="10"/>
    </row>
    <row r="159" spans="2:12" x14ac:dyDescent="0.35">
      <c r="B159" s="8"/>
      <c r="C159" s="9"/>
      <c r="D159" s="9">
        <v>5</v>
      </c>
      <c r="E159" s="16">
        <f>E145*J146</f>
        <v>2.139392085448172E-4</v>
      </c>
      <c r="F159" s="16">
        <f>J146*F145</f>
        <v>2.0764279591748338E-4</v>
      </c>
      <c r="G159" s="16">
        <f>J146*G145</f>
        <v>1.0076584603097091E-4</v>
      </c>
      <c r="H159" s="16">
        <f>J146*H145</f>
        <v>3.2600073863939595E-5</v>
      </c>
      <c r="I159" s="16">
        <f>J146*I145</f>
        <v>7.9101564999092339E-6</v>
      </c>
      <c r="J159" s="16">
        <f>J145*J146</f>
        <v>1.5354707750467636E-6</v>
      </c>
      <c r="K159" s="16">
        <f>J146*K145</f>
        <v>2.4838009431816773E-7</v>
      </c>
      <c r="L159" s="10"/>
    </row>
    <row r="160" spans="2:12" x14ac:dyDescent="0.35">
      <c r="B160" s="8"/>
      <c r="C160" s="9"/>
      <c r="D160" s="9">
        <v>6</v>
      </c>
      <c r="E160" s="16">
        <f>E145*K146</f>
        <v>2.3783284137140048E-5</v>
      </c>
      <c r="F160" s="16">
        <f>K146*F145</f>
        <v>2.308332188347402E-5</v>
      </c>
      <c r="G160" s="16">
        <f>K146*G145</f>
        <v>1.120198005674049E-5</v>
      </c>
      <c r="H160" s="16">
        <f>K146*H145</f>
        <v>3.6240987562380665E-6</v>
      </c>
      <c r="I160" s="16">
        <f>K146*I145</f>
        <v>8.7935961288356413E-7</v>
      </c>
      <c r="J160" s="16">
        <f>K146*J145</f>
        <v>1.7069586250975458E-7</v>
      </c>
      <c r="K160" s="16">
        <f>K146*K145</f>
        <v>2.7612023047851624E-8</v>
      </c>
      <c r="L160" s="10"/>
    </row>
    <row r="161" spans="2:12" x14ac:dyDescent="0.35"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10"/>
    </row>
    <row r="162" spans="2:12" x14ac:dyDescent="0.35">
      <c r="B162" s="8"/>
      <c r="C162" s="9"/>
      <c r="D162" s="9"/>
      <c r="E162" s="9"/>
      <c r="F162" s="9"/>
      <c r="G162" s="9"/>
      <c r="H162" s="9"/>
      <c r="I162" s="9"/>
      <c r="J162" s="9" t="s">
        <v>87</v>
      </c>
      <c r="K162" s="16">
        <f>SUM(E154:K160)</f>
        <v>0.99992421095309814</v>
      </c>
      <c r="L162" s="10"/>
    </row>
    <row r="163" spans="2:12" ht="15" thickBot="1" x14ac:dyDescent="0.4">
      <c r="B163" s="17"/>
      <c r="C163" s="18"/>
      <c r="D163" s="18"/>
      <c r="E163" s="18"/>
      <c r="F163" s="18"/>
      <c r="G163" s="18"/>
      <c r="H163" s="18"/>
      <c r="I163" s="18"/>
      <c r="J163" s="18"/>
      <c r="K163" s="18"/>
      <c r="L163" s="19"/>
    </row>
    <row r="167" spans="2:12" ht="15" thickBot="1" x14ac:dyDescent="0.4"/>
    <row r="168" spans="2:12" x14ac:dyDescent="0.35"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7"/>
    </row>
    <row r="169" spans="2:12" x14ac:dyDescent="0.35">
      <c r="B169" s="8"/>
      <c r="C169" s="9" t="s">
        <v>93</v>
      </c>
      <c r="D169" s="9"/>
      <c r="E169" s="9"/>
      <c r="F169" s="9"/>
      <c r="G169" s="9"/>
      <c r="H169" s="9"/>
      <c r="I169" s="9"/>
      <c r="J169" s="9"/>
      <c r="K169" s="9"/>
      <c r="L169" s="10"/>
    </row>
    <row r="170" spans="2:12" x14ac:dyDescent="0.35"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10"/>
    </row>
    <row r="171" spans="2:12" x14ac:dyDescent="0.35">
      <c r="B171" s="8"/>
      <c r="C171" s="9"/>
      <c r="D171" s="9"/>
      <c r="E171" s="9"/>
      <c r="F171" s="11" t="s">
        <v>84</v>
      </c>
      <c r="G171" s="11"/>
      <c r="H171" s="9"/>
      <c r="I171" s="12" t="s">
        <v>83</v>
      </c>
      <c r="J171" s="12" t="s">
        <v>88</v>
      </c>
      <c r="K171" s="12" t="s">
        <v>82</v>
      </c>
      <c r="L171" s="10"/>
    </row>
    <row r="172" spans="2:12" x14ac:dyDescent="0.35">
      <c r="B172" s="8"/>
      <c r="C172" s="9"/>
      <c r="D172" s="9" t="s">
        <v>81</v>
      </c>
      <c r="E172" s="9" t="s">
        <v>82</v>
      </c>
      <c r="F172" s="9" t="s">
        <v>83</v>
      </c>
      <c r="G172" s="9" t="s">
        <v>82</v>
      </c>
      <c r="H172" s="9"/>
      <c r="I172" s="13">
        <f>SUM(F187:K187, G188:K188,H189:K189,I190:K190,J191:K191,K192)/K195</f>
        <v>0.45404343982400897</v>
      </c>
      <c r="J172" s="13">
        <f>SUM(E187,F188,G189,H190,I191,J192,K193)/K195</f>
        <v>0.31372302453851048</v>
      </c>
      <c r="K172" s="13">
        <f>SUM(E188:E193,F189:F193,G190:G193,H191:H193,I192:I193,J193)/K195</f>
        <v>0.23223353563748059</v>
      </c>
      <c r="L172" s="10"/>
    </row>
    <row r="173" spans="2:12" x14ac:dyDescent="0.35">
      <c r="B173" s="8"/>
      <c r="C173" s="9"/>
      <c r="D173" s="9" t="str">
        <f>Games!D11</f>
        <v>Arsenal</v>
      </c>
      <c r="E173" s="9" t="str">
        <f>Games!E11</f>
        <v>Watford</v>
      </c>
      <c r="F173" s="9">
        <f>(VLOOKUP($D173,Calculator!$F$11:$V$30,10,FALSE) *VLOOKUP($E173,Calculator!$F$11:$V$30,13,FALSE))*Games!$C$3 + (VLOOKUP($D173,Calculator!$F$11:$V$30,14,FALSE) *VLOOKUP($E173,Calculator!$F$11:$V$30,17,FALSE)) *Games!$C$4</f>
        <v>1.1310230765942961</v>
      </c>
      <c r="G173" s="9">
        <f>(VLOOKUP($E173,Calculator!$F$11:$V$30,12,FALSE) *VLOOKUP($D173,Calculator!$F$11:$V$30,11,FALSE))*Games!$C$3 + (VLOOKUP($E173,Calculator!$F$11:$V$30,16,FALSE) *VLOOKUP($D173,Calculator!$F$11:$V$30,15,FALSE)) *Games!$C$4</f>
        <v>0.71709083504289806</v>
      </c>
      <c r="H173" s="9"/>
      <c r="I173" s="14"/>
      <c r="J173" s="14"/>
      <c r="K173" s="14"/>
      <c r="L173" s="10"/>
    </row>
    <row r="174" spans="2:12" x14ac:dyDescent="0.35"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10"/>
    </row>
    <row r="175" spans="2:12" x14ac:dyDescent="0.35"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10"/>
    </row>
    <row r="176" spans="2:12" x14ac:dyDescent="0.35"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10"/>
    </row>
    <row r="177" spans="2:12" x14ac:dyDescent="0.35">
      <c r="B177" s="8"/>
      <c r="C177" s="9"/>
      <c r="D177" s="9"/>
      <c r="E177" s="9">
        <v>0</v>
      </c>
      <c r="F177" s="9">
        <v>1</v>
      </c>
      <c r="G177" s="9">
        <v>2</v>
      </c>
      <c r="H177" s="9">
        <v>3</v>
      </c>
      <c r="I177" s="9">
        <v>4</v>
      </c>
      <c r="J177" s="9">
        <v>5</v>
      </c>
      <c r="K177" s="9">
        <v>6</v>
      </c>
      <c r="L177" s="10"/>
    </row>
    <row r="178" spans="2:12" x14ac:dyDescent="0.35">
      <c r="B178" s="8"/>
      <c r="C178" s="9"/>
      <c r="D178" s="9" t="s">
        <v>83</v>
      </c>
      <c r="E178" s="15">
        <f>_xlfn.POISSON.DIST(E177,$F173, FALSE)</f>
        <v>0.32270293765793795</v>
      </c>
      <c r="F178" s="15">
        <f t="shared" ref="F178" si="40">_xlfn.POISSON.DIST(F177,$F173, FALSE)</f>
        <v>0.36498446937589829</v>
      </c>
      <c r="G178" s="15">
        <f t="shared" ref="G178" si="41">_xlfn.POISSON.DIST(G177,$F173, FALSE)</f>
        <v>0.20640292873133265</v>
      </c>
      <c r="H178" s="15">
        <f t="shared" ref="H178" si="42">_xlfn.POISSON.DIST(H177,$F173, FALSE)</f>
        <v>7.7815491823928357E-2</v>
      </c>
      <c r="I178" s="15">
        <f t="shared" ref="I178" si="43">_xlfn.POISSON.DIST(I177,$F173, FALSE)</f>
        <v>2.2002779242349432E-2</v>
      </c>
      <c r="J178" s="15">
        <f t="shared" ref="J178" si="44">_xlfn.POISSON.DIST(J177,$F173, FALSE)</f>
        <v>4.9771302144614319E-3</v>
      </c>
      <c r="K178" s="15">
        <f t="shared" ref="K178" si="45">_xlfn.POISSON.DIST(K177,$F173, FALSE)</f>
        <v>9.3820818796176686E-4</v>
      </c>
      <c r="L178" s="10"/>
    </row>
    <row r="179" spans="2:12" x14ac:dyDescent="0.35">
      <c r="B179" s="8"/>
      <c r="C179" s="9"/>
      <c r="D179" s="9" t="s">
        <v>82</v>
      </c>
      <c r="E179" s="15">
        <f>_xlfn.POISSON.DIST(E177,$G173, FALSE)</f>
        <v>0.48817036031540245</v>
      </c>
      <c r="F179" s="15">
        <f t="shared" ref="F179:I179" si="46">_xlfn.POISSON.DIST(F177,$G173, FALSE)</f>
        <v>0.35006249132176437</v>
      </c>
      <c r="G179" s="15">
        <f t="shared" si="46"/>
        <v>0.12551330210956063</v>
      </c>
      <c r="H179" s="15">
        <f t="shared" si="46"/>
        <v>3.0001479539578796E-2</v>
      </c>
      <c r="I179" s="15">
        <f t="shared" si="46"/>
        <v>5.3784465038897436E-3</v>
      </c>
      <c r="J179" s="15">
        <f>_xlfn.POISSON.DIST(J177,$G173, FALSE)</f>
        <v>7.7136693894157065E-4</v>
      </c>
      <c r="K179" s="15">
        <f t="shared" ref="K179" si="47">_xlfn.POISSON.DIST(K177,$G173, FALSE)</f>
        <v>9.2190027061682481E-5</v>
      </c>
      <c r="L179" s="10"/>
    </row>
    <row r="180" spans="2:12" x14ac:dyDescent="0.35"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10"/>
    </row>
    <row r="181" spans="2:12" x14ac:dyDescent="0.35"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10"/>
    </row>
    <row r="182" spans="2:12" x14ac:dyDescent="0.35"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10"/>
    </row>
    <row r="183" spans="2:12" x14ac:dyDescent="0.35"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10"/>
    </row>
    <row r="184" spans="2:12" x14ac:dyDescent="0.35">
      <c r="B184" s="8"/>
      <c r="C184" s="9"/>
      <c r="D184" s="9" t="s">
        <v>86</v>
      </c>
      <c r="E184" s="9"/>
      <c r="F184" s="9"/>
      <c r="G184" s="9"/>
      <c r="H184" s="9"/>
      <c r="I184" s="9"/>
      <c r="J184" s="9"/>
      <c r="K184" s="9"/>
      <c r="L184" s="10"/>
    </row>
    <row r="185" spans="2:12" x14ac:dyDescent="0.35">
      <c r="B185" s="8"/>
      <c r="C185" s="9"/>
      <c r="D185" s="9"/>
      <c r="E185" s="9" t="s">
        <v>83</v>
      </c>
      <c r="F185" s="9"/>
      <c r="G185" s="9"/>
      <c r="H185" s="9"/>
      <c r="I185" s="9"/>
      <c r="J185" s="9"/>
      <c r="K185" s="9"/>
      <c r="L185" s="10"/>
    </row>
    <row r="186" spans="2:12" x14ac:dyDescent="0.35">
      <c r="B186" s="8"/>
      <c r="C186" s="9"/>
      <c r="D186" s="9" t="s">
        <v>82</v>
      </c>
      <c r="E186" s="9">
        <v>0</v>
      </c>
      <c r="F186" s="9">
        <v>1</v>
      </c>
      <c r="G186" s="9">
        <v>2</v>
      </c>
      <c r="H186" s="9">
        <v>3</v>
      </c>
      <c r="I186" s="9">
        <v>4</v>
      </c>
      <c r="J186" s="9">
        <v>5</v>
      </c>
      <c r="K186" s="9">
        <v>6</v>
      </c>
      <c r="L186" s="10"/>
    </row>
    <row r="187" spans="2:12" x14ac:dyDescent="0.35">
      <c r="B187" s="8"/>
      <c r="C187" s="9"/>
      <c r="D187" s="9">
        <v>0</v>
      </c>
      <c r="E187" s="16">
        <f>E178*E179</f>
        <v>0.15753400935131442</v>
      </c>
      <c r="F187" s="16">
        <f>F178*E179</f>
        <v>0.17817459992475823</v>
      </c>
      <c r="G187" s="16">
        <f>G178*E179</f>
        <v>0.10075979208892899</v>
      </c>
      <c r="H187" s="16">
        <f>H178*E179</f>
        <v>3.7987216681807358E-2</v>
      </c>
      <c r="I187" s="16">
        <f>I178*E179</f>
        <v>1.074110467067798E-2</v>
      </c>
      <c r="J187" s="16">
        <f>J178*E179</f>
        <v>2.4296874501303135E-3</v>
      </c>
      <c r="K187" s="16">
        <f>K178*E179</f>
        <v>4.5800542916815657E-4</v>
      </c>
      <c r="L187" s="10"/>
    </row>
    <row r="188" spans="2:12" x14ac:dyDescent="0.35">
      <c r="B188" s="8"/>
      <c r="C188" s="9"/>
      <c r="D188" s="9">
        <v>1</v>
      </c>
      <c r="E188" s="16">
        <f>E178*F179</f>
        <v>0.11296619431338978</v>
      </c>
      <c r="F188" s="16">
        <f>F178*F179</f>
        <v>0.12776737264347918</v>
      </c>
      <c r="G188" s="16">
        <f>G178*F179</f>
        <v>7.2253923447798879E-2</v>
      </c>
      <c r="H188" s="16">
        <f>H178*F179</f>
        <v>2.7240284931312746E-2</v>
      </c>
      <c r="I188" s="16">
        <f>I178*F179</f>
        <v>7.702347717579645E-3</v>
      </c>
      <c r="J188" s="16">
        <f>F179*J178</f>
        <v>1.7423066025071962E-3</v>
      </c>
      <c r="K188" s="16">
        <f>F179*K178</f>
        <v>3.284314956563743E-4</v>
      </c>
      <c r="L188" s="10"/>
    </row>
    <row r="189" spans="2:12" x14ac:dyDescent="0.35">
      <c r="B189" s="8"/>
      <c r="C189" s="9"/>
      <c r="D189" s="9">
        <v>2</v>
      </c>
      <c r="E189" s="16">
        <f>E178*G179</f>
        <v>4.0503511305903475E-2</v>
      </c>
      <c r="F189" s="16">
        <f>G179*F178</f>
        <v>4.5810405970074804E-2</v>
      </c>
      <c r="G189" s="16">
        <f>G178*G179</f>
        <v>2.5906313150153865E-2</v>
      </c>
      <c r="H189" s="16">
        <f>G179*H178</f>
        <v>9.7668793341007653E-3</v>
      </c>
      <c r="I189" s="16">
        <f>G179*I178</f>
        <v>2.7616414782949739E-3</v>
      </c>
      <c r="J189" s="16">
        <f>J178*G179</f>
        <v>6.2469604824632002E-4</v>
      </c>
      <c r="K189" s="16">
        <f>K178*G179</f>
        <v>1.177576077373087E-4</v>
      </c>
      <c r="L189" s="10"/>
    </row>
    <row r="190" spans="2:12" x14ac:dyDescent="0.35">
      <c r="B190" s="8"/>
      <c r="C190" s="9"/>
      <c r="D190" s="9">
        <v>3</v>
      </c>
      <c r="E190" s="16">
        <f>E178*H179</f>
        <v>9.6815655815065977E-3</v>
      </c>
      <c r="F190" s="16">
        <f>H179*F178</f>
        <v>1.0950074090245036E-2</v>
      </c>
      <c r="G190" s="16">
        <f>H179*G178</f>
        <v>6.1923932432422172E-3</v>
      </c>
      <c r="H190" s="16">
        <f>H178*H179</f>
        <v>2.3345798858178477E-3</v>
      </c>
      <c r="I190" s="16">
        <f>H179*I178</f>
        <v>6.6011593125321556E-4</v>
      </c>
      <c r="J190" s="16">
        <f>H179*J178</f>
        <v>1.4932127029498407E-4</v>
      </c>
      <c r="K190" s="16">
        <f>H179*K178</f>
        <v>2.8147633755000244E-5</v>
      </c>
      <c r="L190" s="10"/>
    </row>
    <row r="191" spans="2:12" x14ac:dyDescent="0.35">
      <c r="B191" s="8"/>
      <c r="C191" s="9"/>
      <c r="D191" s="9">
        <v>4</v>
      </c>
      <c r="E191" s="16">
        <f>E178*I179</f>
        <v>1.7356404868412861E-3</v>
      </c>
      <c r="F191" s="16">
        <f>F178*I179</f>
        <v>1.9630494432888532E-3</v>
      </c>
      <c r="G191" s="16">
        <f>I179*G178</f>
        <v>1.1101271104276399E-3</v>
      </c>
      <c r="H191" s="16">
        <f>I179*H178</f>
        <v>4.1852645994886839E-4</v>
      </c>
      <c r="I191" s="16">
        <f>I178*I179</f>
        <v>1.1834077109187213E-4</v>
      </c>
      <c r="J191" s="16">
        <f>I179*J178</f>
        <v>2.6769228601374098E-5</v>
      </c>
      <c r="K191" s="16">
        <f>I179*K178</f>
        <v>5.0461025484636965E-6</v>
      </c>
      <c r="L191" s="10"/>
    </row>
    <row r="192" spans="2:12" x14ac:dyDescent="0.35">
      <c r="B192" s="8"/>
      <c r="C192" s="9"/>
      <c r="D192" s="9">
        <v>5</v>
      </c>
      <c r="E192" s="16">
        <f>E178*J179</f>
        <v>2.4892237720865613E-4</v>
      </c>
      <c r="F192" s="16">
        <f>J179*F178</f>
        <v>2.815369529037001E-4</v>
      </c>
      <c r="G192" s="16">
        <f>J179*G178</f>
        <v>1.5921239532406322E-4</v>
      </c>
      <c r="H192" s="16">
        <f>J179*H178</f>
        <v>6.0024297730456432E-5</v>
      </c>
      <c r="I192" s="16">
        <f>J179*I178</f>
        <v>1.6972216472378213E-5</v>
      </c>
      <c r="J192" s="16">
        <f>J178*J179</f>
        <v>3.8391936982427175E-6</v>
      </c>
      <c r="K192" s="16">
        <f>J179*K178</f>
        <v>7.237027780379859E-7</v>
      </c>
      <c r="L192" s="10"/>
    </row>
    <row r="193" spans="2:12" x14ac:dyDescent="0.35">
      <c r="B193" s="8"/>
      <c r="C193" s="9"/>
      <c r="D193" s="9">
        <v>6</v>
      </c>
      <c r="E193" s="16">
        <f>E178*K179</f>
        <v>2.9749992555569733E-5</v>
      </c>
      <c r="F193" s="16">
        <f>K179*F178</f>
        <v>3.3647928108857886E-5</v>
      </c>
      <c r="G193" s="16">
        <f>K179*G178</f>
        <v>1.9028291585352077E-5</v>
      </c>
      <c r="H193" s="16">
        <f>K179*H178</f>
        <v>7.1738122970660871E-6</v>
      </c>
      <c r="I193" s="16">
        <f>K179*I178</f>
        <v>2.0284368137844198E-6</v>
      </c>
      <c r="J193" s="16">
        <f>K179*J178</f>
        <v>4.5884176916071694E-7</v>
      </c>
      <c r="K193" s="16">
        <f>K179*K178</f>
        <v>8.6493438237687377E-8</v>
      </c>
      <c r="L193" s="10"/>
    </row>
    <row r="194" spans="2:12" x14ac:dyDescent="0.35"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10"/>
    </row>
    <row r="195" spans="2:12" x14ac:dyDescent="0.35">
      <c r="B195" s="8"/>
      <c r="C195" s="9"/>
      <c r="D195" s="9"/>
      <c r="E195" s="9"/>
      <c r="F195" s="9"/>
      <c r="G195" s="9"/>
      <c r="H195" s="9"/>
      <c r="I195" s="9"/>
      <c r="J195" s="9" t="s">
        <v>87</v>
      </c>
      <c r="K195" s="16">
        <f>SUM(E187:K193)</f>
        <v>0.99981358381456753</v>
      </c>
      <c r="L195" s="10"/>
    </row>
    <row r="196" spans="2:12" ht="15" thickBot="1" x14ac:dyDescent="0.4">
      <c r="B196" s="17"/>
      <c r="C196" s="18"/>
      <c r="D196" s="18"/>
      <c r="E196" s="18"/>
      <c r="F196" s="18"/>
      <c r="G196" s="18"/>
      <c r="H196" s="18"/>
      <c r="I196" s="18"/>
      <c r="J196" s="18"/>
      <c r="K196" s="18"/>
      <c r="L196" s="19"/>
    </row>
    <row r="200" spans="2:12" ht="15" thickBot="1" x14ac:dyDescent="0.4"/>
    <row r="201" spans="2:12" x14ac:dyDescent="0.35"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7"/>
    </row>
    <row r="202" spans="2:12" x14ac:dyDescent="0.35">
      <c r="B202" s="8"/>
      <c r="C202" s="9" t="s">
        <v>94</v>
      </c>
      <c r="D202" s="9"/>
      <c r="E202" s="9"/>
      <c r="F202" s="9"/>
      <c r="G202" s="9"/>
      <c r="H202" s="9"/>
      <c r="I202" s="9"/>
      <c r="J202" s="9"/>
      <c r="K202" s="9"/>
      <c r="L202" s="10"/>
    </row>
    <row r="203" spans="2:12" x14ac:dyDescent="0.35"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10"/>
    </row>
    <row r="204" spans="2:12" x14ac:dyDescent="0.35">
      <c r="B204" s="8"/>
      <c r="C204" s="9"/>
      <c r="D204" s="9"/>
      <c r="E204" s="9"/>
      <c r="F204" s="11" t="s">
        <v>84</v>
      </c>
      <c r="G204" s="11"/>
      <c r="H204" s="9"/>
      <c r="I204" s="12" t="s">
        <v>83</v>
      </c>
      <c r="J204" s="12" t="s">
        <v>88</v>
      </c>
      <c r="K204" s="12" t="s">
        <v>82</v>
      </c>
      <c r="L204" s="10"/>
    </row>
    <row r="205" spans="2:12" x14ac:dyDescent="0.35">
      <c r="B205" s="8"/>
      <c r="C205" s="9"/>
      <c r="D205" s="9" t="s">
        <v>81</v>
      </c>
      <c r="E205" s="9" t="s">
        <v>82</v>
      </c>
      <c r="F205" s="9" t="s">
        <v>83</v>
      </c>
      <c r="G205" s="9" t="s">
        <v>82</v>
      </c>
      <c r="H205" s="9"/>
      <c r="I205" s="13">
        <f>SUM(F220:K220, G221:K221,H222:K222,I223:K223,J224:K224,K225)/K228</f>
        <v>0.39791094639028091</v>
      </c>
      <c r="J205" s="13">
        <f>SUM(E220,F221,G222,H223,I224,J225,K226)/K228</f>
        <v>0.27824205744873309</v>
      </c>
      <c r="K205" s="13">
        <f>SUM(E221:E226,F222:F226,G223:G226,H224:H226,I225:I226,J226)/K228</f>
        <v>0.32384699616098556</v>
      </c>
      <c r="L205" s="10"/>
    </row>
    <row r="206" spans="2:12" x14ac:dyDescent="0.35">
      <c r="B206" s="8"/>
      <c r="C206" s="9"/>
      <c r="D206" s="9" t="str">
        <f>Games!D12</f>
        <v>West Ham United</v>
      </c>
      <c r="E206" s="9" t="str">
        <f>Games!E12</f>
        <v>Aston Villa</v>
      </c>
      <c r="F206" s="9">
        <f>(VLOOKUP($D206,Calculator!$F$11:$V$30,10,FALSE) *VLOOKUP($E206,Calculator!$F$11:$V$30,13,FALSE))*Games!$C$3 + (VLOOKUP($D206,Calculator!$F$11:$V$30,14,FALSE) *VLOOKUP($E206,Calculator!$F$11:$V$30,17,FALSE)) *Games!$C$4</f>
        <v>1.2579100388510549</v>
      </c>
      <c r="G206" s="9">
        <f>(VLOOKUP($E206,Calculator!$F$11:$V$30,12,FALSE) *VLOOKUP($D206,Calculator!$F$11:$V$30,11,FALSE))*Games!$C$3 + (VLOOKUP($E206,Calculator!$F$11:$V$30,16,FALSE) *VLOOKUP($D206,Calculator!$F$11:$V$30,15,FALSE)) *Games!$C$4</f>
        <v>1.1057784022901542</v>
      </c>
      <c r="H206" s="9"/>
      <c r="I206" s="14"/>
      <c r="J206" s="14"/>
      <c r="K206" s="14"/>
      <c r="L206" s="10"/>
    </row>
    <row r="207" spans="2:12" x14ac:dyDescent="0.35"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10"/>
    </row>
    <row r="208" spans="2:12" x14ac:dyDescent="0.35"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10"/>
    </row>
    <row r="209" spans="2:12" x14ac:dyDescent="0.35"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10"/>
    </row>
    <row r="210" spans="2:12" x14ac:dyDescent="0.35">
      <c r="B210" s="8"/>
      <c r="C210" s="9"/>
      <c r="D210" s="9"/>
      <c r="E210" s="9">
        <v>0</v>
      </c>
      <c r="F210" s="9">
        <v>1</v>
      </c>
      <c r="G210" s="9">
        <v>2</v>
      </c>
      <c r="H210" s="9">
        <v>3</v>
      </c>
      <c r="I210" s="9">
        <v>4</v>
      </c>
      <c r="J210" s="9">
        <v>5</v>
      </c>
      <c r="K210" s="9">
        <v>6</v>
      </c>
      <c r="L210" s="10"/>
    </row>
    <row r="211" spans="2:12" x14ac:dyDescent="0.35">
      <c r="B211" s="8"/>
      <c r="C211" s="9"/>
      <c r="D211" s="9" t="s">
        <v>83</v>
      </c>
      <c r="E211" s="15">
        <f>_xlfn.POISSON.DIST(E210,$F206, FALSE)</f>
        <v>0.28424747231823788</v>
      </c>
      <c r="F211" s="15">
        <f t="shared" ref="F211" si="48">_xlfn.POISSON.DIST(F210,$F206, FALSE)</f>
        <v>0.3575577489471487</v>
      </c>
      <c r="G211" s="15">
        <f t="shared" ref="G211" si="49">_xlfn.POISSON.DIST(G210,$F206, FALSE)</f>
        <v>0.22488774093480188</v>
      </c>
      <c r="H211" s="15">
        <f t="shared" ref="H211" si="50">_xlfn.POISSON.DIST(H210,$F206, FALSE)</f>
        <v>9.4296182312140875E-2</v>
      </c>
      <c r="I211" s="15">
        <f t="shared" ref="I211" si="51">_xlfn.POISSON.DIST(I210,$F206, FALSE)</f>
        <v>2.9654028588942838E-2</v>
      </c>
      <c r="J211" s="15">
        <f t="shared" ref="J211" si="52">_xlfn.POISSON.DIST(J210,$F206, FALSE)</f>
        <v>7.460420050881468E-3</v>
      </c>
      <c r="K211" s="15">
        <f t="shared" ref="K211" si="53">_xlfn.POISSON.DIST(K210,$F206, FALSE)</f>
        <v>1.5640895460082489E-3</v>
      </c>
      <c r="L211" s="10"/>
    </row>
    <row r="212" spans="2:12" x14ac:dyDescent="0.35">
      <c r="B212" s="8"/>
      <c r="C212" s="9"/>
      <c r="D212" s="9" t="s">
        <v>82</v>
      </c>
      <c r="E212" s="15">
        <f>_xlfn.POISSON.DIST(E210,$G206, FALSE)</f>
        <v>0.330953167248703</v>
      </c>
      <c r="F212" s="15">
        <f t="shared" ref="F212:I212" si="54">_xlfn.POISSON.DIST(F210,$G206, FALSE)</f>
        <v>0.36596086451313697</v>
      </c>
      <c r="G212" s="15">
        <f t="shared" si="54"/>
        <v>0.20233581003103016</v>
      </c>
      <c r="H212" s="15">
        <f t="shared" si="54"/>
        <v>7.4579522914065541E-2</v>
      </c>
      <c r="I212" s="15">
        <f t="shared" si="54"/>
        <v>2.0617106422869347E-2</v>
      </c>
      <c r="J212" s="15">
        <f>_xlfn.POISSON.DIST(J210,$G206, FALSE)</f>
        <v>4.5595902000253067E-3</v>
      </c>
      <c r="K212" s="15">
        <f t="shared" ref="K212" si="55">_xlfn.POISSON.DIST(K210,$G206, FALSE)</f>
        <v>8.4031606108030382E-4</v>
      </c>
      <c r="L212" s="10"/>
    </row>
    <row r="213" spans="2:12" x14ac:dyDescent="0.35"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10"/>
    </row>
    <row r="214" spans="2:12" x14ac:dyDescent="0.35"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10"/>
    </row>
    <row r="215" spans="2:12" x14ac:dyDescent="0.35"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10"/>
    </row>
    <row r="216" spans="2:12" x14ac:dyDescent="0.35"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10"/>
    </row>
    <row r="217" spans="2:12" x14ac:dyDescent="0.35">
      <c r="B217" s="8"/>
      <c r="C217" s="9"/>
      <c r="D217" s="9" t="s">
        <v>86</v>
      </c>
      <c r="E217" s="9"/>
      <c r="F217" s="9"/>
      <c r="G217" s="9"/>
      <c r="H217" s="9"/>
      <c r="I217" s="9"/>
      <c r="J217" s="9"/>
      <c r="K217" s="9"/>
      <c r="L217" s="10"/>
    </row>
    <row r="218" spans="2:12" x14ac:dyDescent="0.35">
      <c r="B218" s="8"/>
      <c r="C218" s="9"/>
      <c r="D218" s="9"/>
      <c r="E218" s="9" t="s">
        <v>83</v>
      </c>
      <c r="F218" s="9"/>
      <c r="G218" s="9"/>
      <c r="H218" s="9"/>
      <c r="I218" s="9"/>
      <c r="J218" s="9"/>
      <c r="K218" s="9"/>
      <c r="L218" s="10"/>
    </row>
    <row r="219" spans="2:12" x14ac:dyDescent="0.35">
      <c r="B219" s="8"/>
      <c r="C219" s="9"/>
      <c r="D219" s="9" t="s">
        <v>82</v>
      </c>
      <c r="E219" s="9">
        <v>0</v>
      </c>
      <c r="F219" s="9">
        <v>1</v>
      </c>
      <c r="G219" s="9">
        <v>2</v>
      </c>
      <c r="H219" s="9">
        <v>3</v>
      </c>
      <c r="I219" s="9">
        <v>4</v>
      </c>
      <c r="J219" s="9">
        <v>5</v>
      </c>
      <c r="K219" s="9">
        <v>6</v>
      </c>
      <c r="L219" s="10"/>
    </row>
    <row r="220" spans="2:12" x14ac:dyDescent="0.35">
      <c r="B220" s="8"/>
      <c r="C220" s="9"/>
      <c r="D220" s="9">
        <v>0</v>
      </c>
      <c r="E220" s="16">
        <f>E211*E212</f>
        <v>9.4072601246158863E-2</v>
      </c>
      <c r="F220" s="16">
        <f>F211*E212</f>
        <v>0.11833486948837546</v>
      </c>
      <c r="G220" s="16">
        <f>G211*E212</f>
        <v>7.442731013777848E-2</v>
      </c>
      <c r="H220" s="16">
        <f>H211*E212</f>
        <v>3.1207620195664146E-2</v>
      </c>
      <c r="I220" s="16">
        <f>I211*E212</f>
        <v>9.8140946831942188E-3</v>
      </c>
      <c r="J220" s="16">
        <f>J211*E212</f>
        <v>2.4690496448449518E-3</v>
      </c>
      <c r="K220" s="16">
        <f>K211*E212</f>
        <v>5.1764038911201592E-4</v>
      </c>
      <c r="L220" s="10"/>
    </row>
    <row r="221" spans="2:12" x14ac:dyDescent="0.35">
      <c r="B221" s="8"/>
      <c r="C221" s="9"/>
      <c r="D221" s="9">
        <v>1</v>
      </c>
      <c r="E221" s="16">
        <f>E211*F212</f>
        <v>0.1040234507052563</v>
      </c>
      <c r="F221" s="16">
        <f>F211*F212</f>
        <v>0.13085214291806974</v>
      </c>
      <c r="G221" s="16">
        <f>G211*F212</f>
        <v>8.2300112090906472E-2</v>
      </c>
      <c r="H221" s="16">
        <f>H211*F212</f>
        <v>3.4508712399239451E-2</v>
      </c>
      <c r="I221" s="16">
        <f>I211*F212</f>
        <v>1.0852213938706801E-2</v>
      </c>
      <c r="J221" s="16">
        <f>F212*J211</f>
        <v>2.7302217714517234E-3</v>
      </c>
      <c r="K221" s="16">
        <f>F212*K211</f>
        <v>5.7239556243313865E-4</v>
      </c>
      <c r="L221" s="10"/>
    </row>
    <row r="222" spans="2:12" x14ac:dyDescent="0.35">
      <c r="B222" s="8"/>
      <c r="C222" s="9"/>
      <c r="D222" s="9">
        <v>2</v>
      </c>
      <c r="E222" s="16">
        <f>E211*G212</f>
        <v>5.751344256078348E-2</v>
      </c>
      <c r="F222" s="16">
        <f>G212*F211</f>
        <v>7.2346736766093059E-2</v>
      </c>
      <c r="G222" s="16">
        <f>G211*G212</f>
        <v>4.5502843228091595E-2</v>
      </c>
      <c r="H222" s="16">
        <f>G212*H211</f>
        <v>1.9079494430960721E-2</v>
      </c>
      <c r="I222" s="16">
        <f>G212*I211</f>
        <v>6.0000718952270757E-3</v>
      </c>
      <c r="J222" s="16">
        <f>J211*G212</f>
        <v>1.509510134166841E-3</v>
      </c>
      <c r="K222" s="16">
        <f>K211*G212</f>
        <v>3.1647132525264526E-4</v>
      </c>
      <c r="L222" s="10"/>
    </row>
    <row r="223" spans="2:12" x14ac:dyDescent="0.35">
      <c r="B223" s="8"/>
      <c r="C223" s="9"/>
      <c r="D223" s="9">
        <v>3</v>
      </c>
      <c r="E223" s="16">
        <f>E211*H212</f>
        <v>2.1199040875023233E-2</v>
      </c>
      <c r="F223" s="16">
        <f>H212*F211</f>
        <v>2.666648633070557E-2</v>
      </c>
      <c r="G223" s="16">
        <f>H212*G211</f>
        <v>1.6772020428139491E-2</v>
      </c>
      <c r="H223" s="16">
        <f>H211*H212</f>
        <v>7.0325642894572124E-3</v>
      </c>
      <c r="I223" s="16">
        <f>H212*I211</f>
        <v>2.2115833046434169E-3</v>
      </c>
      <c r="J223" s="16">
        <f>H212*J211</f>
        <v>5.563945681332685E-4</v>
      </c>
      <c r="K223" s="16">
        <f>H212*K211</f>
        <v>1.1664905213617256E-4</v>
      </c>
      <c r="L223" s="10"/>
    </row>
    <row r="224" spans="2:12" x14ac:dyDescent="0.35">
      <c r="B224" s="8"/>
      <c r="C224" s="9"/>
      <c r="D224" s="9">
        <v>4</v>
      </c>
      <c r="E224" s="16">
        <f>E211*I212</f>
        <v>5.860360387216719E-3</v>
      </c>
      <c r="F224" s="16">
        <f>F211*I212</f>
        <v>7.3718061623649651E-3</v>
      </c>
      <c r="G224" s="16">
        <f>I212*G211</f>
        <v>4.6365344880514815E-3</v>
      </c>
      <c r="H224" s="16">
        <f>I212*H211</f>
        <v>1.9441144259996984E-3</v>
      </c>
      <c r="I224" s="16">
        <f>I211*I212</f>
        <v>6.1138026328504461E-4</v>
      </c>
      <c r="J224" s="16">
        <f>I212*J211</f>
        <v>1.5381227414833158E-4</v>
      </c>
      <c r="K224" s="16">
        <f>I212*K211</f>
        <v>3.2247000624949472E-5</v>
      </c>
      <c r="L224" s="10"/>
    </row>
    <row r="225" spans="2:12" x14ac:dyDescent="0.35">
      <c r="B225" s="8"/>
      <c r="C225" s="9"/>
      <c r="D225" s="9">
        <v>5</v>
      </c>
      <c r="E225" s="16">
        <f>E211*J212</f>
        <v>1.296051989164202E-3</v>
      </c>
      <c r="F225" s="16">
        <f>J212*F211</f>
        <v>1.6303168080425282E-3</v>
      </c>
      <c r="G225" s="16">
        <f>J212*G211</f>
        <v>1.0253959396721527E-3</v>
      </c>
      <c r="H225" s="16">
        <f>J212*H211</f>
        <v>4.2995194877023721E-4</v>
      </c>
      <c r="I225" s="16">
        <f>J212*I211</f>
        <v>1.3521021814541403E-4</v>
      </c>
      <c r="J225" s="16">
        <f>J211*J212</f>
        <v>3.4016458152071444E-5</v>
      </c>
      <c r="K225" s="16">
        <f>J212*K211</f>
        <v>7.1316073659412425E-6</v>
      </c>
      <c r="L225" s="10"/>
    </row>
    <row r="226" spans="2:12" x14ac:dyDescent="0.35">
      <c r="B226" s="8"/>
      <c r="C226" s="9"/>
      <c r="D226" s="9">
        <v>6</v>
      </c>
      <c r="E226" s="16">
        <f>E211*K212</f>
        <v>2.3885771631049435E-4</v>
      </c>
      <c r="F226" s="16">
        <f>K212*F211</f>
        <v>3.0046151920400815E-4</v>
      </c>
      <c r="G226" s="16">
        <f>K212*G211</f>
        <v>1.889767806475805E-4</v>
      </c>
      <c r="H226" s="16">
        <f>K212*H211</f>
        <v>7.9238596495448442E-5</v>
      </c>
      <c r="I226" s="16">
        <f>K212*I211</f>
        <v>2.4918756499023165E-5</v>
      </c>
      <c r="J226" s="16">
        <f>K212*J211</f>
        <v>6.269110791161235E-6</v>
      </c>
      <c r="K226" s="16">
        <f>K212*K211</f>
        <v>1.3143295664785323E-6</v>
      </c>
      <c r="L226" s="10"/>
    </row>
    <row r="227" spans="2:12" x14ac:dyDescent="0.35"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10"/>
    </row>
    <row r="228" spans="2:12" x14ac:dyDescent="0.35">
      <c r="B228" s="8"/>
      <c r="C228" s="9"/>
      <c r="D228" s="9"/>
      <c r="E228" s="9"/>
      <c r="F228" s="9"/>
      <c r="G228" s="9"/>
      <c r="H228" s="9"/>
      <c r="I228" s="9"/>
      <c r="J228" s="9" t="s">
        <v>87</v>
      </c>
      <c r="K228" s="16">
        <f>SUM(E220:K226)</f>
        <v>0.9995141111405238</v>
      </c>
      <c r="L228" s="10"/>
    </row>
    <row r="229" spans="2:12" ht="15" thickBot="1" x14ac:dyDescent="0.4">
      <c r="B229" s="17"/>
      <c r="C229" s="18"/>
      <c r="D229" s="18"/>
      <c r="E229" s="18"/>
      <c r="F229" s="18"/>
      <c r="G229" s="18"/>
      <c r="H229" s="18"/>
      <c r="I229" s="18"/>
      <c r="J229" s="18"/>
      <c r="K229" s="18"/>
      <c r="L229" s="19"/>
    </row>
    <row r="233" spans="2:12" ht="15" thickBot="1" x14ac:dyDescent="0.4"/>
    <row r="234" spans="2:12" x14ac:dyDescent="0.35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7"/>
    </row>
    <row r="235" spans="2:12" x14ac:dyDescent="0.35">
      <c r="B235" s="8"/>
      <c r="C235" s="9" t="s">
        <v>95</v>
      </c>
      <c r="D235" s="9"/>
      <c r="E235" s="9"/>
      <c r="F235" s="9"/>
      <c r="G235" s="9"/>
      <c r="H235" s="9"/>
      <c r="I235" s="9"/>
      <c r="J235" s="9"/>
      <c r="K235" s="9"/>
      <c r="L235" s="10"/>
    </row>
    <row r="236" spans="2:12" x14ac:dyDescent="0.35"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10"/>
    </row>
    <row r="237" spans="2:12" x14ac:dyDescent="0.35">
      <c r="B237" s="8"/>
      <c r="C237" s="9"/>
      <c r="D237" s="9"/>
      <c r="E237" s="9"/>
      <c r="F237" s="11" t="s">
        <v>84</v>
      </c>
      <c r="G237" s="11"/>
      <c r="H237" s="9"/>
      <c r="I237" s="12" t="s">
        <v>83</v>
      </c>
      <c r="J237" s="12" t="s">
        <v>88</v>
      </c>
      <c r="K237" s="12" t="s">
        <v>82</v>
      </c>
      <c r="L237" s="10"/>
    </row>
    <row r="238" spans="2:12" x14ac:dyDescent="0.35">
      <c r="B238" s="8"/>
      <c r="C238" s="9"/>
      <c r="D238" s="9" t="s">
        <v>81</v>
      </c>
      <c r="E238" s="9" t="s">
        <v>82</v>
      </c>
      <c r="F238" s="9" t="s">
        <v>83</v>
      </c>
      <c r="G238" s="9" t="s">
        <v>82</v>
      </c>
      <c r="H238" s="9"/>
      <c r="I238" s="13">
        <f>SUM(F253:K253, G254:K254,H255:K255,I256:K256,J257:K257,K258)/K261</f>
        <v>0.10831937274672251</v>
      </c>
      <c r="J238" s="13">
        <f>SUM(E253,F254,G255,H256,I257,J258,K259)/K261</f>
        <v>0.23555349894258462</v>
      </c>
      <c r="K238" s="13">
        <f>SUM(E254:E259,F255:F259,G256:G259,H257:H259,I258:I259,J259)/K261</f>
        <v>0.65612712831069275</v>
      </c>
      <c r="L238" s="10"/>
    </row>
    <row r="239" spans="2:12" x14ac:dyDescent="0.35">
      <c r="B239" s="8"/>
      <c r="C239" s="9"/>
      <c r="D239" s="9" t="str">
        <f>Games!D13</f>
        <v>Newcastle</v>
      </c>
      <c r="E239" s="9" t="str">
        <f>Games!E13</f>
        <v>Liverpool</v>
      </c>
      <c r="F239" s="9">
        <f>(VLOOKUP($D239,Calculator!$F$11:$V$30,10,FALSE) *VLOOKUP($E239,Calculator!$F$11:$V$30,13,FALSE))*Games!$C$3 + (VLOOKUP($D239,Calculator!$F$11:$V$30,14,FALSE) *VLOOKUP($E239,Calculator!$F$11:$V$30,17,FALSE)) *Games!$C$4</f>
        <v>0.49747055914425309</v>
      </c>
      <c r="G239" s="9">
        <f>(VLOOKUP($E239,Calculator!$F$11:$V$30,12,FALSE) *VLOOKUP($D239,Calculator!$F$11:$V$30,11,FALSE))*Games!$C$3 + (VLOOKUP($E239,Calculator!$F$11:$V$30,16,FALSE) *VLOOKUP($D239,Calculator!$F$11:$V$30,15,FALSE)) *Games!$C$4</f>
        <v>1.6433318505948089</v>
      </c>
      <c r="H239" s="9"/>
      <c r="I239" s="14"/>
      <c r="J239" s="14"/>
      <c r="K239" s="14"/>
      <c r="L239" s="10"/>
    </row>
    <row r="240" spans="2:12" x14ac:dyDescent="0.35"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10"/>
    </row>
    <row r="241" spans="2:12" x14ac:dyDescent="0.35"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10"/>
    </row>
    <row r="242" spans="2:12" x14ac:dyDescent="0.35"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10"/>
    </row>
    <row r="243" spans="2:12" x14ac:dyDescent="0.35">
      <c r="B243" s="8"/>
      <c r="C243" s="9"/>
      <c r="D243" s="9"/>
      <c r="E243" s="9">
        <v>0</v>
      </c>
      <c r="F243" s="9">
        <v>1</v>
      </c>
      <c r="G243" s="9">
        <v>2</v>
      </c>
      <c r="H243" s="9">
        <v>3</v>
      </c>
      <c r="I243" s="9">
        <v>4</v>
      </c>
      <c r="J243" s="9">
        <v>5</v>
      </c>
      <c r="K243" s="9">
        <v>6</v>
      </c>
      <c r="L243" s="10"/>
    </row>
    <row r="244" spans="2:12" x14ac:dyDescent="0.35">
      <c r="B244" s="8"/>
      <c r="C244" s="9"/>
      <c r="D244" s="9" t="s">
        <v>83</v>
      </c>
      <c r="E244" s="15">
        <f>_xlfn.POISSON.DIST(E243,$F239, FALSE)</f>
        <v>0.60806678509370304</v>
      </c>
      <c r="F244" s="15">
        <f t="shared" ref="F244" si="56">_xlfn.POISSON.DIST(F243,$F239, FALSE)</f>
        <v>0.30249532357761283</v>
      </c>
      <c r="G244" s="15">
        <f t="shared" ref="G244" si="57">_xlfn.POISSON.DIST(G243,$F239, FALSE)</f>
        <v>7.5241258879338399E-2</v>
      </c>
      <c r="H244" s="15">
        <f t="shared" ref="H244" si="58">_xlfn.POISSON.DIST(H243,$F239, FALSE)</f>
        <v>1.2476770375140658E-2</v>
      </c>
      <c r="I244" s="15">
        <f t="shared" ref="I244" si="59">_xlfn.POISSON.DIST(I243,$F239, FALSE)</f>
        <v>1.5517064837089188E-3</v>
      </c>
      <c r="J244" s="15">
        <f t="shared" ref="J244" si="60">_xlfn.POISSON.DIST(J243,$F239, FALSE)</f>
        <v>1.5438565841568777E-4</v>
      </c>
      <c r="K244" s="15">
        <f t="shared" ref="K244" si="61">_xlfn.POISSON.DIST(K243,$F239, FALSE)</f>
        <v>1.2800386635984306E-5</v>
      </c>
      <c r="L244" s="10"/>
    </row>
    <row r="245" spans="2:12" x14ac:dyDescent="0.35">
      <c r="B245" s="8"/>
      <c r="C245" s="9"/>
      <c r="D245" s="9" t="s">
        <v>82</v>
      </c>
      <c r="E245" s="15">
        <f>_xlfn.POISSON.DIST(E243,$G239, FALSE)</f>
        <v>0.19333480528516478</v>
      </c>
      <c r="F245" s="15">
        <f t="shared" ref="F245:I245" si="62">_xlfn.POISSON.DIST(F243,$G239, FALSE)</f>
        <v>0.31771324335365686</v>
      </c>
      <c r="G245" s="15">
        <f t="shared" si="62"/>
        <v>0.26105414607942196</v>
      </c>
      <c r="H245" s="15">
        <f t="shared" si="62"/>
        <v>0.14299953099404805</v>
      </c>
      <c r="I245" s="15">
        <f t="shared" si="62"/>
        <v>5.8748920975659674E-2</v>
      </c>
      <c r="J245" s="15">
        <f>_xlfn.POISSON.DIST(J243,$G239, FALSE)</f>
        <v>1.9308794605475806E-2</v>
      </c>
      <c r="K245" s="15">
        <f t="shared" ref="K245" si="63">_xlfn.POISSON.DIST(K243,$G239, FALSE)</f>
        <v>5.2884595286286059E-3</v>
      </c>
      <c r="L245" s="10"/>
    </row>
    <row r="246" spans="2:12" x14ac:dyDescent="0.35"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10"/>
    </row>
    <row r="247" spans="2:12" x14ac:dyDescent="0.35"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10"/>
    </row>
    <row r="248" spans="2:12" x14ac:dyDescent="0.35"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10"/>
    </row>
    <row r="249" spans="2:12" x14ac:dyDescent="0.35"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10"/>
    </row>
    <row r="250" spans="2:12" x14ac:dyDescent="0.35">
      <c r="B250" s="8"/>
      <c r="C250" s="9"/>
      <c r="D250" s="9" t="s">
        <v>86</v>
      </c>
      <c r="E250" s="9"/>
      <c r="F250" s="9"/>
      <c r="G250" s="9"/>
      <c r="H250" s="9"/>
      <c r="I250" s="9"/>
      <c r="J250" s="9"/>
      <c r="K250" s="9"/>
      <c r="L250" s="10"/>
    </row>
    <row r="251" spans="2:12" x14ac:dyDescent="0.35">
      <c r="B251" s="8"/>
      <c r="C251" s="9"/>
      <c r="D251" s="9"/>
      <c r="E251" s="9" t="s">
        <v>83</v>
      </c>
      <c r="F251" s="9"/>
      <c r="G251" s="9"/>
      <c r="H251" s="9"/>
      <c r="I251" s="9"/>
      <c r="J251" s="9"/>
      <c r="K251" s="9"/>
      <c r="L251" s="10"/>
    </row>
    <row r="252" spans="2:12" x14ac:dyDescent="0.35">
      <c r="B252" s="8"/>
      <c r="C252" s="9"/>
      <c r="D252" s="9" t="s">
        <v>82</v>
      </c>
      <c r="E252" s="9">
        <v>0</v>
      </c>
      <c r="F252" s="9">
        <v>1</v>
      </c>
      <c r="G252" s="9">
        <v>2</v>
      </c>
      <c r="H252" s="9">
        <v>3</v>
      </c>
      <c r="I252" s="9">
        <v>4</v>
      </c>
      <c r="J252" s="9">
        <v>5</v>
      </c>
      <c r="K252" s="9">
        <v>6</v>
      </c>
      <c r="L252" s="10"/>
    </row>
    <row r="253" spans="2:12" x14ac:dyDescent="0.35">
      <c r="B253" s="8"/>
      <c r="C253" s="9"/>
      <c r="D253" s="9">
        <v>0</v>
      </c>
      <c r="E253" s="16">
        <f>E244*E245</f>
        <v>0.11756047349646721</v>
      </c>
      <c r="F253" s="16">
        <f>F244*E245</f>
        <v>5.848287448355069E-2</v>
      </c>
      <c r="G253" s="16">
        <f>G244*E245</f>
        <v>1.4546754134847566E-2</v>
      </c>
      <c r="H253" s="16">
        <f>H244*E245</f>
        <v>2.4121939710655313E-3</v>
      </c>
      <c r="I253" s="16">
        <f>I244*E245</f>
        <v>2.9999887088759153E-4</v>
      </c>
      <c r="J253" s="16">
        <f>J244*E245</f>
        <v>2.9848121208618957E-5</v>
      </c>
      <c r="K253" s="16">
        <f>K244*E245</f>
        <v>2.4747602578428513E-6</v>
      </c>
      <c r="L253" s="10"/>
    </row>
    <row r="254" spans="2:12" x14ac:dyDescent="0.35">
      <c r="B254" s="8"/>
      <c r="C254" s="9"/>
      <c r="D254" s="9">
        <v>1</v>
      </c>
      <c r="E254" s="16">
        <f>E244*F245</f>
        <v>0.19319087046775144</v>
      </c>
      <c r="F254" s="16">
        <f>F244*F245</f>
        <v>9.6106770353157275E-2</v>
      </c>
      <c r="G254" s="16">
        <f>G244*F245</f>
        <v>2.3905144392566736E-2</v>
      </c>
      <c r="H254" s="16">
        <f>H244*F245</f>
        <v>3.9640351824647606E-3</v>
      </c>
      <c r="I254" s="16">
        <f>I244*F245</f>
        <v>4.9299769967205891E-4</v>
      </c>
      <c r="J254" s="16">
        <f>F245*J244</f>
        <v>4.905036826253795E-5</v>
      </c>
      <c r="K254" s="16">
        <f>F245*K244</f>
        <v>4.0668523542993784E-6</v>
      </c>
      <c r="L254" s="10"/>
    </row>
    <row r="255" spans="2:12" x14ac:dyDescent="0.35">
      <c r="B255" s="8"/>
      <c r="C255" s="9"/>
      <c r="D255" s="9">
        <v>2</v>
      </c>
      <c r="E255" s="16">
        <f>E244*G245</f>
        <v>0.15873835534189604</v>
      </c>
      <c r="F255" s="16">
        <f>G245*F244</f>
        <v>7.8967658389572148E-2</v>
      </c>
      <c r="G255" s="16">
        <f>G244*G245</f>
        <v>1.964204258668641E-2</v>
      </c>
      <c r="H255" s="16">
        <f>G245*H244</f>
        <v>3.2571126361113736E-3</v>
      </c>
      <c r="I255" s="16">
        <f>G245*I244</f>
        <v>4.0507941107053425E-4</v>
      </c>
      <c r="J255" s="16">
        <f>J244*G245</f>
        <v>4.0303016224616692E-5</v>
      </c>
      <c r="K255" s="16">
        <f>K244*G245</f>
        <v>3.3415940027433277E-6</v>
      </c>
      <c r="L255" s="10"/>
    </row>
    <row r="256" spans="2:12" x14ac:dyDescent="0.35">
      <c r="B256" s="8"/>
      <c r="C256" s="9"/>
      <c r="D256" s="9">
        <v>3</v>
      </c>
      <c r="E256" s="16">
        <f>E244*H245</f>
        <v>8.6953265081458148E-2</v>
      </c>
      <c r="F256" s="16">
        <f>H245*F244</f>
        <v>4.3256689399491441E-2</v>
      </c>
      <c r="G256" s="16">
        <f>H245*G244</f>
        <v>1.0759464731147144E-2</v>
      </c>
      <c r="H256" s="16">
        <f>H244*H245</f>
        <v>1.784172311965547E-3</v>
      </c>
      <c r="I256" s="16">
        <f>H245*I244</f>
        <v>2.2189329941079886E-4</v>
      </c>
      <c r="J256" s="16">
        <f>H245*J244</f>
        <v>2.2077076745650659E-5</v>
      </c>
      <c r="K256" s="16">
        <f>H245*K244</f>
        <v>1.8304492854882362E-6</v>
      </c>
      <c r="L256" s="10"/>
    </row>
    <row r="257" spans="2:12" x14ac:dyDescent="0.35">
      <c r="B257" s="8"/>
      <c r="C257" s="9"/>
      <c r="D257" s="9">
        <v>4</v>
      </c>
      <c r="E257" s="16">
        <f>E244*I245</f>
        <v>3.5723267505393397E-2</v>
      </c>
      <c r="F257" s="16">
        <f>F244*I245</f>
        <v>1.7771273860367778E-2</v>
      </c>
      <c r="G257" s="16">
        <f>I245*G244</f>
        <v>4.4203427720114034E-3</v>
      </c>
      <c r="H257" s="16">
        <f>I245*H244</f>
        <v>7.3299679680059022E-4</v>
      </c>
      <c r="I257" s="16">
        <f>I244*I245</f>
        <v>9.1161081588834013E-5</v>
      </c>
      <c r="J257" s="16">
        <f>I245*J244</f>
        <v>9.0699908460384278E-6</v>
      </c>
      <c r="K257" s="16">
        <f>I245*K244</f>
        <v>7.5200890293533217E-7</v>
      </c>
      <c r="L257" s="10"/>
    </row>
    <row r="258" spans="2:12" x14ac:dyDescent="0.35">
      <c r="B258" s="8"/>
      <c r="C258" s="9"/>
      <c r="D258" s="9">
        <v>5</v>
      </c>
      <c r="E258" s="16">
        <f>E244*J245</f>
        <v>1.1741036659786309E-2</v>
      </c>
      <c r="F258" s="16">
        <f>J245*F244</f>
        <v>5.8408200720770692E-3</v>
      </c>
      <c r="G258" s="16">
        <f>J245*G244</f>
        <v>1.4528180135585779E-3</v>
      </c>
      <c r="H258" s="16">
        <f>J245*H244</f>
        <v>2.4091139651327627E-4</v>
      </c>
      <c r="I258" s="16">
        <f>J245*I244</f>
        <v>2.9961581781920602E-5</v>
      </c>
      <c r="J258" s="16">
        <f>J244*J245</f>
        <v>2.9810009683796622E-6</v>
      </c>
      <c r="K258" s="16">
        <f>J245*K244</f>
        <v>2.4716003642489838E-7</v>
      </c>
      <c r="L258" s="10"/>
    </row>
    <row r="259" spans="2:12" x14ac:dyDescent="0.35">
      <c r="B259" s="8"/>
      <c r="C259" s="9"/>
      <c r="D259" s="9">
        <v>6</v>
      </c>
      <c r="E259" s="16">
        <f>E244*K245</f>
        <v>3.2157365836713568E-3</v>
      </c>
      <c r="F259" s="16">
        <f>K245*F244</f>
        <v>1.59973427633962E-3</v>
      </c>
      <c r="G259" s="16">
        <f>K245*G244</f>
        <v>3.9791035246644884E-4</v>
      </c>
      <c r="H259" s="16">
        <f>K245*H244</f>
        <v>6.5982895176923723E-5</v>
      </c>
      <c r="I259" s="16">
        <f>K245*I244</f>
        <v>8.2061369394052201E-6</v>
      </c>
      <c r="J259" s="16">
        <f>K245*J244</f>
        <v>8.1646230633204506E-7</v>
      </c>
      <c r="K259" s="16">
        <f>K245*K244</f>
        <v>6.7694326675201463E-8</v>
      </c>
      <c r="L259" s="10"/>
    </row>
    <row r="260" spans="2:12" x14ac:dyDescent="0.35"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10"/>
    </row>
    <row r="261" spans="2:12" x14ac:dyDescent="0.35">
      <c r="B261" s="8"/>
      <c r="C261" s="9"/>
      <c r="D261" s="9"/>
      <c r="E261" s="9"/>
      <c r="F261" s="9"/>
      <c r="G261" s="9"/>
      <c r="H261" s="9"/>
      <c r="I261" s="9"/>
      <c r="J261" s="9" t="s">
        <v>87</v>
      </c>
      <c r="K261" s="16">
        <f>SUM(E253:K259)</f>
        <v>0.99844693278144225</v>
      </c>
      <c r="L261" s="10"/>
    </row>
    <row r="262" spans="2:12" ht="15" thickBot="1" x14ac:dyDescent="0.4">
      <c r="B262" s="17"/>
      <c r="C262" s="18"/>
      <c r="D262" s="18"/>
      <c r="E262" s="18"/>
      <c r="F262" s="18"/>
      <c r="G262" s="18"/>
      <c r="H262" s="18"/>
      <c r="I262" s="18"/>
      <c r="J262" s="18"/>
      <c r="K262" s="18"/>
      <c r="L262" s="19"/>
    </row>
    <row r="266" spans="2:12" ht="15" thickBot="1" x14ac:dyDescent="0.4"/>
    <row r="267" spans="2:12" x14ac:dyDescent="0.35"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7"/>
    </row>
    <row r="268" spans="2:12" x14ac:dyDescent="0.35">
      <c r="B268" s="8"/>
      <c r="C268" s="9" t="s">
        <v>96</v>
      </c>
      <c r="D268" s="9"/>
      <c r="E268" s="9"/>
      <c r="F268" s="9"/>
      <c r="G268" s="9"/>
      <c r="H268" s="9"/>
      <c r="I268" s="9"/>
      <c r="J268" s="9"/>
      <c r="K268" s="9"/>
      <c r="L268" s="10"/>
    </row>
    <row r="269" spans="2:12" x14ac:dyDescent="0.35"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10"/>
    </row>
    <row r="270" spans="2:12" x14ac:dyDescent="0.35">
      <c r="B270" s="8"/>
      <c r="C270" s="9"/>
      <c r="D270" s="9"/>
      <c r="E270" s="9"/>
      <c r="F270" s="11" t="s">
        <v>84</v>
      </c>
      <c r="G270" s="11"/>
      <c r="H270" s="9"/>
      <c r="I270" s="12" t="s">
        <v>83</v>
      </c>
      <c r="J270" s="12" t="s">
        <v>88</v>
      </c>
      <c r="K270" s="12" t="s">
        <v>82</v>
      </c>
      <c r="L270" s="10"/>
    </row>
    <row r="271" spans="2:12" x14ac:dyDescent="0.35">
      <c r="B271" s="8"/>
      <c r="C271" s="9"/>
      <c r="D271" s="9" t="s">
        <v>81</v>
      </c>
      <c r="E271" s="9" t="s">
        <v>82</v>
      </c>
      <c r="F271" s="9" t="s">
        <v>83</v>
      </c>
      <c r="G271" s="9" t="s">
        <v>82</v>
      </c>
      <c r="H271" s="9"/>
      <c r="I271" s="13">
        <f>SUM(F286:K286, G287:K287,H288:K288,I289:K289,J290:K290,K291)/K294</f>
        <v>0.24500074711918746</v>
      </c>
      <c r="J271" s="13">
        <f>SUM(E286,F287,G288,H289,I290,J291,K292)/K294</f>
        <v>0.34452976060681006</v>
      </c>
      <c r="K271" s="13">
        <f>SUM(E287:E292,F288:F292,G289:G292,H290:H292,I291:I292,J292)/K294</f>
        <v>0.41046949227400287</v>
      </c>
      <c r="L271" s="10"/>
    </row>
    <row r="272" spans="2:12" x14ac:dyDescent="0.35">
      <c r="B272" s="8"/>
      <c r="C272" s="9"/>
      <c r="D272" s="9" t="str">
        <f>Games!D14</f>
        <v>Crystal Palace</v>
      </c>
      <c r="E272" s="9" t="str">
        <f>Games!E14</f>
        <v>Tottenham Hotspur</v>
      </c>
      <c r="F272" s="9">
        <f>(VLOOKUP($D272,Calculator!$F$11:$V$30,10,FALSE) *VLOOKUP($E272,Calculator!$F$11:$V$30,13,FALSE))*Games!$C$3 + (VLOOKUP($D272,Calculator!$F$11:$V$30,14,FALSE) *VLOOKUP($E272,Calculator!$F$11:$V$30,17,FALSE)) *Games!$C$4</f>
        <v>0.66553428780890678</v>
      </c>
      <c r="G272" s="9">
        <f>(VLOOKUP($E272,Calculator!$F$11:$V$30,12,FALSE) *VLOOKUP($D272,Calculator!$F$11:$V$30,11,FALSE))*Games!$C$3 + (VLOOKUP($E272,Calculator!$F$11:$V$30,16,FALSE) *VLOOKUP($D272,Calculator!$F$11:$V$30,15,FALSE)) *Games!$C$4</f>
        <v>0.95767132908893959</v>
      </c>
      <c r="H272" s="9"/>
      <c r="I272" s="14"/>
      <c r="J272" s="14"/>
      <c r="K272" s="14"/>
      <c r="L272" s="10"/>
    </row>
    <row r="273" spans="2:12" x14ac:dyDescent="0.35"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10"/>
    </row>
    <row r="274" spans="2:12" x14ac:dyDescent="0.35"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10"/>
    </row>
    <row r="275" spans="2:12" x14ac:dyDescent="0.35"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10"/>
    </row>
    <row r="276" spans="2:12" x14ac:dyDescent="0.35">
      <c r="B276" s="8"/>
      <c r="C276" s="9"/>
      <c r="D276" s="9"/>
      <c r="E276" s="9">
        <v>0</v>
      </c>
      <c r="F276" s="9">
        <v>1</v>
      </c>
      <c r="G276" s="9">
        <v>2</v>
      </c>
      <c r="H276" s="9">
        <v>3</v>
      </c>
      <c r="I276" s="9">
        <v>4</v>
      </c>
      <c r="J276" s="9">
        <v>5</v>
      </c>
      <c r="K276" s="9">
        <v>6</v>
      </c>
      <c r="L276" s="10"/>
    </row>
    <row r="277" spans="2:12" x14ac:dyDescent="0.35">
      <c r="B277" s="8"/>
      <c r="C277" s="9"/>
      <c r="D277" s="9" t="s">
        <v>83</v>
      </c>
      <c r="E277" s="15">
        <f>_xlfn.POISSON.DIST(E276,$F272, FALSE)</f>
        <v>0.51399883102041477</v>
      </c>
      <c r="F277" s="15">
        <f t="shared" ref="F277" si="64">_xlfn.POISSON.DIST(F276,$F272, FALSE)</f>
        <v>0.34208384593778235</v>
      </c>
      <c r="G277" s="15">
        <f t="shared" ref="G277" si="65">_xlfn.POISSON.DIST(G276,$F272, FALSE)</f>
        <v>0.11383426438856688</v>
      </c>
      <c r="H277" s="15">
        <f t="shared" ref="H277" si="66">_xlfn.POISSON.DIST(H276,$F272, FALSE)</f>
        <v>2.5253535359365226E-2</v>
      </c>
      <c r="I277" s="15">
        <f t="shared" ref="I277" si="67">_xlfn.POISSON.DIST(I276,$F272, FALSE)</f>
        <v>4.2017734175130439E-3</v>
      </c>
      <c r="J277" s="15">
        <f t="shared" ref="J277" si="68">_xlfn.POISSON.DIST(J276,$F272, FALSE)</f>
        <v>5.5928485579178808E-4</v>
      </c>
      <c r="K277" s="15">
        <f t="shared" ref="K277" si="69">_xlfn.POISSON.DIST(K276,$F272, FALSE)</f>
        <v>6.203720803028247E-5</v>
      </c>
      <c r="L277" s="10"/>
    </row>
    <row r="278" spans="2:12" x14ac:dyDescent="0.35">
      <c r="B278" s="8"/>
      <c r="C278" s="9"/>
      <c r="D278" s="9" t="s">
        <v>82</v>
      </c>
      <c r="E278" s="15">
        <f>_xlfn.POISSON.DIST(E276,$G272, FALSE)</f>
        <v>0.38378555646524509</v>
      </c>
      <c r="F278" s="15">
        <f t="shared" ref="F278:I278" si="70">_xlfn.POISSON.DIST(F276,$G272, FALSE)</f>
        <v>0.36754042394520947</v>
      </c>
      <c r="G278" s="15">
        <f t="shared" si="70"/>
        <v>0.17599146314676054</v>
      </c>
      <c r="H278" s="15">
        <f t="shared" si="70"/>
        <v>5.6180659473355113E-2</v>
      </c>
      <c r="I278" s="15">
        <f t="shared" si="70"/>
        <v>1.3450651706735274E-2</v>
      </c>
      <c r="J278" s="15">
        <f>_xlfn.POISSON.DIST(J276,$G272, FALSE)</f>
        <v>2.5762606994203176E-3</v>
      </c>
      <c r="K278" s="15">
        <f t="shared" ref="K278" si="71">_xlfn.POISSON.DIST(K276,$G272, FALSE)</f>
        <v>4.1120183468224268E-4</v>
      </c>
      <c r="L278" s="10"/>
    </row>
    <row r="279" spans="2:12" x14ac:dyDescent="0.35"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10"/>
    </row>
    <row r="280" spans="2:12" x14ac:dyDescent="0.35"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10"/>
    </row>
    <row r="281" spans="2:12" x14ac:dyDescent="0.35"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10"/>
    </row>
    <row r="282" spans="2:12" x14ac:dyDescent="0.35"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10"/>
    </row>
    <row r="283" spans="2:12" x14ac:dyDescent="0.35">
      <c r="B283" s="8"/>
      <c r="C283" s="9"/>
      <c r="D283" s="9" t="s">
        <v>86</v>
      </c>
      <c r="E283" s="9"/>
      <c r="F283" s="9"/>
      <c r="G283" s="9"/>
      <c r="H283" s="9"/>
      <c r="I283" s="9"/>
      <c r="J283" s="9"/>
      <c r="K283" s="9"/>
      <c r="L283" s="10"/>
    </row>
    <row r="284" spans="2:12" x14ac:dyDescent="0.35">
      <c r="B284" s="8"/>
      <c r="C284" s="9"/>
      <c r="D284" s="9"/>
      <c r="E284" s="9" t="s">
        <v>83</v>
      </c>
      <c r="F284" s="9"/>
      <c r="G284" s="9"/>
      <c r="H284" s="9"/>
      <c r="I284" s="9"/>
      <c r="J284" s="9"/>
      <c r="K284" s="9"/>
      <c r="L284" s="10"/>
    </row>
    <row r="285" spans="2:12" x14ac:dyDescent="0.35">
      <c r="B285" s="8"/>
      <c r="C285" s="9"/>
      <c r="D285" s="9" t="s">
        <v>82</v>
      </c>
      <c r="E285" s="9">
        <v>0</v>
      </c>
      <c r="F285" s="9">
        <v>1</v>
      </c>
      <c r="G285" s="9">
        <v>2</v>
      </c>
      <c r="H285" s="9">
        <v>3</v>
      </c>
      <c r="I285" s="9">
        <v>4</v>
      </c>
      <c r="J285" s="9">
        <v>5</v>
      </c>
      <c r="K285" s="9">
        <v>6</v>
      </c>
      <c r="L285" s="10"/>
    </row>
    <row r="286" spans="2:12" x14ac:dyDescent="0.35">
      <c r="B286" s="8"/>
      <c r="C286" s="9"/>
      <c r="D286" s="9">
        <v>0</v>
      </c>
      <c r="E286" s="16">
        <f>E277*E278</f>
        <v>0.19726532738565536</v>
      </c>
      <c r="F286" s="16">
        <f>F277*E278</f>
        <v>0.13128683917100298</v>
      </c>
      <c r="G286" s="16">
        <f>G277*E278</f>
        <v>4.368794650317797E-2</v>
      </c>
      <c r="H286" s="16">
        <f>H277*E278</f>
        <v>9.6919421206087264E-3</v>
      </c>
      <c r="I286" s="16">
        <f>I277*E278</f>
        <v>1.6125799491811181E-3</v>
      </c>
      <c r="J286" s="16">
        <f>J277*E278</f>
        <v>2.1464544960263574E-4</v>
      </c>
      <c r="K286" s="16">
        <f>K277*E278</f>
        <v>2.3808984405452129E-5</v>
      </c>
      <c r="L286" s="10"/>
    </row>
    <row r="287" spans="2:12" x14ac:dyDescent="0.35">
      <c r="B287" s="8"/>
      <c r="C287" s="9"/>
      <c r="D287" s="9">
        <v>1</v>
      </c>
      <c r="E287" s="16">
        <f>E277*F278</f>
        <v>0.18891534826058534</v>
      </c>
      <c r="F287" s="16">
        <f>F277*F278</f>
        <v>0.12572964176078025</v>
      </c>
      <c r="G287" s="16">
        <f>G277*F278</f>
        <v>4.183869379286493E-2</v>
      </c>
      <c r="H287" s="16">
        <f>H277*F278</f>
        <v>9.2816950920964324E-3</v>
      </c>
      <c r="I287" s="16">
        <f>I277*F278</f>
        <v>1.5443215831944558E-3</v>
      </c>
      <c r="J287" s="16">
        <f>F278*J277</f>
        <v>2.0555979300384913E-4</v>
      </c>
      <c r="K287" s="16">
        <f>F278*K277</f>
        <v>2.2801181739827171E-5</v>
      </c>
      <c r="L287" s="10"/>
    </row>
    <row r="288" spans="2:12" x14ac:dyDescent="0.35">
      <c r="B288" s="8"/>
      <c r="C288" s="9"/>
      <c r="D288" s="9">
        <v>2</v>
      </c>
      <c r="E288" s="16">
        <f>E277*G278</f>
        <v>9.0459406327007316E-2</v>
      </c>
      <c r="F288" s="16">
        <f>G278*F277</f>
        <v>6.0203836565461334E-2</v>
      </c>
      <c r="G288" s="16">
        <f>G277*G278</f>
        <v>2.0033858745979061E-2</v>
      </c>
      <c r="H288" s="16">
        <f>G278*H277</f>
        <v>4.444406637523139E-3</v>
      </c>
      <c r="I288" s="16">
        <f>G278*I277</f>
        <v>7.3947625155928488E-4</v>
      </c>
      <c r="J288" s="16">
        <f>J277*G278</f>
        <v>9.842936008662175E-5</v>
      </c>
      <c r="K288" s="16">
        <f>K277*G278</f>
        <v>1.0918019010789373E-5</v>
      </c>
      <c r="L288" s="10"/>
    </row>
    <row r="289" spans="2:12" x14ac:dyDescent="0.35">
      <c r="B289" s="8"/>
      <c r="C289" s="9"/>
      <c r="D289" s="9">
        <v>3</v>
      </c>
      <c r="E289" s="16">
        <f>E277*H278</f>
        <v>2.8876793295260519E-2</v>
      </c>
      <c r="F289" s="16">
        <f>H278*F277</f>
        <v>1.9218496059966225E-2</v>
      </c>
      <c r="G289" s="16">
        <f>H278*G277</f>
        <v>6.3952840440139507E-3</v>
      </c>
      <c r="H289" s="16">
        <f>H277*H278</f>
        <v>1.4187602705228303E-3</v>
      </c>
      <c r="I289" s="16">
        <f>H278*I277</f>
        <v>2.3605840155349587E-4</v>
      </c>
      <c r="J289" s="16">
        <f>H278*J277</f>
        <v>3.1420992031842965E-5</v>
      </c>
      <c r="K289" s="16">
        <f>H278*K277</f>
        <v>3.4852912590269908E-6</v>
      </c>
      <c r="L289" s="10"/>
    </row>
    <row r="290" spans="2:12" x14ac:dyDescent="0.35">
      <c r="B290" s="8"/>
      <c r="C290" s="9"/>
      <c r="D290" s="9">
        <v>4</v>
      </c>
      <c r="E290" s="16">
        <f>E277*I278</f>
        <v>6.9136192537246777E-3</v>
      </c>
      <c r="F290" s="16">
        <f>F277*I278</f>
        <v>4.6012506662095982E-3</v>
      </c>
      <c r="G290" s="16">
        <f>I278*G277</f>
        <v>1.5311450425830315E-3</v>
      </c>
      <c r="H290" s="16">
        <f>I278*H277</f>
        <v>3.3967650848254548E-4</v>
      </c>
      <c r="I290" s="16">
        <f>I277*I278</f>
        <v>5.6516590789586725E-5</v>
      </c>
      <c r="J290" s="16">
        <f>I278*J277</f>
        <v>7.5227458001070058E-6</v>
      </c>
      <c r="K290" s="16">
        <f>I278*K277</f>
        <v>8.3444087807361008E-7</v>
      </c>
      <c r="L290" s="10"/>
    </row>
    <row r="291" spans="2:12" x14ac:dyDescent="0.35">
      <c r="B291" s="8"/>
      <c r="C291" s="9"/>
      <c r="D291" s="9">
        <v>5</v>
      </c>
      <c r="E291" s="16">
        <f>E277*J278</f>
        <v>1.3241949879058794E-3</v>
      </c>
      <c r="F291" s="16">
        <f>J278*F277</f>
        <v>8.8129716819606338E-4</v>
      </c>
      <c r="G291" s="16">
        <f>J278*G277</f>
        <v>2.9326674159168664E-4</v>
      </c>
      <c r="H291" s="16">
        <f>J278*H277</f>
        <v>6.5059690667753975E-5</v>
      </c>
      <c r="I291" s="16">
        <f>J278*I277</f>
        <v>1.0824863723407852E-5</v>
      </c>
      <c r="J291" s="16">
        <f>J277*J278</f>
        <v>1.4408635937573434E-6</v>
      </c>
      <c r="K291" s="16">
        <f>J278*K277</f>
        <v>1.5982402095017925E-7</v>
      </c>
      <c r="L291" s="10"/>
    </row>
    <row r="292" spans="2:12" x14ac:dyDescent="0.35">
      <c r="B292" s="8"/>
      <c r="C292" s="9"/>
      <c r="D292" s="9">
        <v>6</v>
      </c>
      <c r="E292" s="16">
        <f>E277*K278</f>
        <v>2.113572623401226E-4</v>
      </c>
      <c r="F292" s="16">
        <f>K278*F277</f>
        <v>1.4066550506477375E-4</v>
      </c>
      <c r="G292" s="16">
        <f>K278*G277</f>
        <v>4.6808858366282183E-5</v>
      </c>
      <c r="H292" s="16">
        <f>K278*H277</f>
        <v>1.038430007198387E-5</v>
      </c>
      <c r="I292" s="16">
        <f>K278*I277</f>
        <v>1.7277769382004406E-6</v>
      </c>
      <c r="J292" s="16">
        <f>K278*J277</f>
        <v>2.2997895881157679E-7</v>
      </c>
      <c r="K292" s="16">
        <f>K278*K277</f>
        <v>2.550981376061611E-8</v>
      </c>
      <c r="L292" s="10"/>
    </row>
    <row r="293" spans="2:12" x14ac:dyDescent="0.35"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10"/>
    </row>
    <row r="294" spans="2:12" x14ac:dyDescent="0.35">
      <c r="B294" s="8"/>
      <c r="C294" s="9"/>
      <c r="D294" s="9"/>
      <c r="E294" s="9"/>
      <c r="F294" s="9"/>
      <c r="G294" s="9"/>
      <c r="H294" s="9"/>
      <c r="I294" s="9"/>
      <c r="J294" s="9" t="s">
        <v>87</v>
      </c>
      <c r="K294" s="16">
        <f>SUM(E286:K292)</f>
        <v>0.99992978986885539</v>
      </c>
      <c r="L294" s="10"/>
    </row>
    <row r="295" spans="2:12" ht="15" thickBot="1" x14ac:dyDescent="0.4">
      <c r="B295" s="17"/>
      <c r="C295" s="18"/>
      <c r="D295" s="18"/>
      <c r="E295" s="18"/>
      <c r="F295" s="18"/>
      <c r="G295" s="18"/>
      <c r="H295" s="18"/>
      <c r="I295" s="18"/>
      <c r="J295" s="18"/>
      <c r="K295" s="18"/>
      <c r="L295" s="19"/>
    </row>
    <row r="299" spans="2:12" ht="15" thickBot="1" x14ac:dyDescent="0.4"/>
    <row r="300" spans="2:12" x14ac:dyDescent="0.35"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7"/>
    </row>
    <row r="301" spans="2:12" x14ac:dyDescent="0.35">
      <c r="B301" s="8"/>
      <c r="C301" s="9" t="s">
        <v>97</v>
      </c>
      <c r="D301" s="9"/>
      <c r="E301" s="9"/>
      <c r="F301" s="9"/>
      <c r="G301" s="9"/>
      <c r="H301" s="9"/>
      <c r="I301" s="9"/>
      <c r="J301" s="9"/>
      <c r="K301" s="9"/>
      <c r="L301" s="10"/>
    </row>
    <row r="302" spans="2:12" x14ac:dyDescent="0.35"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10"/>
    </row>
    <row r="303" spans="2:12" x14ac:dyDescent="0.35">
      <c r="B303" s="8"/>
      <c r="C303" s="9"/>
      <c r="D303" s="9"/>
      <c r="E303" s="9"/>
      <c r="F303" s="11" t="s">
        <v>84</v>
      </c>
      <c r="G303" s="11"/>
      <c r="H303" s="9"/>
      <c r="I303" s="12" t="s">
        <v>83</v>
      </c>
      <c r="J303" s="12" t="s">
        <v>88</v>
      </c>
      <c r="K303" s="12" t="s">
        <v>82</v>
      </c>
      <c r="L303" s="10"/>
    </row>
    <row r="304" spans="2:12" x14ac:dyDescent="0.35">
      <c r="B304" s="8"/>
      <c r="C304" s="9"/>
      <c r="D304" s="9" t="s">
        <v>81</v>
      </c>
      <c r="E304" s="9" t="s">
        <v>82</v>
      </c>
      <c r="F304" s="9" t="s">
        <v>83</v>
      </c>
      <c r="G304" s="9" t="s">
        <v>82</v>
      </c>
      <c r="H304" s="9"/>
      <c r="I304" s="13">
        <f>SUM(F319:K319, G320:K320,H321:K321,I322:K322,J323:K323,K324)/K327</f>
        <v>0.77930486436269086</v>
      </c>
      <c r="J304" s="13">
        <f>SUM(E319,F320,G321,H322,I323,J324,K325)/K327</f>
        <v>0.16722749668633632</v>
      </c>
      <c r="K304" s="13">
        <f>SUM(E320:E325,F321:F325,G322:G325,H323:H325,I324:I325,J325)/K327</f>
        <v>5.3467638950972556E-2</v>
      </c>
      <c r="L304" s="10"/>
    </row>
    <row r="305" spans="2:12" x14ac:dyDescent="0.35">
      <c r="B305" s="8"/>
      <c r="C305" s="9"/>
      <c r="D305" s="9" t="str">
        <f>Games!D15</f>
        <v>Manchester City</v>
      </c>
      <c r="E305" s="9" t="str">
        <f>Games!E15</f>
        <v>Norwich City</v>
      </c>
      <c r="F305" s="9">
        <f>(VLOOKUP($D305,Calculator!$F$11:$V$30,10,FALSE) *VLOOKUP($E305,Calculator!$F$11:$V$30,13,FALSE))*Games!$C$3 + (VLOOKUP($D305,Calculator!$F$11:$V$30,14,FALSE) *VLOOKUP($E305,Calculator!$F$11:$V$30,17,FALSE)) *Games!$C$4</f>
        <v>2.0761321482869732</v>
      </c>
      <c r="G305" s="9">
        <f>(VLOOKUP($E305,Calculator!$F$11:$V$30,12,FALSE) *VLOOKUP($D305,Calculator!$F$11:$V$30,11,FALSE))*Games!$C$3 + (VLOOKUP($E305,Calculator!$F$11:$V$30,16,FALSE) *VLOOKUP($D305,Calculator!$F$11:$V$30,15,FALSE)) *Games!$C$4</f>
        <v>0.36135585029936973</v>
      </c>
      <c r="H305" s="9"/>
      <c r="I305" s="14"/>
      <c r="J305" s="14"/>
      <c r="K305" s="14"/>
      <c r="L305" s="10"/>
    </row>
    <row r="306" spans="2:12" x14ac:dyDescent="0.35"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10"/>
    </row>
    <row r="307" spans="2:12" x14ac:dyDescent="0.35"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10"/>
    </row>
    <row r="308" spans="2:12" x14ac:dyDescent="0.35"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10"/>
    </row>
    <row r="309" spans="2:12" x14ac:dyDescent="0.35">
      <c r="B309" s="8"/>
      <c r="C309" s="9"/>
      <c r="D309" s="9"/>
      <c r="E309" s="9">
        <v>0</v>
      </c>
      <c r="F309" s="9">
        <v>1</v>
      </c>
      <c r="G309" s="9">
        <v>2</v>
      </c>
      <c r="H309" s="9">
        <v>3</v>
      </c>
      <c r="I309" s="9">
        <v>4</v>
      </c>
      <c r="J309" s="9">
        <v>5</v>
      </c>
      <c r="K309" s="9">
        <v>6</v>
      </c>
      <c r="L309" s="10"/>
    </row>
    <row r="310" spans="2:12" x14ac:dyDescent="0.35">
      <c r="B310" s="8"/>
      <c r="C310" s="9"/>
      <c r="D310" s="9" t="s">
        <v>83</v>
      </c>
      <c r="E310" s="15">
        <f>_xlfn.POISSON.DIST(E309,$F305, FALSE)</f>
        <v>0.12541435943512136</v>
      </c>
      <c r="F310" s="15">
        <f t="shared" ref="F310" si="72">_xlfn.POISSON.DIST(F309,$F305, FALSE)</f>
        <v>0.26037678348007315</v>
      </c>
      <c r="G310" s="15">
        <f t="shared" ref="G310" si="73">_xlfn.POISSON.DIST(G309,$F305, FALSE)</f>
        <v>0.27028830542526822</v>
      </c>
      <c r="H310" s="15">
        <f t="shared" ref="H310" si="74">_xlfn.POISSON.DIST(H309,$F305, FALSE)</f>
        <v>0.18705141339980258</v>
      </c>
      <c r="I310" s="15">
        <f t="shared" ref="I310" si="75">_xlfn.POISSON.DIST(I309,$F305, FALSE)</f>
        <v>9.7085863185461696E-2</v>
      </c>
      <c r="J310" s="15">
        <f t="shared" ref="J310" si="76">_xlfn.POISSON.DIST(J309,$F305, FALSE)</f>
        <v>4.031261634070557E-2</v>
      </c>
      <c r="K310" s="15">
        <f t="shared" ref="K310" si="77">_xlfn.POISSON.DIST(K309,$F305, FALSE)</f>
        <v>1.3949053127749581E-2</v>
      </c>
      <c r="L310" s="10"/>
    </row>
    <row r="311" spans="2:12" x14ac:dyDescent="0.35">
      <c r="B311" s="8"/>
      <c r="C311" s="9"/>
      <c r="D311" s="9" t="s">
        <v>82</v>
      </c>
      <c r="E311" s="15">
        <f>_xlfn.POISSON.DIST(E309,$G305, FALSE)</f>
        <v>0.69673102240540852</v>
      </c>
      <c r="F311" s="15">
        <f t="shared" ref="F311:K311" si="78">_xlfn.POISSON.DIST(F309,$G305, FALSE)</f>
        <v>0.25176783103125561</v>
      </c>
      <c r="G311" s="15">
        <f t="shared" si="78"/>
        <v>4.54888893301637E-2</v>
      </c>
      <c r="H311" s="15">
        <f t="shared" si="78"/>
        <v>5.4792254276917448E-3</v>
      </c>
      <c r="I311" s="15">
        <f t="shared" si="78"/>
        <v>4.9498754085136934E-4</v>
      </c>
      <c r="J311" s="15">
        <f>_xlfn.POISSON.DIST(J309,$G305, FALSE)</f>
        <v>3.5773328742388141E-5</v>
      </c>
      <c r="K311" s="15">
        <f t="shared" si="78"/>
        <v>2.1544836042907565E-6</v>
      </c>
      <c r="L311" s="10"/>
    </row>
    <row r="312" spans="2:12" x14ac:dyDescent="0.35"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10"/>
    </row>
    <row r="313" spans="2:12" x14ac:dyDescent="0.35"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10"/>
    </row>
    <row r="314" spans="2:12" x14ac:dyDescent="0.35"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10"/>
    </row>
    <row r="315" spans="2:12" x14ac:dyDescent="0.35"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10"/>
    </row>
    <row r="316" spans="2:12" x14ac:dyDescent="0.35">
      <c r="B316" s="8"/>
      <c r="C316" s="9"/>
      <c r="D316" s="9" t="s">
        <v>86</v>
      </c>
      <c r="E316" s="9"/>
      <c r="F316" s="9"/>
      <c r="G316" s="9"/>
      <c r="H316" s="9"/>
      <c r="I316" s="9"/>
      <c r="J316" s="9"/>
      <c r="K316" s="9"/>
      <c r="L316" s="10"/>
    </row>
    <row r="317" spans="2:12" x14ac:dyDescent="0.35">
      <c r="B317" s="8"/>
      <c r="C317" s="9"/>
      <c r="D317" s="9"/>
      <c r="E317" s="9" t="s">
        <v>83</v>
      </c>
      <c r="F317" s="9"/>
      <c r="G317" s="9"/>
      <c r="H317" s="9"/>
      <c r="I317" s="9"/>
      <c r="J317" s="9"/>
      <c r="K317" s="9"/>
      <c r="L317" s="10"/>
    </row>
    <row r="318" spans="2:12" x14ac:dyDescent="0.35">
      <c r="B318" s="8"/>
      <c r="C318" s="9"/>
      <c r="D318" s="9" t="s">
        <v>82</v>
      </c>
      <c r="E318" s="9">
        <v>0</v>
      </c>
      <c r="F318" s="9">
        <v>1</v>
      </c>
      <c r="G318" s="9">
        <v>2</v>
      </c>
      <c r="H318" s="9">
        <v>3</v>
      </c>
      <c r="I318" s="9">
        <v>4</v>
      </c>
      <c r="J318" s="9">
        <v>5</v>
      </c>
      <c r="K318" s="9">
        <v>6</v>
      </c>
      <c r="L318" s="10"/>
    </row>
    <row r="319" spans="2:12" x14ac:dyDescent="0.35">
      <c r="B319" s="8"/>
      <c r="C319" s="9"/>
      <c r="D319" s="9">
        <v>0</v>
      </c>
      <c r="E319" s="16">
        <f>E310*E311</f>
        <v>8.7380074873551497E-2</v>
      </c>
      <c r="F319" s="16">
        <f>F310*E311</f>
        <v>0.18141258256470305</v>
      </c>
      <c r="G319" s="16">
        <f>G310*E311</f>
        <v>0.18831824738317246</v>
      </c>
      <c r="H319" s="16">
        <f>H310*E311</f>
        <v>0.13032452250042117</v>
      </c>
      <c r="I319" s="16">
        <f>I310*E311</f>
        <v>6.7642732718318332E-2</v>
      </c>
      <c r="J319" s="16">
        <f>J310*E311</f>
        <v>2.8087050398896769E-2</v>
      </c>
      <c r="K319" s="16">
        <f>K310*E311</f>
        <v>9.7187380472843268E-3</v>
      </c>
      <c r="L319" s="10"/>
    </row>
    <row r="320" spans="2:12" x14ac:dyDescent="0.35">
      <c r="B320" s="8"/>
      <c r="C320" s="9"/>
      <c r="D320" s="9">
        <v>1</v>
      </c>
      <c r="E320" s="16">
        <f>E310*F311</f>
        <v>3.1575301255154793E-2</v>
      </c>
      <c r="F320" s="16">
        <f>F310*F311</f>
        <v>6.5554498027672881E-2</v>
      </c>
      <c r="G320" s="16">
        <f>G310*F311</f>
        <v>6.8049900410033337E-2</v>
      </c>
      <c r="H320" s="16">
        <f>H310*F311</f>
        <v>4.7093528642999039E-2</v>
      </c>
      <c r="I320" s="16">
        <f>I310*F311</f>
        <v>2.4443097198000918E-2</v>
      </c>
      <c r="J320" s="16">
        <f>F311*J310</f>
        <v>1.0149419979294593E-2</v>
      </c>
      <c r="K320" s="16">
        <f>F311*K310</f>
        <v>3.5119228509132641E-3</v>
      </c>
      <c r="L320" s="10"/>
    </row>
    <row r="321" spans="2:12" x14ac:dyDescent="0.35">
      <c r="B321" s="8"/>
      <c r="C321" s="9"/>
      <c r="D321" s="9">
        <v>2</v>
      </c>
      <c r="E321" s="16">
        <f>E310*G311</f>
        <v>5.7049599167576072E-3</v>
      </c>
      <c r="F321" s="16">
        <f>G311*F310</f>
        <v>1.1844250687869044E-2</v>
      </c>
      <c r="G321" s="16">
        <f>G310*G311</f>
        <v>1.2295114812727511E-2</v>
      </c>
      <c r="H321" s="16">
        <f>G311*H310</f>
        <v>8.508761043194318E-3</v>
      </c>
      <c r="I321" s="16">
        <f>G311*I310</f>
        <v>4.4163280859668809E-3</v>
      </c>
      <c r="J321" s="16">
        <f>J310*G311</f>
        <v>1.8337761433317044E-3</v>
      </c>
      <c r="K321" s="16">
        <f>K310*G311</f>
        <v>6.3452693398877451E-4</v>
      </c>
      <c r="L321" s="10"/>
    </row>
    <row r="322" spans="2:12" x14ac:dyDescent="0.35">
      <c r="B322" s="8"/>
      <c r="C322" s="9"/>
      <c r="D322" s="9">
        <v>3</v>
      </c>
      <c r="E322" s="16">
        <f>E310*H311</f>
        <v>6.8717354721458898E-4</v>
      </c>
      <c r="F322" s="16">
        <f>H311*F310</f>
        <v>1.4266630928246047E-3</v>
      </c>
      <c r="G322" s="16">
        <f>H311*G310</f>
        <v>1.4809705558938421E-3</v>
      </c>
      <c r="H322" s="16">
        <f>H310*H311</f>
        <v>1.0248968605858786E-3</v>
      </c>
      <c r="I322" s="16">
        <f>H311*I310</f>
        <v>5.3195533023518357E-4</v>
      </c>
      <c r="J322" s="16">
        <f>H311*J310</f>
        <v>2.2088191251077571E-4</v>
      </c>
      <c r="K322" s="16">
        <f>H311*K310</f>
        <v>7.6430006589788568E-5</v>
      </c>
      <c r="L322" s="10"/>
    </row>
    <row r="323" spans="2:12" x14ac:dyDescent="0.35">
      <c r="B323" s="8"/>
      <c r="C323" s="9"/>
      <c r="D323" s="9">
        <v>4</v>
      </c>
      <c r="E323" s="16">
        <f>E310*I311</f>
        <v>6.2078545364240446E-5</v>
      </c>
      <c r="F323" s="16">
        <f>F310*I311</f>
        <v>1.2888326374959084E-4</v>
      </c>
      <c r="G323" s="16">
        <f>I311*G310</f>
        <v>1.3378934362333735E-4</v>
      </c>
      <c r="H323" s="16">
        <f>I311*H310</f>
        <v>9.2588119131541155E-5</v>
      </c>
      <c r="I323" s="16">
        <f>I310*I311</f>
        <v>4.8056292669604177E-5</v>
      </c>
      <c r="J323" s="16">
        <f>I311*J310</f>
        <v>1.9954242827770579E-5</v>
      </c>
      <c r="K323" s="16">
        <f>I311*K310</f>
        <v>6.9046075049098667E-6</v>
      </c>
      <c r="L323" s="10"/>
    </row>
    <row r="324" spans="2:12" x14ac:dyDescent="0.35">
      <c r="B324" s="8"/>
      <c r="C324" s="9"/>
      <c r="D324" s="9">
        <v>5</v>
      </c>
      <c r="E324" s="16">
        <f>E310*J311</f>
        <v>4.4864891090886246E-6</v>
      </c>
      <c r="F324" s="16">
        <f>J311*F310</f>
        <v>9.3145442723182743E-6</v>
      </c>
      <c r="G324" s="16">
        <f>J311*G310</f>
        <v>9.6691124052011325E-6</v>
      </c>
      <c r="H324" s="16">
        <f>J311*H310</f>
        <v>6.6914517032794836E-6</v>
      </c>
      <c r="I324" s="16">
        <f>J311*I310</f>
        <v>3.4730844999720394E-6</v>
      </c>
      <c r="J324" s="16">
        <f>J310*J311</f>
        <v>1.4421164768218284E-6</v>
      </c>
      <c r="K324" s="16">
        <f>J311*K310</f>
        <v>4.9900406318402334E-7</v>
      </c>
      <c r="L324" s="10"/>
    </row>
    <row r="325" spans="2:12" x14ac:dyDescent="0.35">
      <c r="B325" s="8"/>
      <c r="C325" s="9"/>
      <c r="D325" s="9">
        <v>6</v>
      </c>
      <c r="E325" s="16">
        <f>E310*K311</f>
        <v>2.7020318114559673E-7</v>
      </c>
      <c r="F325" s="16">
        <f>K311*F310</f>
        <v>5.6097751094578191E-7</v>
      </c>
      <c r="G325" s="16">
        <f>K311*G310</f>
        <v>5.8233172247027269E-7</v>
      </c>
      <c r="H325" s="16">
        <f>K311*H310</f>
        <v>4.0299920332928699E-7</v>
      </c>
      <c r="I325" s="16">
        <f>K311*I310</f>
        <v>2.0916990044149278E-7</v>
      </c>
      <c r="J325" s="16">
        <f>K311*J310</f>
        <v>8.6852870952113785E-8</v>
      </c>
      <c r="K325" s="16">
        <f>K311*K310</f>
        <v>3.0053006259117166E-8</v>
      </c>
      <c r="L325" s="10"/>
    </row>
    <row r="326" spans="2:12" x14ac:dyDescent="0.35"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10"/>
    </row>
    <row r="327" spans="2:12" x14ac:dyDescent="0.35">
      <c r="B327" s="8"/>
      <c r="C327" s="9"/>
      <c r="D327" s="9"/>
      <c r="E327" s="9"/>
      <c r="F327" s="9"/>
      <c r="G327" s="9"/>
      <c r="H327" s="9"/>
      <c r="I327" s="9"/>
      <c r="J327" s="9" t="s">
        <v>87</v>
      </c>
      <c r="K327" s="16">
        <f>SUM(E319:K325)</f>
        <v>0.99447827858490367</v>
      </c>
      <c r="L327" s="10"/>
    </row>
    <row r="328" spans="2:12" ht="15" thickBot="1" x14ac:dyDescent="0.4">
      <c r="B328" s="17"/>
      <c r="C328" s="18"/>
      <c r="D328" s="18"/>
      <c r="E328" s="18"/>
      <c r="F328" s="18"/>
      <c r="G328" s="18"/>
      <c r="H328" s="18"/>
      <c r="I328" s="18"/>
      <c r="J328" s="18"/>
      <c r="K328" s="18"/>
      <c r="L328" s="1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A213-62DE-4E85-B8AF-4E86782B2EC6}">
  <dimension ref="B2:L328"/>
  <sheetViews>
    <sheetView topLeftCell="B1" zoomScale="56" workbookViewId="0">
      <selection activeCell="G107" sqref="G107"/>
    </sheetView>
    <sheetView workbookViewId="1"/>
  </sheetViews>
  <sheetFormatPr defaultRowHeight="14.5" x14ac:dyDescent="0.35"/>
  <cols>
    <col min="4" max="5" width="18.54296875" customWidth="1"/>
    <col min="6" max="6" width="8.6328125" customWidth="1"/>
    <col min="7" max="7" width="7.08984375" customWidth="1"/>
  </cols>
  <sheetData>
    <row r="2" spans="2:12" ht="15" thickBot="1" x14ac:dyDescent="0.4"/>
    <row r="3" spans="2:12" x14ac:dyDescent="0.35">
      <c r="B3" s="5"/>
      <c r="C3" s="6"/>
      <c r="D3" s="6"/>
      <c r="E3" s="6"/>
      <c r="F3" s="6"/>
      <c r="G3" s="6"/>
      <c r="H3" s="6"/>
      <c r="I3" s="6"/>
      <c r="J3" s="6"/>
      <c r="K3" s="6"/>
      <c r="L3" s="7"/>
    </row>
    <row r="4" spans="2:12" x14ac:dyDescent="0.35">
      <c r="B4" s="8"/>
      <c r="C4" s="9" t="s">
        <v>85</v>
      </c>
      <c r="D4" s="9"/>
      <c r="E4" s="9"/>
      <c r="F4" s="9"/>
      <c r="G4" s="9"/>
      <c r="H4" s="9"/>
      <c r="I4" s="9"/>
      <c r="J4" s="9"/>
      <c r="K4" s="9"/>
      <c r="L4" s="10"/>
    </row>
    <row r="5" spans="2:12" x14ac:dyDescent="0.35">
      <c r="B5" s="8"/>
      <c r="C5" s="9"/>
      <c r="D5" s="9"/>
      <c r="E5" s="9"/>
      <c r="F5" s="9"/>
      <c r="G5" s="9"/>
      <c r="H5" s="9"/>
      <c r="I5" s="9"/>
      <c r="J5" s="9"/>
      <c r="K5" s="9"/>
      <c r="L5" s="10"/>
    </row>
    <row r="6" spans="2:12" x14ac:dyDescent="0.35">
      <c r="B6" s="8"/>
      <c r="C6" s="9"/>
      <c r="D6" s="9"/>
      <c r="E6" s="9"/>
      <c r="F6" s="11" t="s">
        <v>84</v>
      </c>
      <c r="G6" s="11"/>
      <c r="H6" s="9"/>
      <c r="I6" s="12" t="s">
        <v>83</v>
      </c>
      <c r="J6" s="12" t="s">
        <v>88</v>
      </c>
      <c r="K6" s="12" t="s">
        <v>82</v>
      </c>
      <c r="L6" s="10"/>
    </row>
    <row r="7" spans="2:12" x14ac:dyDescent="0.35">
      <c r="B7" s="8"/>
      <c r="C7" s="9"/>
      <c r="D7" s="9" t="s">
        <v>81</v>
      </c>
      <c r="E7" s="9" t="s">
        <v>82</v>
      </c>
      <c r="F7" s="9" t="s">
        <v>83</v>
      </c>
      <c r="G7" s="9" t="s">
        <v>82</v>
      </c>
      <c r="H7" s="9"/>
      <c r="I7" s="13">
        <f>SUM(F22:K22, G23:K23,H24:K24,I25:K25,J26:K26,K27)/K30</f>
        <v>0.28141113309153015</v>
      </c>
      <c r="J7" s="13">
        <f>SUM(E22,F23,G24,H25,I26,J27,K28)/K30</f>
        <v>0.32866552069379296</v>
      </c>
      <c r="K7" s="13">
        <f>SUM(E23:E28,F24:F28,G25:G28,H26:H28,I27:I28,J28)/K30</f>
        <v>0.38992334621467717</v>
      </c>
      <c r="L7" s="10"/>
    </row>
    <row r="8" spans="2:12" x14ac:dyDescent="0.35">
      <c r="B8" s="8"/>
      <c r="C8" s="9"/>
      <c r="D8" s="9" t="str">
        <f>BackTest!D6</f>
        <v>Leicester City</v>
      </c>
      <c r="E8" s="9" t="str">
        <f>BackTest!E6</f>
        <v>Manchester United</v>
      </c>
      <c r="F8" s="9">
        <f>(VLOOKUP($D8,Calculator!$F$11:$V$30,10,FALSE) *VLOOKUP($E8,Calculator!$F$11:$V$30,13,FALSE))*BackTest!$C$3 + (VLOOKUP($D8,Calculator!$F$11:$V$30,14,FALSE) *VLOOKUP($E8,Calculator!$F$11:$V$30,17,FALSE)) *BackTest!$C$4</f>
        <v>0.79128929008629267</v>
      </c>
      <c r="G8" s="9">
        <f>(VLOOKUP($E8,Calculator!$F$11:$V$30,12,FALSE) *VLOOKUP($D8,Calculator!$F$11:$V$30,11,FALSE))*BackTest!$C$3 + (VLOOKUP($E8,Calculator!$F$11:$V$30,16,FALSE) *VLOOKUP($D8,Calculator!$F$11:$V$30,15,FALSE)) *BackTest!$C$4</f>
        <v>0.98945559026094554</v>
      </c>
      <c r="H8" s="9"/>
      <c r="I8" s="14"/>
      <c r="J8" s="14"/>
      <c r="K8" s="14"/>
      <c r="L8" s="10"/>
    </row>
    <row r="9" spans="2:12" x14ac:dyDescent="0.35">
      <c r="B9" s="8"/>
      <c r="C9" s="9"/>
      <c r="D9" s="9"/>
      <c r="E9" s="9"/>
      <c r="F9" s="9"/>
      <c r="G9" s="9"/>
      <c r="H9" s="9"/>
      <c r="I9" s="9"/>
      <c r="J9" s="9"/>
      <c r="K9" s="9"/>
      <c r="L9" s="10"/>
    </row>
    <row r="10" spans="2:12" x14ac:dyDescent="0.35">
      <c r="B10" s="8"/>
      <c r="C10" s="9"/>
      <c r="D10" s="9"/>
      <c r="E10" s="9"/>
      <c r="F10" s="9"/>
      <c r="G10" s="9"/>
      <c r="H10" s="9"/>
      <c r="I10" s="9"/>
      <c r="J10" s="9"/>
      <c r="K10" s="9"/>
      <c r="L10" s="10"/>
    </row>
    <row r="11" spans="2:12" x14ac:dyDescent="0.35">
      <c r="B11" s="8"/>
      <c r="C11" s="9"/>
      <c r="D11" s="9"/>
      <c r="E11" s="9"/>
      <c r="F11" s="9"/>
      <c r="G11" s="9"/>
      <c r="H11" s="9"/>
      <c r="I11" s="9"/>
      <c r="J11" s="9"/>
      <c r="K11" s="9"/>
      <c r="L11" s="10"/>
    </row>
    <row r="12" spans="2:12" x14ac:dyDescent="0.35">
      <c r="B12" s="8"/>
      <c r="C12" s="9"/>
      <c r="D12" s="9"/>
      <c r="E12" s="9">
        <v>0</v>
      </c>
      <c r="F12" s="9">
        <v>1</v>
      </c>
      <c r="G12" s="9">
        <v>2</v>
      </c>
      <c r="H12" s="9">
        <v>3</v>
      </c>
      <c r="I12" s="9">
        <v>4</v>
      </c>
      <c r="J12" s="9">
        <v>5</v>
      </c>
      <c r="K12" s="9">
        <v>6</v>
      </c>
      <c r="L12" s="10"/>
    </row>
    <row r="13" spans="2:12" x14ac:dyDescent="0.35">
      <c r="B13" s="8"/>
      <c r="C13" s="9"/>
      <c r="D13" s="9" t="s">
        <v>83</v>
      </c>
      <c r="E13" s="15">
        <f>_xlfn.POISSON.DIST(E12,$F8, FALSE)</f>
        <v>0.45326003473107601</v>
      </c>
      <c r="F13" s="15">
        <f t="shared" ref="F13:K13" si="0">_xlfn.POISSON.DIST(F12,$F8, FALSE)</f>
        <v>0.35865981110684153</v>
      </c>
      <c r="G13" s="15">
        <f t="shared" si="0"/>
        <v>0.14190183365660822</v>
      </c>
      <c r="H13" s="15">
        <f t="shared" si="0"/>
        <v>3.7428467072026898E-2</v>
      </c>
      <c r="I13" s="15">
        <f t="shared" si="0"/>
        <v>7.4041862846105869E-3</v>
      </c>
      <c r="J13" s="15">
        <f t="shared" si="0"/>
        <v>1.1717706617632355E-3</v>
      </c>
      <c r="K13" s="15">
        <f t="shared" si="0"/>
        <v>1.5453492918176263E-4</v>
      </c>
      <c r="L13" s="10"/>
    </row>
    <row r="14" spans="2:12" x14ac:dyDescent="0.35">
      <c r="B14" s="8"/>
      <c r="C14" s="9"/>
      <c r="D14" s="9" t="s">
        <v>82</v>
      </c>
      <c r="E14" s="15">
        <f>_xlfn.POISSON.DIST(E12,$G8, FALSE)</f>
        <v>0.3717790360657523</v>
      </c>
      <c r="F14" s="15">
        <f t="shared" ref="F14:I14" si="1">_xlfn.POISSON.DIST(F12,$G8, FALSE)</f>
        <v>0.36785884557708431</v>
      </c>
      <c r="G14" s="15">
        <f t="shared" si="1"/>
        <v>0.18198999559159199</v>
      </c>
      <c r="H14" s="15">
        <f t="shared" si="1"/>
        <v>6.0023672836555179E-2</v>
      </c>
      <c r="I14" s="15">
        <f t="shared" si="1"/>
        <v>1.4847689659030895E-2</v>
      </c>
      <c r="J14" s="15">
        <f>_xlfn.POISSON.DIST(J12,$G8, FALSE)</f>
        <v>2.9382259071175508E-3</v>
      </c>
      <c r="K14" s="15">
        <f t="shared" ref="K14" si="2">_xlfn.POISSON.DIST(K12,$G8, FALSE)</f>
        <v>4.8454067487449959E-4</v>
      </c>
      <c r="L14" s="10"/>
    </row>
    <row r="15" spans="2:12" x14ac:dyDescent="0.35">
      <c r="B15" s="8"/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x14ac:dyDescent="0.35">
      <c r="B16" s="8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2:12" x14ac:dyDescent="0.35">
      <c r="B17" s="8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2:12" x14ac:dyDescent="0.35">
      <c r="B18" s="8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x14ac:dyDescent="0.35">
      <c r="B19" s="8"/>
      <c r="C19" s="9"/>
      <c r="D19" s="9" t="s">
        <v>86</v>
      </c>
      <c r="E19" s="9"/>
      <c r="F19" s="9"/>
      <c r="G19" s="9"/>
      <c r="H19" s="9"/>
      <c r="I19" s="9"/>
      <c r="J19" s="9"/>
      <c r="K19" s="9"/>
      <c r="L19" s="10"/>
    </row>
    <row r="20" spans="2:12" x14ac:dyDescent="0.35">
      <c r="B20" s="8"/>
      <c r="C20" s="9"/>
      <c r="D20" s="9"/>
      <c r="E20" s="9" t="s">
        <v>83</v>
      </c>
      <c r="F20" s="9"/>
      <c r="G20" s="9"/>
      <c r="H20" s="9"/>
      <c r="I20" s="9"/>
      <c r="J20" s="9"/>
      <c r="K20" s="9"/>
      <c r="L20" s="10"/>
    </row>
    <row r="21" spans="2:12" x14ac:dyDescent="0.35">
      <c r="B21" s="8"/>
      <c r="C21" s="9"/>
      <c r="D21" s="9" t="s">
        <v>82</v>
      </c>
      <c r="E21" s="9">
        <v>0</v>
      </c>
      <c r="F21" s="9">
        <v>1</v>
      </c>
      <c r="G21" s="9">
        <v>2</v>
      </c>
      <c r="H21" s="9">
        <v>3</v>
      </c>
      <c r="I21" s="9">
        <v>4</v>
      </c>
      <c r="J21" s="9">
        <v>5</v>
      </c>
      <c r="K21" s="9">
        <v>6</v>
      </c>
      <c r="L21" s="10"/>
    </row>
    <row r="22" spans="2:12" x14ac:dyDescent="0.35">
      <c r="B22" s="8"/>
      <c r="C22" s="9"/>
      <c r="D22" s="9">
        <v>0</v>
      </c>
      <c r="E22" s="16">
        <f>E13*E14</f>
        <v>0.16851257879944884</v>
      </c>
      <c r="F22" s="16">
        <f>F13*E14</f>
        <v>0.13334219884882634</v>
      </c>
      <c r="G22" s="16">
        <f>G13*E14</f>
        <v>5.2756126932816533E-2</v>
      </c>
      <c r="H22" s="16">
        <f>H13*E14</f>
        <v>1.3915119409456911E-2</v>
      </c>
      <c r="I22" s="16">
        <f>I13*E14</f>
        <v>2.7527212397437878E-3</v>
      </c>
      <c r="J22" s="16">
        <f>J13*E14</f>
        <v>4.3563976712046435E-4</v>
      </c>
      <c r="K22" s="16">
        <f>K13*E14</f>
        <v>5.7452847009685004E-5</v>
      </c>
      <c r="L22" s="10"/>
    </row>
    <row r="23" spans="2:12" x14ac:dyDescent="0.35">
      <c r="B23" s="8"/>
      <c r="C23" s="9"/>
      <c r="D23" s="9">
        <v>1</v>
      </c>
      <c r="E23" s="16">
        <f>E13*F14</f>
        <v>0.16673571312240276</v>
      </c>
      <c r="F23" s="16">
        <f>F13*F14</f>
        <v>0.13193618406865784</v>
      </c>
      <c r="G23" s="16">
        <f>G13*F14</f>
        <v>5.2199844714191347E-2</v>
      </c>
      <c r="H23" s="16">
        <f>H13*F14</f>
        <v>1.3768392688835727E-2</v>
      </c>
      <c r="I23" s="16">
        <f>I13*F14</f>
        <v>2.7236954190945316E-3</v>
      </c>
      <c r="J23" s="16">
        <f>F14*J13</f>
        <v>4.3104620291731997E-4</v>
      </c>
      <c r="K23" s="16">
        <f>F14*K13</f>
        <v>5.684704065013968E-5</v>
      </c>
      <c r="L23" s="10"/>
    </row>
    <row r="24" spans="2:12" x14ac:dyDescent="0.35">
      <c r="B24" s="8"/>
      <c r="C24" s="9"/>
      <c r="D24" s="9">
        <v>2</v>
      </c>
      <c r="E24" s="16">
        <f>E13*G14</f>
        <v>8.2488791722553356E-2</v>
      </c>
      <c r="F24" s="16">
        <f>G14*F13</f>
        <v>6.5272497442215305E-2</v>
      </c>
      <c r="G24" s="16">
        <f>G13*G14</f>
        <v>2.5824714081604947E-2</v>
      </c>
      <c r="H24" s="16">
        <f>G14*H13</f>
        <v>6.811606557438221E-3</v>
      </c>
      <c r="I24" s="16">
        <f>G14*I13</f>
        <v>1.3474878292956067E-3</v>
      </c>
      <c r="J24" s="16">
        <f>J13*G14</f>
        <v>2.1325053756864805E-4</v>
      </c>
      <c r="K24" s="16">
        <f>K13*G14</f>
        <v>2.812381108053596E-5</v>
      </c>
      <c r="L24" s="10"/>
    </row>
    <row r="25" spans="2:12" x14ac:dyDescent="0.35">
      <c r="B25" s="8"/>
      <c r="C25" s="9"/>
      <c r="D25" s="9">
        <v>3</v>
      </c>
      <c r="E25" s="16">
        <f>E13*H14</f>
        <v>2.7206332034583745E-2</v>
      </c>
      <c r="F25" s="16">
        <f>H14*F13</f>
        <v>2.1528079161497734E-2</v>
      </c>
      <c r="G25" s="16">
        <f>H14*G13</f>
        <v>8.5174692383115265E-3</v>
      </c>
      <c r="H25" s="16">
        <f>H13*H14</f>
        <v>2.2465940623051209E-3</v>
      </c>
      <c r="I25" s="16">
        <f>H14*I13</f>
        <v>4.4442645516837488E-4</v>
      </c>
      <c r="J25" s="16">
        <f>H14*J13</f>
        <v>7.0333978841150203E-5</v>
      </c>
      <c r="K25" s="16">
        <f>H14*K13</f>
        <v>9.2757540310263436E-6</v>
      </c>
      <c r="L25" s="10"/>
    </row>
    <row r="26" spans="2:12" x14ac:dyDescent="0.35">
      <c r="B26" s="8"/>
      <c r="C26" s="9"/>
      <c r="D26" s="9">
        <v>4</v>
      </c>
      <c r="E26" s="16">
        <f>E13*I14</f>
        <v>6.7298643305285814E-3</v>
      </c>
      <c r="F26" s="16">
        <f>F13*I14</f>
        <v>5.3252695684810249E-3</v>
      </c>
      <c r="G26" s="16">
        <f>I14*G13</f>
        <v>2.1069143881807442E-3</v>
      </c>
      <c r="H26" s="16">
        <f>I14*H13</f>
        <v>5.5572626349871209E-4</v>
      </c>
      <c r="I26" s="16">
        <f>I13*I14</f>
        <v>1.0993506013155099E-4</v>
      </c>
      <c r="J26" s="16">
        <f>I14*J13</f>
        <v>1.739808713741778E-5</v>
      </c>
      <c r="K26" s="16">
        <f>I14*K13</f>
        <v>2.2944866699711288E-6</v>
      </c>
      <c r="L26" s="10"/>
    </row>
    <row r="27" spans="2:12" x14ac:dyDescent="0.35">
      <c r="B27" s="8"/>
      <c r="C27" s="9"/>
      <c r="D27" s="9">
        <v>5</v>
      </c>
      <c r="E27" s="16">
        <f>E13*J14</f>
        <v>1.3317803767078484E-3</v>
      </c>
      <c r="F27" s="16">
        <f>J14*F13</f>
        <v>1.0538235488360089E-3</v>
      </c>
      <c r="G27" s="16">
        <f>J14*G13</f>
        <v>4.1693964391733147E-4</v>
      </c>
      <c r="H27" s="16">
        <f>J14*H13</f>
        <v>1.0997329161472561E-4</v>
      </c>
      <c r="I27" s="16">
        <f>J14*I13</f>
        <v>2.1755171962567271E-5</v>
      </c>
      <c r="J27" s="16">
        <f>J13*J14</f>
        <v>3.4429269155930154E-6</v>
      </c>
      <c r="K27" s="16">
        <f>J14*K13</f>
        <v>4.5405853247643099E-7</v>
      </c>
      <c r="L27" s="10"/>
    </row>
    <row r="28" spans="2:12" x14ac:dyDescent="0.35">
      <c r="B28" s="8"/>
      <c r="C28" s="9"/>
      <c r="D28" s="9">
        <v>6</v>
      </c>
      <c r="E28" s="16">
        <f>E13*K14</f>
        <v>2.1962292312223471E-4</v>
      </c>
      <c r="F28" s="16">
        <f>K14*F13</f>
        <v>1.7378526692406955E-4</v>
      </c>
      <c r="G28" s="16">
        <f>K14*G13</f>
        <v>6.8757210245901925E-5</v>
      </c>
      <c r="H28" s="16">
        <f>K14*H13</f>
        <v>1.8135614694597897E-5</v>
      </c>
      <c r="I28" s="16">
        <f>K14*I13</f>
        <v>3.5876294192417274E-6</v>
      </c>
      <c r="J28" s="16">
        <f>K14*J13</f>
        <v>5.6777054724889712E-7</v>
      </c>
      <c r="K28" s="16">
        <f>K14*K13</f>
        <v>7.487845887741427E-8</v>
      </c>
      <c r="L28" s="10"/>
    </row>
    <row r="29" spans="2:12" x14ac:dyDescent="0.35">
      <c r="B29" s="8"/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spans="2:12" x14ac:dyDescent="0.35">
      <c r="B30" s="8"/>
      <c r="C30" s="9"/>
      <c r="D30" s="9"/>
      <c r="E30" s="9"/>
      <c r="F30" s="9"/>
      <c r="G30" s="9"/>
      <c r="H30" s="9"/>
      <c r="I30" s="9"/>
      <c r="J30" s="9" t="s">
        <v>87</v>
      </c>
      <c r="K30" s="16">
        <f>SUM(E22:K28)</f>
        <v>0.99990264626419401</v>
      </c>
      <c r="L30" s="10"/>
    </row>
    <row r="31" spans="2:12" ht="15" thickBot="1" x14ac:dyDescent="0.4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5" spans="2:12" ht="15" thickBot="1" x14ac:dyDescent="0.4"/>
    <row r="36" spans="2:12" x14ac:dyDescent="0.35">
      <c r="B36" s="5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2:12" x14ac:dyDescent="0.35">
      <c r="B37" s="8"/>
      <c r="C37" s="9" t="s">
        <v>89</v>
      </c>
      <c r="D37" s="9"/>
      <c r="E37" s="9"/>
      <c r="F37" s="9"/>
      <c r="G37" s="9"/>
      <c r="H37" s="9"/>
      <c r="I37" s="9"/>
      <c r="J37" s="9"/>
      <c r="K37" s="9"/>
      <c r="L37" s="10"/>
    </row>
    <row r="38" spans="2:12" x14ac:dyDescent="0.35">
      <c r="B38" s="8"/>
      <c r="C38" s="9"/>
      <c r="D38" s="9"/>
      <c r="E38" s="9"/>
      <c r="F38" s="9"/>
      <c r="G38" s="9"/>
      <c r="H38" s="9"/>
      <c r="I38" s="9"/>
      <c r="J38" s="9"/>
      <c r="K38" s="9"/>
      <c r="L38" s="10"/>
    </row>
    <row r="39" spans="2:12" x14ac:dyDescent="0.35">
      <c r="B39" s="8"/>
      <c r="C39" s="9"/>
      <c r="D39" s="9"/>
      <c r="E39" s="9"/>
      <c r="F39" s="11" t="s">
        <v>84</v>
      </c>
      <c r="G39" s="11"/>
      <c r="H39" s="9"/>
      <c r="I39" s="12" t="s">
        <v>83</v>
      </c>
      <c r="J39" s="12" t="s">
        <v>88</v>
      </c>
      <c r="K39" s="12" t="s">
        <v>82</v>
      </c>
      <c r="L39" s="10"/>
    </row>
    <row r="40" spans="2:12" x14ac:dyDescent="0.35">
      <c r="B40" s="8"/>
      <c r="C40" s="9"/>
      <c r="D40" s="9" t="s">
        <v>81</v>
      </c>
      <c r="E40" s="9" t="s">
        <v>82</v>
      </c>
      <c r="F40" s="9" t="s">
        <v>83</v>
      </c>
      <c r="G40" s="9" t="s">
        <v>82</v>
      </c>
      <c r="H40" s="9"/>
      <c r="I40" s="13">
        <f>SUM(F55:K55, G56:K56,H57:K57,I58:K58,J59:K59,K60)/K63</f>
        <v>0.30255918365157619</v>
      </c>
      <c r="J40" s="13">
        <f>SUM(E55,F56,G57,H58,I59,J60,K61)/K63</f>
        <v>0.34329592124905145</v>
      </c>
      <c r="K40" s="13">
        <f>SUM(E56:E61,F57:F61,G58:G61,H59:H61,I60:I61,J61)/K63</f>
        <v>0.35414489509937286</v>
      </c>
      <c r="L40" s="10"/>
    </row>
    <row r="41" spans="2:12" x14ac:dyDescent="0.35">
      <c r="B41" s="8"/>
      <c r="C41" s="9"/>
      <c r="D41" s="9" t="str">
        <f>BackTest!D7</f>
        <v>Southampton</v>
      </c>
      <c r="E41" s="9" t="str">
        <f>BackTest!E7</f>
        <v>Sheffield United</v>
      </c>
      <c r="F41" s="9">
        <f>(VLOOKUP($D41,Calculator!$F$11:$V$30,10,FALSE) *VLOOKUP($E41,Calculator!$F$11:$V$30,13,FALSE))*BackTest!$C$3 + (VLOOKUP($D41,Calculator!$F$11:$V$30,14,FALSE) *VLOOKUP($E41,Calculator!$F$11:$V$30,17,FALSE)) *BackTest!$C$4</f>
        <v>0.79071419368263718</v>
      </c>
      <c r="G41" s="9">
        <f>(VLOOKUP($E41,Calculator!$F$11:$V$30,12,FALSE) *VLOOKUP($D41,Calculator!$F$11:$V$30,11,FALSE))*BackTest!$C$3 + (VLOOKUP($E41,Calculator!$F$11:$V$30,16,FALSE) *VLOOKUP($D41,Calculator!$F$11:$V$30,15,FALSE)) *BackTest!$C$4</f>
        <v>0.88248505593905535</v>
      </c>
      <c r="H41" s="9"/>
      <c r="I41" s="14"/>
      <c r="J41" s="14"/>
      <c r="K41" s="14"/>
      <c r="L41" s="10"/>
    </row>
    <row r="42" spans="2:12" x14ac:dyDescent="0.35">
      <c r="B42" s="8"/>
      <c r="C42" s="9"/>
      <c r="D42" s="9"/>
      <c r="E42" s="9"/>
      <c r="F42" s="9"/>
      <c r="G42" s="9"/>
      <c r="H42" s="9"/>
      <c r="I42" s="9"/>
      <c r="J42" s="9"/>
      <c r="K42" s="9"/>
      <c r="L42" s="10"/>
    </row>
    <row r="43" spans="2:12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10"/>
    </row>
    <row r="44" spans="2:12" x14ac:dyDescent="0.35">
      <c r="B44" s="8"/>
      <c r="C44" s="9"/>
      <c r="D44" s="9"/>
      <c r="E44" s="9"/>
      <c r="F44" s="9"/>
      <c r="G44" s="9"/>
      <c r="H44" s="9"/>
      <c r="I44" s="9"/>
      <c r="J44" s="9"/>
      <c r="K44" s="9"/>
      <c r="L44" s="10"/>
    </row>
    <row r="45" spans="2:12" x14ac:dyDescent="0.35">
      <c r="B45" s="8"/>
      <c r="C45" s="9"/>
      <c r="D45" s="9"/>
      <c r="E45" s="9">
        <v>0</v>
      </c>
      <c r="F45" s="9">
        <v>1</v>
      </c>
      <c r="G45" s="9">
        <v>2</v>
      </c>
      <c r="H45" s="9">
        <v>3</v>
      </c>
      <c r="I45" s="9">
        <v>4</v>
      </c>
      <c r="J45" s="9">
        <v>5</v>
      </c>
      <c r="K45" s="9">
        <v>6</v>
      </c>
      <c r="L45" s="10"/>
    </row>
    <row r="46" spans="2:12" x14ac:dyDescent="0.35">
      <c r="B46" s="8"/>
      <c r="C46" s="9"/>
      <c r="D46" s="9" t="s">
        <v>83</v>
      </c>
      <c r="E46" s="15">
        <f>_xlfn.POISSON.DIST(E45,$F41, FALSE)</f>
        <v>0.45352077791601814</v>
      </c>
      <c r="F46" s="15">
        <f t="shared" ref="F46:K46" si="3">_xlfn.POISSON.DIST(F45,$F41, FALSE)</f>
        <v>0.3586053162281867</v>
      </c>
      <c r="G46" s="15">
        <f t="shared" si="3"/>
        <v>0.14177715673583885</v>
      </c>
      <c r="H46" s="15">
        <f t="shared" si="3"/>
        <v>3.73684033903319E-2</v>
      </c>
      <c r="I46" s="15">
        <f t="shared" si="3"/>
        <v>7.3869317389984529E-3</v>
      </c>
      <c r="J46" s="15">
        <f t="shared" si="3"/>
        <v>1.168190354758169E-3</v>
      </c>
      <c r="K46" s="15">
        <f t="shared" si="3"/>
        <v>1.5395078240507316E-4</v>
      </c>
      <c r="L46" s="10"/>
    </row>
    <row r="47" spans="2:12" x14ac:dyDescent="0.35">
      <c r="B47" s="8"/>
      <c r="C47" s="9"/>
      <c r="D47" s="9" t="s">
        <v>82</v>
      </c>
      <c r="E47" s="15">
        <f>_xlfn.POISSON.DIST(E45,$G41, FALSE)</f>
        <v>0.41375343262980013</v>
      </c>
      <c r="F47" s="15">
        <f t="shared" ref="F47:I47" si="4">_xlfn.POISSON.DIST(F45,$G41, FALSE)</f>
        <v>0.36513122113928531</v>
      </c>
      <c r="G47" s="15">
        <f t="shared" si="4"/>
        <v>0.16111142305609891</v>
      </c>
      <c r="H47" s="15">
        <f t="shared" si="4"/>
        <v>4.7392807729360754E-2</v>
      </c>
      <c r="I47" s="15">
        <f t="shared" si="4"/>
        <v>1.0455861145038452E-2</v>
      </c>
      <c r="J47" s="15">
        <f>_xlfn.POISSON.DIST(J45,$G41, FALSE)</f>
        <v>1.8454282414940516E-3</v>
      </c>
      <c r="K47" s="15">
        <f t="shared" ref="K47" si="5">_xlfn.POISSON.DIST(K45,$G41, FALSE)</f>
        <v>2.7142714082106496E-4</v>
      </c>
      <c r="L47" s="10"/>
    </row>
    <row r="48" spans="2:12" x14ac:dyDescent="0.35">
      <c r="B48" s="8"/>
      <c r="C48" s="9"/>
      <c r="D48" s="9"/>
      <c r="E48" s="9"/>
      <c r="F48" s="9"/>
      <c r="G48" s="9"/>
      <c r="H48" s="9"/>
      <c r="I48" s="9"/>
      <c r="J48" s="9"/>
      <c r="K48" s="9"/>
      <c r="L48" s="10"/>
    </row>
    <row r="49" spans="2:12" x14ac:dyDescent="0.35">
      <c r="B49" s="8"/>
      <c r="C49" s="9"/>
      <c r="D49" s="9"/>
      <c r="E49" s="9"/>
      <c r="F49" s="9"/>
      <c r="G49" s="9"/>
      <c r="H49" s="9"/>
      <c r="I49" s="9"/>
      <c r="J49" s="9"/>
      <c r="K49" s="9"/>
      <c r="L49" s="10"/>
    </row>
    <row r="50" spans="2:12" x14ac:dyDescent="0.35">
      <c r="B50" s="8"/>
      <c r="C50" s="9"/>
      <c r="D50" s="9"/>
      <c r="E50" s="9"/>
      <c r="F50" s="9"/>
      <c r="G50" s="9"/>
      <c r="H50" s="9"/>
      <c r="I50" s="9"/>
      <c r="J50" s="9"/>
      <c r="K50" s="9"/>
      <c r="L50" s="10"/>
    </row>
    <row r="51" spans="2:12" x14ac:dyDescent="0.35">
      <c r="B51" s="8"/>
      <c r="C51" s="9"/>
      <c r="D51" s="9"/>
      <c r="E51" s="9"/>
      <c r="F51" s="9"/>
      <c r="G51" s="9"/>
      <c r="H51" s="9"/>
      <c r="I51" s="9"/>
      <c r="J51" s="9"/>
      <c r="K51" s="9"/>
      <c r="L51" s="10"/>
    </row>
    <row r="52" spans="2:12" x14ac:dyDescent="0.35">
      <c r="B52" s="8"/>
      <c r="C52" s="9"/>
      <c r="D52" s="9" t="s">
        <v>86</v>
      </c>
      <c r="E52" s="9"/>
      <c r="F52" s="9"/>
      <c r="G52" s="9"/>
      <c r="H52" s="9"/>
      <c r="I52" s="9"/>
      <c r="J52" s="9"/>
      <c r="K52" s="9"/>
      <c r="L52" s="10"/>
    </row>
    <row r="53" spans="2:12" x14ac:dyDescent="0.35">
      <c r="B53" s="8"/>
      <c r="C53" s="9"/>
      <c r="D53" s="9"/>
      <c r="E53" s="9" t="s">
        <v>83</v>
      </c>
      <c r="F53" s="9"/>
      <c r="G53" s="9"/>
      <c r="H53" s="9"/>
      <c r="I53" s="9"/>
      <c r="J53" s="9"/>
      <c r="K53" s="9"/>
      <c r="L53" s="10"/>
    </row>
    <row r="54" spans="2:12" x14ac:dyDescent="0.35">
      <c r="B54" s="8"/>
      <c r="C54" s="9"/>
      <c r="D54" s="9" t="s">
        <v>82</v>
      </c>
      <c r="E54" s="9">
        <v>0</v>
      </c>
      <c r="F54" s="9">
        <v>1</v>
      </c>
      <c r="G54" s="9">
        <v>2</v>
      </c>
      <c r="H54" s="9">
        <v>3</v>
      </c>
      <c r="I54" s="9">
        <v>4</v>
      </c>
      <c r="J54" s="9">
        <v>5</v>
      </c>
      <c r="K54" s="9">
        <v>6</v>
      </c>
      <c r="L54" s="10"/>
    </row>
    <row r="55" spans="2:12" x14ac:dyDescent="0.35">
      <c r="B55" s="8"/>
      <c r="C55" s="9"/>
      <c r="D55" s="9">
        <v>0</v>
      </c>
      <c r="E55" s="16">
        <f>E46*E47</f>
        <v>0.18764577863168977</v>
      </c>
      <c r="F55" s="16">
        <f>F46*E47</f>
        <v>0.14837418054870721</v>
      </c>
      <c r="G55" s="16">
        <f>G46*E47</f>
        <v>5.8660785267946512E-2</v>
      </c>
      <c r="H55" s="16">
        <f>H46*E47</f>
        <v>1.5461305174644885E-2</v>
      </c>
      <c r="I55" s="16">
        <f>I46*E47</f>
        <v>3.0563683636126286E-3</v>
      </c>
      <c r="J55" s="16">
        <f>J46*E47</f>
        <v>4.8334276924621636E-4</v>
      </c>
      <c r="K55" s="16">
        <f>K46*E47</f>
        <v>6.3697664676142451E-5</v>
      </c>
      <c r="L55" s="10"/>
    </row>
    <row r="56" spans="2:12" x14ac:dyDescent="0.35">
      <c r="B56" s="8"/>
      <c r="C56" s="9"/>
      <c r="D56" s="9">
        <v>1</v>
      </c>
      <c r="E56" s="16">
        <f>E46*F47</f>
        <v>0.16559459545251431</v>
      </c>
      <c r="F56" s="16">
        <f>F46*F47</f>
        <v>0.13093799702143738</v>
      </c>
      <c r="G56" s="16">
        <f>G46*F47</f>
        <v>5.1767266368612688E-2</v>
      </c>
      <c r="H56" s="16">
        <f>H46*F47</f>
        <v>1.3644370761937296E-2</v>
      </c>
      <c r="I56" s="16">
        <f>I46*F47</f>
        <v>2.6971994063330496E-3</v>
      </c>
      <c r="J56" s="16">
        <f>F47*J46</f>
        <v>4.2654277075598516E-4</v>
      </c>
      <c r="K56" s="16">
        <f>F47*K46</f>
        <v>5.6212237174912763E-5</v>
      </c>
      <c r="L56" s="10"/>
    </row>
    <row r="57" spans="2:12" x14ac:dyDescent="0.35">
      <c r="B57" s="8"/>
      <c r="C57" s="9"/>
      <c r="D57" s="9">
        <v>2</v>
      </c>
      <c r="E57" s="16">
        <f>E46*G47</f>
        <v>7.3067377915558673E-2</v>
      </c>
      <c r="F57" s="16">
        <f>G47*F46</f>
        <v>5.7775412813005515E-2</v>
      </c>
      <c r="G57" s="16">
        <f>G46*G47</f>
        <v>2.2841919478558577E-2</v>
      </c>
      <c r="H57" s="16">
        <f>G47*H46</f>
        <v>6.0204766475507234E-3</v>
      </c>
      <c r="I57" s="16">
        <f>G47*I46</f>
        <v>1.1901190844883041E-3</v>
      </c>
      <c r="J57" s="16">
        <f>J46*G47</f>
        <v>1.8820881045549762E-4</v>
      </c>
      <c r="K57" s="16">
        <f>K46*G47</f>
        <v>2.4803229633881171E-5</v>
      </c>
      <c r="L57" s="10"/>
    </row>
    <row r="58" spans="2:12" x14ac:dyDescent="0.35">
      <c r="B58" s="8"/>
      <c r="C58" s="9"/>
      <c r="D58" s="9">
        <v>3</v>
      </c>
      <c r="E58" s="16">
        <f>E46*H47</f>
        <v>2.1493623029043965E-2</v>
      </c>
      <c r="F58" s="16">
        <f>H47*F46</f>
        <v>1.6995312802729066E-2</v>
      </c>
      <c r="G58" s="16">
        <f>H47*G46</f>
        <v>6.719217529597055E-3</v>
      </c>
      <c r="H58" s="16">
        <f>H46*H47</f>
        <v>1.7709935570311922E-3</v>
      </c>
      <c r="I58" s="16">
        <f>H47*I46</f>
        <v>3.5008743561626616E-4</v>
      </c>
      <c r="J58" s="16">
        <f>H47*J46</f>
        <v>5.5363820874347634E-5</v>
      </c>
      <c r="K58" s="16">
        <f>H47*K46</f>
        <v>7.2961598303082868E-6</v>
      </c>
      <c r="L58" s="10"/>
    </row>
    <row r="59" spans="2:12" x14ac:dyDescent="0.35">
      <c r="B59" s="8"/>
      <c r="C59" s="9"/>
      <c r="D59" s="9">
        <v>4</v>
      </c>
      <c r="E59" s="16">
        <f>E46*I47</f>
        <v>4.7419502802797065E-3</v>
      </c>
      <c r="F59" s="16">
        <f>F46*I47</f>
        <v>3.7495273923545242E-3</v>
      </c>
      <c r="G59" s="16">
        <f>I47*G46</f>
        <v>1.4824022643682841E-3</v>
      </c>
      <c r="H59" s="16">
        <f>I47*H46</f>
        <v>3.9071883706109445E-4</v>
      </c>
      <c r="I59" s="16">
        <f>I46*I47</f>
        <v>7.7236732550845251E-5</v>
      </c>
      <c r="J59" s="16">
        <f>I47*J46</f>
        <v>1.2214436140324624E-5</v>
      </c>
      <c r="K59" s="16">
        <f>I47*K46</f>
        <v>1.6096880039974739E-6</v>
      </c>
      <c r="L59" s="10"/>
    </row>
    <row r="60" spans="2:12" x14ac:dyDescent="0.35">
      <c r="B60" s="8"/>
      <c r="C60" s="9"/>
      <c r="D60" s="9">
        <v>5</v>
      </c>
      <c r="E60" s="16">
        <f>E46*J47</f>
        <v>8.3694005167057168E-4</v>
      </c>
      <c r="F60" s="16">
        <f>J47*F46</f>
        <v>6.6178037811740083E-4</v>
      </c>
      <c r="G60" s="16">
        <f>J47*G46</f>
        <v>2.6163956903904563E-4</v>
      </c>
      <c r="H60" s="16">
        <f>J47*H46</f>
        <v>6.896070695606055E-5</v>
      </c>
      <c r="I60" s="16">
        <f>J47*I46</f>
        <v>1.3632052449136511E-5</v>
      </c>
      <c r="J60" s="16">
        <f>J46*J47</f>
        <v>2.1558114721116799E-6</v>
      </c>
      <c r="K60" s="16">
        <f>J47*K46</f>
        <v>2.8410512165042755E-7</v>
      </c>
      <c r="L60" s="10"/>
    </row>
    <row r="61" spans="2:12" x14ac:dyDescent="0.35">
      <c r="B61" s="8"/>
      <c r="C61" s="9"/>
      <c r="D61" s="9">
        <v>6</v>
      </c>
      <c r="E61" s="16">
        <f>E46*K47</f>
        <v>1.2309784805268999E-4</v>
      </c>
      <c r="F61" s="16">
        <f>K47*F46</f>
        <v>9.7335215667050559E-5</v>
      </c>
      <c r="G61" s="16">
        <f>K47*G46</f>
        <v>3.8482168286548733E-5</v>
      </c>
      <c r="H61" s="16">
        <f>K47*H46</f>
        <v>1.0142798889285978E-5</v>
      </c>
      <c r="I61" s="16">
        <f>K47*I46</f>
        <v>2.0050137613567272E-6</v>
      </c>
      <c r="J61" s="16">
        <f>K47*J46</f>
        <v>3.1707856792675534E-7</v>
      </c>
      <c r="K61" s="16">
        <f>K47*K46</f>
        <v>4.1786420695374923E-8</v>
      </c>
      <c r="L61" s="10"/>
    </row>
    <row r="62" spans="2:12" x14ac:dyDescent="0.35">
      <c r="B62" s="8"/>
      <c r="C62" s="9"/>
      <c r="D62" s="9"/>
      <c r="E62" s="9"/>
      <c r="F62" s="9"/>
      <c r="G62" s="9"/>
      <c r="H62" s="9"/>
      <c r="I62" s="9"/>
      <c r="J62" s="9"/>
      <c r="K62" s="9"/>
      <c r="L62" s="10"/>
    </row>
    <row r="63" spans="2:12" x14ac:dyDescent="0.35">
      <c r="B63" s="8"/>
      <c r="C63" s="9"/>
      <c r="D63" s="9"/>
      <c r="E63" s="9"/>
      <c r="F63" s="9"/>
      <c r="G63" s="9"/>
      <c r="H63" s="9"/>
      <c r="I63" s="9"/>
      <c r="J63" s="9" t="s">
        <v>87</v>
      </c>
      <c r="K63" s="16">
        <f>SUM(E55:K61)</f>
        <v>0.99994232896849211</v>
      </c>
      <c r="L63" s="10"/>
    </row>
    <row r="64" spans="2:12" ht="15" thickBot="1" x14ac:dyDescent="0.4"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9"/>
    </row>
    <row r="68" spans="2:12" ht="15" thickBot="1" x14ac:dyDescent="0.4"/>
    <row r="69" spans="2:12" x14ac:dyDescent="0.35">
      <c r="B69" s="5"/>
      <c r="C69" s="6"/>
      <c r="D69" s="6"/>
      <c r="E69" s="6"/>
      <c r="F69" s="6"/>
      <c r="G69" s="6"/>
      <c r="H69" s="6"/>
      <c r="I69" s="6"/>
      <c r="J69" s="6"/>
      <c r="K69" s="6"/>
      <c r="L69" s="7"/>
    </row>
    <row r="70" spans="2:12" x14ac:dyDescent="0.35">
      <c r="B70" s="8"/>
      <c r="C70" s="9" t="s">
        <v>90</v>
      </c>
      <c r="D70" s="9"/>
      <c r="E70" s="9"/>
      <c r="F70" s="9"/>
      <c r="G70" s="9"/>
      <c r="H70" s="9"/>
      <c r="I70" s="9"/>
      <c r="J70" s="9"/>
      <c r="K70" s="9"/>
      <c r="L70" s="10"/>
    </row>
    <row r="71" spans="2:12" x14ac:dyDescent="0.35">
      <c r="B71" s="8"/>
      <c r="C71" s="9"/>
      <c r="D71" s="9"/>
      <c r="E71" s="9"/>
      <c r="F71" s="9"/>
      <c r="G71" s="9"/>
      <c r="H71" s="9"/>
      <c r="I71" s="9"/>
      <c r="J71" s="9"/>
      <c r="K71" s="9"/>
      <c r="L71" s="10"/>
    </row>
    <row r="72" spans="2:12" x14ac:dyDescent="0.35">
      <c r="B72" s="8"/>
      <c r="C72" s="9"/>
      <c r="D72" s="9"/>
      <c r="E72" s="9"/>
      <c r="F72" s="11" t="s">
        <v>84</v>
      </c>
      <c r="G72" s="11"/>
      <c r="H72" s="9"/>
      <c r="I72" s="12" t="s">
        <v>83</v>
      </c>
      <c r="J72" s="12" t="s">
        <v>88</v>
      </c>
      <c r="K72" s="12" t="s">
        <v>82</v>
      </c>
      <c r="L72" s="10"/>
    </row>
    <row r="73" spans="2:12" x14ac:dyDescent="0.35">
      <c r="B73" s="8"/>
      <c r="C73" s="9"/>
      <c r="D73" s="9" t="s">
        <v>81</v>
      </c>
      <c r="E73" s="9" t="s">
        <v>82</v>
      </c>
      <c r="F73" s="9" t="s">
        <v>83</v>
      </c>
      <c r="G73" s="9" t="s">
        <v>82</v>
      </c>
      <c r="H73" s="9"/>
      <c r="I73" s="13">
        <f>SUM(F88:K88, G89:K89,H90:K90,I91:K91,J92:K92,K93)/K96</f>
        <v>0.37262373025043111</v>
      </c>
      <c r="J73" s="13">
        <f>SUM(E88,F89,G90,H91,I92,J93,K94)/K96</f>
        <v>0.31707442452133922</v>
      </c>
      <c r="K73" s="13">
        <f>SUM(E89:E94,F90:F94,G91:G94,H92:H94,I93:I94,J94)/K96</f>
        <v>0.31030184522822979</v>
      </c>
      <c r="L73" s="10"/>
    </row>
    <row r="74" spans="2:12" x14ac:dyDescent="0.35">
      <c r="B74" s="8"/>
      <c r="C74" s="9"/>
      <c r="D74" s="9" t="str">
        <f>BackTest!D8</f>
        <v>Burnley</v>
      </c>
      <c r="E74" s="9" t="str">
        <f>BackTest!E8</f>
        <v>Brighton and Hove Albion</v>
      </c>
      <c r="F74" s="9">
        <f>(VLOOKUP($D74,Calculator!$F$11:$V$30,10,FALSE) *VLOOKUP($E74,Calculator!$F$11:$V$30,13,FALSE))*BackTest!$C$3 + (VLOOKUP($D74,Calculator!$F$11:$V$30,14,FALSE) *VLOOKUP($E74,Calculator!$F$11:$V$30,17,FALSE)) *BackTest!$C$4</f>
        <v>1.0105354118881817</v>
      </c>
      <c r="G74" s="9">
        <f>(VLOOKUP($E74,Calculator!$F$11:$V$30,12,FALSE) *VLOOKUP($D74,Calculator!$F$11:$V$30,11,FALSE))*BackTest!$C$3 + (VLOOKUP($E74,Calculator!$F$11:$V$30,16,FALSE) *VLOOKUP($D74,Calculator!$F$11:$V$30,15,FALSE)) *BackTest!$C$4</f>
        <v>0.89375465339342064</v>
      </c>
      <c r="H74" s="9"/>
      <c r="I74" s="14"/>
      <c r="J74" s="14"/>
      <c r="K74" s="14"/>
      <c r="L74" s="10"/>
    </row>
    <row r="75" spans="2:12" x14ac:dyDescent="0.35">
      <c r="B75" s="8"/>
      <c r="C75" s="9"/>
      <c r="D75" s="9"/>
      <c r="E75" s="9"/>
      <c r="F75" s="9"/>
      <c r="G75" s="9"/>
      <c r="H75" s="9"/>
      <c r="I75" s="9"/>
      <c r="J75" s="9"/>
      <c r="K75" s="9"/>
      <c r="L75" s="10"/>
    </row>
    <row r="76" spans="2:12" x14ac:dyDescent="0.35">
      <c r="B76" s="8"/>
      <c r="C76" s="9"/>
      <c r="D76" s="9"/>
      <c r="E76" s="9"/>
      <c r="F76" s="9"/>
      <c r="G76" s="9"/>
      <c r="H76" s="9"/>
      <c r="I76" s="9"/>
      <c r="J76" s="9"/>
      <c r="K76" s="9"/>
      <c r="L76" s="10"/>
    </row>
    <row r="77" spans="2:12" x14ac:dyDescent="0.35">
      <c r="B77" s="8"/>
      <c r="C77" s="9"/>
      <c r="D77" s="9"/>
      <c r="E77" s="9"/>
      <c r="F77" s="9"/>
      <c r="G77" s="9"/>
      <c r="H77" s="9"/>
      <c r="I77" s="9"/>
      <c r="J77" s="9"/>
      <c r="K77" s="9"/>
      <c r="L77" s="10"/>
    </row>
    <row r="78" spans="2:12" x14ac:dyDescent="0.35">
      <c r="B78" s="8"/>
      <c r="C78" s="9"/>
      <c r="D78" s="9"/>
      <c r="E78" s="9">
        <v>0</v>
      </c>
      <c r="F78" s="9">
        <v>1</v>
      </c>
      <c r="G78" s="9">
        <v>2</v>
      </c>
      <c r="H78" s="9">
        <v>3</v>
      </c>
      <c r="I78" s="9">
        <v>4</v>
      </c>
      <c r="J78" s="9">
        <v>5</v>
      </c>
      <c r="K78" s="9">
        <v>6</v>
      </c>
      <c r="L78" s="10"/>
    </row>
    <row r="79" spans="2:12" x14ac:dyDescent="0.35">
      <c r="B79" s="8"/>
      <c r="C79" s="9"/>
      <c r="D79" s="9" t="s">
        <v>83</v>
      </c>
      <c r="E79" s="15">
        <f>_xlfn.POISSON.DIST(E78,$F74, FALSE)</f>
        <v>0.36402402459522254</v>
      </c>
      <c r="F79" s="15">
        <f t="shared" ref="F79:K79" si="6">_xlfn.POISSON.DIST(F78,$F74, FALSE)</f>
        <v>0.36785916763152682</v>
      </c>
      <c r="G79" s="15">
        <f t="shared" si="6"/>
        <v>0.1858673577396843</v>
      </c>
      <c r="H79" s="15">
        <f t="shared" si="6"/>
        <v>6.2608515636679976E-2</v>
      </c>
      <c r="I79" s="15">
        <f t="shared" si="6"/>
        <v>1.5817030534155015E-2</v>
      </c>
      <c r="J79" s="15">
        <f t="shared" si="6"/>
        <v>3.1967338931360579E-3</v>
      </c>
      <c r="K79" s="15">
        <f t="shared" si="6"/>
        <v>5.3840213356619261E-4</v>
      </c>
      <c r="L79" s="10"/>
    </row>
    <row r="80" spans="2:12" x14ac:dyDescent="0.35">
      <c r="B80" s="8"/>
      <c r="C80" s="9"/>
      <c r="D80" s="9" t="s">
        <v>82</v>
      </c>
      <c r="E80" s="15">
        <f>_xlfn.POISSON.DIST(E78,$G74, FALSE)</f>
        <v>0.40911677371115523</v>
      </c>
      <c r="F80" s="15">
        <f t="shared" ref="F80:I80" si="7">_xlfn.POISSON.DIST(F78,$G74, FALSE)</f>
        <v>0.36565002028564803</v>
      </c>
      <c r="G80" s="15">
        <f t="shared" si="7"/>
        <v>0.16340070357184827</v>
      </c>
      <c r="H80" s="15">
        <f t="shared" si="7"/>
        <v>4.8680046395032789E-2</v>
      </c>
      <c r="I80" s="15">
        <f t="shared" si="7"/>
        <v>1.0877004498242039E-2</v>
      </c>
      <c r="J80" s="15">
        <f>_xlfn.POISSON.DIST(J78,$G74, FALSE)</f>
        <v>1.9442746770569985E-3</v>
      </c>
      <c r="K80" s="15">
        <f t="shared" ref="K80" si="8">_xlfn.POISSON.DIST(K78,$G74, FALSE)</f>
        <v>2.8961742334911367E-4</v>
      </c>
      <c r="L80" s="10"/>
    </row>
    <row r="81" spans="2:12" x14ac:dyDescent="0.35">
      <c r="B81" s="8"/>
      <c r="C81" s="9"/>
      <c r="D81" s="9"/>
      <c r="E81" s="9"/>
      <c r="F81" s="9"/>
      <c r="G81" s="9"/>
      <c r="H81" s="9"/>
      <c r="I81" s="9"/>
      <c r="J81" s="9"/>
      <c r="K81" s="9"/>
      <c r="L81" s="10"/>
    </row>
    <row r="82" spans="2:12" x14ac:dyDescent="0.35">
      <c r="B82" s="8"/>
      <c r="C82" s="9"/>
      <c r="D82" s="9"/>
      <c r="E82" s="9"/>
      <c r="F82" s="9"/>
      <c r="G82" s="9"/>
      <c r="H82" s="9"/>
      <c r="I82" s="9"/>
      <c r="J82" s="9"/>
      <c r="K82" s="9"/>
      <c r="L82" s="10"/>
    </row>
    <row r="83" spans="2:12" x14ac:dyDescent="0.35">
      <c r="B83" s="8"/>
      <c r="C83" s="9"/>
      <c r="D83" s="9"/>
      <c r="E83" s="9"/>
      <c r="F83" s="9"/>
      <c r="G83" s="9"/>
      <c r="H83" s="9"/>
      <c r="I83" s="9"/>
      <c r="J83" s="9"/>
      <c r="K83" s="9"/>
      <c r="L83" s="10"/>
    </row>
    <row r="84" spans="2:12" x14ac:dyDescent="0.35">
      <c r="B84" s="8"/>
      <c r="C84" s="9"/>
      <c r="D84" s="9"/>
      <c r="E84" s="9"/>
      <c r="F84" s="9"/>
      <c r="G84" s="9"/>
      <c r="H84" s="9"/>
      <c r="I84" s="9"/>
      <c r="J84" s="9"/>
      <c r="K84" s="9"/>
      <c r="L84" s="10"/>
    </row>
    <row r="85" spans="2:12" x14ac:dyDescent="0.35">
      <c r="B85" s="8"/>
      <c r="C85" s="9"/>
      <c r="D85" s="9" t="s">
        <v>86</v>
      </c>
      <c r="E85" s="9"/>
      <c r="F85" s="9"/>
      <c r="G85" s="9"/>
      <c r="H85" s="9"/>
      <c r="I85" s="9"/>
      <c r="J85" s="9"/>
      <c r="K85" s="9"/>
      <c r="L85" s="10"/>
    </row>
    <row r="86" spans="2:12" x14ac:dyDescent="0.35">
      <c r="B86" s="8"/>
      <c r="C86" s="9"/>
      <c r="D86" s="9"/>
      <c r="E86" s="9" t="s">
        <v>83</v>
      </c>
      <c r="F86" s="9"/>
      <c r="G86" s="9"/>
      <c r="H86" s="9"/>
      <c r="I86" s="9"/>
      <c r="J86" s="9"/>
      <c r="K86" s="9"/>
      <c r="L86" s="10"/>
    </row>
    <row r="87" spans="2:12" x14ac:dyDescent="0.35">
      <c r="B87" s="8"/>
      <c r="C87" s="9"/>
      <c r="D87" s="9" t="s">
        <v>82</v>
      </c>
      <c r="E87" s="9">
        <v>0</v>
      </c>
      <c r="F87" s="9">
        <v>1</v>
      </c>
      <c r="G87" s="9">
        <v>2</v>
      </c>
      <c r="H87" s="9">
        <v>3</v>
      </c>
      <c r="I87" s="9">
        <v>4</v>
      </c>
      <c r="J87" s="9">
        <v>5</v>
      </c>
      <c r="K87" s="9">
        <v>6</v>
      </c>
      <c r="L87" s="10"/>
    </row>
    <row r="88" spans="2:12" x14ac:dyDescent="0.35">
      <c r="B88" s="8"/>
      <c r="C88" s="9"/>
      <c r="D88" s="9">
        <v>0</v>
      </c>
      <c r="E88" s="16">
        <f>E79*E80</f>
        <v>0.14892833449574766</v>
      </c>
      <c r="F88" s="16">
        <f>F79*E80</f>
        <v>0.15049735584148127</v>
      </c>
      <c r="G88" s="16">
        <f>G79*E80</f>
        <v>7.6041453736676756E-2</v>
      </c>
      <c r="H88" s="16">
        <f>H79*E80</f>
        <v>2.5614193924122924E-2</v>
      </c>
      <c r="I88" s="16">
        <f>I79*E80</f>
        <v>6.4710125018243303E-3</v>
      </c>
      <c r="J88" s="16">
        <f>J79*E80</f>
        <v>1.3078374567729249E-3</v>
      </c>
      <c r="K88" s="16">
        <f>K79*E80</f>
        <v>2.2026934384380319E-4</v>
      </c>
      <c r="L88" s="10"/>
    </row>
    <row r="89" spans="2:12" x14ac:dyDescent="0.35">
      <c r="B89" s="8"/>
      <c r="C89" s="9"/>
      <c r="D89" s="9">
        <v>1</v>
      </c>
      <c r="E89" s="16">
        <f>E79*F80</f>
        <v>0.13310539197770635</v>
      </c>
      <c r="F89" s="16">
        <f>F79*F80</f>
        <v>0.13450771210672938</v>
      </c>
      <c r="G89" s="16">
        <f>G79*F80</f>
        <v>6.7962403127955359E-2</v>
      </c>
      <c r="H89" s="16">
        <f>H79*F80</f>
        <v>2.2892805012606345E-2</v>
      </c>
      <c r="I89" s="16">
        <f>I79*F80</f>
        <v>5.7834975356724954E-3</v>
      </c>
      <c r="J89" s="16">
        <f>F80*J79</f>
        <v>1.1688858128730182E-3</v>
      </c>
      <c r="K89" s="16">
        <f>F80*K79</f>
        <v>1.968667510603145E-4</v>
      </c>
      <c r="L89" s="10"/>
    </row>
    <row r="90" spans="2:12" x14ac:dyDescent="0.35">
      <c r="B90" s="8"/>
      <c r="C90" s="9"/>
      <c r="D90" s="9">
        <v>2</v>
      </c>
      <c r="E90" s="16">
        <f>E79*G80</f>
        <v>5.948178173591516E-2</v>
      </c>
      <c r="F90" s="16">
        <f>G80*F79</f>
        <v>6.0108446806345958E-2</v>
      </c>
      <c r="G90" s="16">
        <f>G79*G80</f>
        <v>3.0370857025704832E-2</v>
      </c>
      <c r="H90" s="16">
        <f>G80*H79</f>
        <v>1.0230275504622572E-2</v>
      </c>
      <c r="I90" s="16">
        <f>G80*I79</f>
        <v>2.5845139176983367E-3</v>
      </c>
      <c r="J90" s="16">
        <f>J79*G80</f>
        <v>5.2234856727040552E-4</v>
      </c>
      <c r="K90" s="16">
        <f>K79*G80</f>
        <v>8.7975287429300098E-5</v>
      </c>
      <c r="L90" s="10"/>
    </row>
    <row r="91" spans="2:12" x14ac:dyDescent="0.35">
      <c r="B91" s="8"/>
      <c r="C91" s="9"/>
      <c r="D91" s="9">
        <v>3</v>
      </c>
      <c r="E91" s="16">
        <f>E79*H80</f>
        <v>1.7720706406201991E-2</v>
      </c>
      <c r="F91" s="16">
        <f>H80*F79</f>
        <v>1.7907401347140868E-2</v>
      </c>
      <c r="G91" s="16">
        <f>H80*G79</f>
        <v>9.0480315980899888E-3</v>
      </c>
      <c r="H91" s="16">
        <f>H79*H80</f>
        <v>3.0477854459177172E-3</v>
      </c>
      <c r="I91" s="16">
        <f>H80*I79</f>
        <v>7.6997378023431636E-4</v>
      </c>
      <c r="J91" s="16">
        <f>H80*J79</f>
        <v>1.5561715423043708E-4</v>
      </c>
      <c r="K91" s="16">
        <f>H80*K79</f>
        <v>2.6209440841186898E-5</v>
      </c>
      <c r="L91" s="10"/>
    </row>
    <row r="92" spans="2:12" x14ac:dyDescent="0.35">
      <c r="B92" s="8"/>
      <c r="C92" s="9"/>
      <c r="D92" s="9">
        <v>4</v>
      </c>
      <c r="E92" s="16">
        <f>E79*I80</f>
        <v>3.9594909529904057E-3</v>
      </c>
      <c r="F92" s="16">
        <f>F79*I80</f>
        <v>4.0012058210476898E-3</v>
      </c>
      <c r="G92" s="16">
        <f>I80*G79</f>
        <v>2.0216800862109083E-3</v>
      </c>
      <c r="H92" s="16">
        <f>I80*H79</f>
        <v>6.8099310620842516E-4</v>
      </c>
      <c r="I92" s="16">
        <f>I79*I80</f>
        <v>1.7204191226883578E-4</v>
      </c>
      <c r="J92" s="16">
        <f>I80*J79</f>
        <v>3.4770888935323687E-5</v>
      </c>
      <c r="K92" s="16">
        <f>I80*K79</f>
        <v>5.856202428662588E-6</v>
      </c>
      <c r="L92" s="10"/>
    </row>
    <row r="93" spans="2:12" x14ac:dyDescent="0.35">
      <c r="B93" s="8"/>
      <c r="C93" s="9"/>
      <c r="D93" s="9">
        <v>5</v>
      </c>
      <c r="E93" s="16">
        <f>E79*J80</f>
        <v>7.0776269286086516E-4</v>
      </c>
      <c r="F93" s="16">
        <f>J80*F79</f>
        <v>7.1521926434924314E-4</v>
      </c>
      <c r="G93" s="16">
        <f>J80*G79</f>
        <v>3.6137719694476228E-4</v>
      </c>
      <c r="H93" s="16">
        <f>J80*H79</f>
        <v>1.21728151520524E-4</v>
      </c>
      <c r="I93" s="16">
        <f>J80*I79</f>
        <v>3.0752651933794926E-5</v>
      </c>
      <c r="J93" s="16">
        <f>J79*J80</f>
        <v>6.2153287577142703E-6</v>
      </c>
      <c r="K93" s="16">
        <f>J80*K79</f>
        <v>1.0468016343662082E-6</v>
      </c>
      <c r="L93" s="10"/>
    </row>
    <row r="94" spans="2:12" x14ac:dyDescent="0.35">
      <c r="B94" s="8"/>
      <c r="C94" s="9"/>
      <c r="D94" s="9">
        <v>6</v>
      </c>
      <c r="E94" s="16">
        <f>E79*K80</f>
        <v>1.0542770004044273E-4</v>
      </c>
      <c r="F94" s="16">
        <f>K80*F79</f>
        <v>1.0653842428479248E-4</v>
      </c>
      <c r="G94" s="16">
        <f>K80*G79</f>
        <v>5.3830425233275307E-5</v>
      </c>
      <c r="H94" s="16">
        <f>K80*H79</f>
        <v>1.8132516978407947E-5</v>
      </c>
      <c r="I94" s="16">
        <f>K80*I79</f>
        <v>4.5808876283362306E-6</v>
      </c>
      <c r="J94" s="16">
        <f>K80*J79</f>
        <v>9.2582983326284597E-7</v>
      </c>
      <c r="K94" s="16">
        <f>K80*K79</f>
        <v>1.5593063864910605E-7</v>
      </c>
      <c r="L94" s="10"/>
    </row>
    <row r="95" spans="2:12" x14ac:dyDescent="0.35">
      <c r="B95" s="8"/>
      <c r="C95" s="9"/>
      <c r="D95" s="9"/>
      <c r="E95" s="9"/>
      <c r="F95" s="9"/>
      <c r="G95" s="9"/>
      <c r="H95" s="9"/>
      <c r="I95" s="9"/>
      <c r="J95" s="9"/>
      <c r="K95" s="9"/>
      <c r="L95" s="10"/>
    </row>
    <row r="96" spans="2:12" x14ac:dyDescent="0.35">
      <c r="B96" s="8"/>
      <c r="C96" s="9"/>
      <c r="D96" s="9"/>
      <c r="E96" s="9"/>
      <c r="F96" s="9"/>
      <c r="G96" s="9"/>
      <c r="H96" s="9"/>
      <c r="I96" s="9"/>
      <c r="J96" s="9" t="s">
        <v>87</v>
      </c>
      <c r="K96" s="16">
        <f>SUM(E88:K94)</f>
        <v>0.99986967641544455</v>
      </c>
      <c r="L96" s="10"/>
    </row>
    <row r="97" spans="2:12" ht="15" thickBot="1" x14ac:dyDescent="0.4"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9"/>
    </row>
    <row r="101" spans="2:12" ht="15" thickBot="1" x14ac:dyDescent="0.4"/>
    <row r="102" spans="2:12" x14ac:dyDescent="0.35"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7"/>
    </row>
    <row r="103" spans="2:12" x14ac:dyDescent="0.35">
      <c r="B103" s="8"/>
      <c r="C103" s="9" t="s">
        <v>91</v>
      </c>
      <c r="D103" s="9"/>
      <c r="E103" s="9"/>
      <c r="F103" s="9"/>
      <c r="G103" s="9"/>
      <c r="H103" s="9"/>
      <c r="I103" s="9"/>
      <c r="J103" s="9"/>
      <c r="K103" s="9"/>
      <c r="L103" s="10"/>
    </row>
    <row r="104" spans="2:12" x14ac:dyDescent="0.35"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10"/>
    </row>
    <row r="105" spans="2:12" x14ac:dyDescent="0.35">
      <c r="B105" s="8"/>
      <c r="C105" s="9"/>
      <c r="D105" s="9"/>
      <c r="E105" s="9"/>
      <c r="F105" s="11" t="s">
        <v>84</v>
      </c>
      <c r="G105" s="11"/>
      <c r="H105" s="9"/>
      <c r="I105" s="12" t="s">
        <v>83</v>
      </c>
      <c r="J105" s="12" t="s">
        <v>88</v>
      </c>
      <c r="K105" s="12" t="s">
        <v>82</v>
      </c>
      <c r="L105" s="10"/>
    </row>
    <row r="106" spans="2:12" x14ac:dyDescent="0.35">
      <c r="B106" s="8"/>
      <c r="C106" s="9"/>
      <c r="D106" s="9" t="s">
        <v>81</v>
      </c>
      <c r="E106" s="9" t="s">
        <v>82</v>
      </c>
      <c r="F106" s="9" t="s">
        <v>83</v>
      </c>
      <c r="G106" s="9" t="s">
        <v>82</v>
      </c>
      <c r="H106" s="9"/>
      <c r="I106" s="13">
        <f>SUM(F121:K121, G122:K122,H123:K123,I124:K124,J125:K125,K126)/K129</f>
        <v>0.42122861432823744</v>
      </c>
      <c r="J106" s="13">
        <f>SUM(E121,F122,G123,H124,I125,J126,K127)/K129</f>
        <v>0.33135171096103561</v>
      </c>
      <c r="K106" s="13">
        <f>SUM(E122:E127,F123:F127,G124:G127,H125:H127,I126:I127,J127)/K129</f>
        <v>0.24741967471072707</v>
      </c>
      <c r="L106" s="10"/>
    </row>
    <row r="107" spans="2:12" x14ac:dyDescent="0.35">
      <c r="B107" s="8"/>
      <c r="C107" s="9"/>
      <c r="D107" s="9" t="str">
        <f>BackTest!D9</f>
        <v>Everton</v>
      </c>
      <c r="E107" s="9" t="str">
        <f>BackTest!E9</f>
        <v>AFC Bournemouth</v>
      </c>
      <c r="F107" s="9">
        <f>(VLOOKUP($D107,Calculator!$F$11:$V$30,10,FALSE) *VLOOKUP($E107,Calculator!$F$11:$V$30,13,FALSE))*BackTest!$C$3 + (VLOOKUP($D107,Calculator!$F$11:$V$30,14,FALSE) *VLOOKUP($E107,Calculator!$F$11:$V$30,17,FALSE)) *BackTest!$C$4</f>
        <v>1.0195372512990781</v>
      </c>
      <c r="G107" s="9">
        <f>(VLOOKUP($E107,Calculator!$F$11:$V$30,12,FALSE) *VLOOKUP($D107,Calculator!$F$11:$V$30,11,FALSE))*BackTest!$C$3 + (VLOOKUP($E107,Calculator!$F$11:$V$30,16,FALSE) *VLOOKUP($D107,Calculator!$F$11:$V$30,15,FALSE)) *BackTest!$C$4</f>
        <v>0.70513666701716404</v>
      </c>
      <c r="H107" s="9"/>
      <c r="I107" s="14"/>
      <c r="J107" s="14"/>
      <c r="K107" s="14"/>
      <c r="L107" s="10"/>
    </row>
    <row r="108" spans="2:12" x14ac:dyDescent="0.35"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10"/>
    </row>
    <row r="109" spans="2:12" x14ac:dyDescent="0.35"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10"/>
    </row>
    <row r="110" spans="2:12" x14ac:dyDescent="0.35"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10"/>
    </row>
    <row r="111" spans="2:12" x14ac:dyDescent="0.35">
      <c r="B111" s="8"/>
      <c r="C111" s="9"/>
      <c r="D111" s="9"/>
      <c r="E111" s="9">
        <v>0</v>
      </c>
      <c r="F111" s="9">
        <v>1</v>
      </c>
      <c r="G111" s="9">
        <v>2</v>
      </c>
      <c r="H111" s="9">
        <v>3</v>
      </c>
      <c r="I111" s="9">
        <v>4</v>
      </c>
      <c r="J111" s="9">
        <v>5</v>
      </c>
      <c r="K111" s="9">
        <v>6</v>
      </c>
      <c r="L111" s="10"/>
    </row>
    <row r="112" spans="2:12" x14ac:dyDescent="0.35">
      <c r="B112" s="8"/>
      <c r="C112" s="9"/>
      <c r="D112" s="9" t="s">
        <v>83</v>
      </c>
      <c r="E112" s="15">
        <f>_xlfn.POISSON.DIST(E111,$F107, FALSE)</f>
        <v>0.36076184362740238</v>
      </c>
      <c r="F112" s="15">
        <f t="shared" ref="F112:K112" si="9">_xlfn.POISSON.DIST(F111,$F107, FALSE)</f>
        <v>0.36781013842546967</v>
      </c>
      <c r="G112" s="15">
        <f t="shared" si="9"/>
        <v>0.18749806876511838</v>
      </c>
      <c r="H112" s="15">
        <f t="shared" si="9"/>
        <v>6.3720421884224776E-2</v>
      </c>
      <c r="I112" s="15">
        <f t="shared" si="9"/>
        <v>1.6241335944865036E-2</v>
      </c>
      <c r="J112" s="15">
        <f t="shared" si="9"/>
        <v>3.3117294013305242E-3</v>
      </c>
      <c r="K112" s="15">
        <f t="shared" si="9"/>
        <v>5.627385818131438E-4</v>
      </c>
      <c r="L112" s="10"/>
    </row>
    <row r="113" spans="2:12" x14ac:dyDescent="0.35">
      <c r="B113" s="8"/>
      <c r="C113" s="9"/>
      <c r="D113" s="9" t="s">
        <v>82</v>
      </c>
      <c r="E113" s="15">
        <f>_xlfn.POISSON.DIST(E111,$G107, FALSE)</f>
        <v>0.49404105052538144</v>
      </c>
      <c r="F113" s="15">
        <f t="shared" ref="F113:I113" si="10">_xlfn.POISSON.DIST(F111,$G107, FALSE)</f>
        <v>0.34836645973712582</v>
      </c>
      <c r="G113" s="15">
        <f t="shared" si="10"/>
        <v>0.12282298215980297</v>
      </c>
      <c r="H113" s="15">
        <f t="shared" si="10"/>
        <v>2.8868996091090688E-2</v>
      </c>
      <c r="I113" s="15">
        <f t="shared" si="10"/>
        <v>5.0891469209508053E-3</v>
      </c>
      <c r="J113" s="15">
        <f>_xlfn.POISSON.DIST(J111,$G107, FALSE)</f>
        <v>7.1770881955998309E-4</v>
      </c>
      <c r="K113" s="15">
        <f t="shared" ref="K113" si="11">_xlfn.POISSON.DIST(K111,$G107, FALSE)</f>
        <v>8.4347134152224889E-5</v>
      </c>
      <c r="L113" s="10"/>
    </row>
    <row r="114" spans="2:12" x14ac:dyDescent="0.35"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10"/>
    </row>
    <row r="115" spans="2:12" x14ac:dyDescent="0.35"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10"/>
    </row>
    <row r="116" spans="2:12" x14ac:dyDescent="0.35"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10"/>
    </row>
    <row r="117" spans="2:12" x14ac:dyDescent="0.35"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10"/>
    </row>
    <row r="118" spans="2:12" x14ac:dyDescent="0.35">
      <c r="B118" s="8"/>
      <c r="C118" s="9"/>
      <c r="D118" s="9" t="s">
        <v>86</v>
      </c>
      <c r="E118" s="9"/>
      <c r="F118" s="9"/>
      <c r="G118" s="9"/>
      <c r="H118" s="9"/>
      <c r="I118" s="9"/>
      <c r="J118" s="9"/>
      <c r="K118" s="9"/>
      <c r="L118" s="10"/>
    </row>
    <row r="119" spans="2:12" x14ac:dyDescent="0.35">
      <c r="B119" s="8"/>
      <c r="C119" s="9"/>
      <c r="D119" s="9"/>
      <c r="E119" s="9" t="s">
        <v>83</v>
      </c>
      <c r="F119" s="9"/>
      <c r="G119" s="9"/>
      <c r="H119" s="9"/>
      <c r="I119" s="9"/>
      <c r="J119" s="9"/>
      <c r="K119" s="9"/>
      <c r="L119" s="10"/>
    </row>
    <row r="120" spans="2:12" x14ac:dyDescent="0.35">
      <c r="B120" s="8"/>
      <c r="C120" s="9"/>
      <c r="D120" s="9" t="s">
        <v>82</v>
      </c>
      <c r="E120" s="9">
        <v>0</v>
      </c>
      <c r="F120" s="9">
        <v>1</v>
      </c>
      <c r="G120" s="9">
        <v>2</v>
      </c>
      <c r="H120" s="9">
        <v>3</v>
      </c>
      <c r="I120" s="9">
        <v>4</v>
      </c>
      <c r="J120" s="9">
        <v>5</v>
      </c>
      <c r="K120" s="9">
        <v>6</v>
      </c>
      <c r="L120" s="10"/>
    </row>
    <row r="121" spans="2:12" x14ac:dyDescent="0.35">
      <c r="B121" s="8"/>
      <c r="C121" s="9"/>
      <c r="D121" s="9">
        <v>0</v>
      </c>
      <c r="E121" s="16">
        <f>E112*E113</f>
        <v>0.17823116021515525</v>
      </c>
      <c r="F121" s="16">
        <f>F112*E113</f>
        <v>0.181713307181605</v>
      </c>
      <c r="G121" s="16">
        <f>G112*E113</f>
        <v>9.2631742864199285E-2</v>
      </c>
      <c r="H121" s="16">
        <f>H112*E113</f>
        <v>3.1480504167602917E-2</v>
      </c>
      <c r="I121" s="16">
        <f>I112*E113</f>
        <v>8.0238866721367604E-3</v>
      </c>
      <c r="J121" s="16">
        <f>J112*E113</f>
        <v>1.6361302724891248E-3</v>
      </c>
      <c r="K121" s="16">
        <f>K112*E113</f>
        <v>2.7801596013012889E-4</v>
      </c>
      <c r="L121" s="10"/>
    </row>
    <row r="122" spans="2:12" x14ac:dyDescent="0.35">
      <c r="B122" s="8"/>
      <c r="C122" s="9"/>
      <c r="D122" s="9">
        <v>1</v>
      </c>
      <c r="E122" s="16">
        <f>E112*F113</f>
        <v>0.12567732627271674</v>
      </c>
      <c r="F122" s="16">
        <f>F112*F113</f>
        <v>0.12813271577870305</v>
      </c>
      <c r="G122" s="16">
        <f>G112*F113</f>
        <v>6.5318038423252456E-2</v>
      </c>
      <c r="H122" s="16">
        <f>H112*F113</f>
        <v>2.2198057784763463E-2</v>
      </c>
      <c r="I122" s="16">
        <f>I112*F113</f>
        <v>5.6579367045139599E-3</v>
      </c>
      <c r="J122" s="16">
        <f>F113*J112</f>
        <v>1.1536954471488658E-3</v>
      </c>
      <c r="K122" s="16">
        <f>F113*K112</f>
        <v>1.9603924750373583E-4</v>
      </c>
      <c r="L122" s="10"/>
    </row>
    <row r="123" spans="2:12" x14ac:dyDescent="0.35">
      <c r="B123" s="8"/>
      <c r="C123" s="9"/>
      <c r="D123" s="9">
        <v>2</v>
      </c>
      <c r="E123" s="16">
        <f>E112*G113</f>
        <v>4.4309845483786074E-2</v>
      </c>
      <c r="F123" s="16">
        <f>G113*F112</f>
        <v>4.5175538070026125E-2</v>
      </c>
      <c r="G123" s="16">
        <f>G112*G113</f>
        <v>2.3029071954935646E-2</v>
      </c>
      <c r="H123" s="16">
        <f>G113*H112</f>
        <v>7.8263322403012581E-3</v>
      </c>
      <c r="I123" s="16">
        <f>G113*I112</f>
        <v>1.994809315007525E-3</v>
      </c>
      <c r="J123" s="16">
        <f>J112*G113</f>
        <v>4.0675648117771397E-4</v>
      </c>
      <c r="K123" s="16">
        <f>K112*G113</f>
        <v>6.9117230794668583E-5</v>
      </c>
      <c r="L123" s="10"/>
    </row>
    <row r="124" spans="2:12" x14ac:dyDescent="0.35">
      <c r="B124" s="8"/>
      <c r="C124" s="9"/>
      <c r="D124" s="9">
        <v>3</v>
      </c>
      <c r="E124" s="16">
        <f>E112*H113</f>
        <v>1.041483225349415E-2</v>
      </c>
      <c r="F124" s="16">
        <f>H113*F112</f>
        <v>1.0618309448468409E-2</v>
      </c>
      <c r="G124" s="16">
        <f>H113*G112</f>
        <v>5.4128810142672554E-3</v>
      </c>
      <c r="H124" s="16">
        <f>H112*H113</f>
        <v>1.8395446102983347E-3</v>
      </c>
      <c r="I124" s="16">
        <f>H113*I112</f>
        <v>4.6887106390639942E-4</v>
      </c>
      <c r="J124" s="16">
        <f>H113*J112</f>
        <v>9.5606303141761007E-5</v>
      </c>
      <c r="K124" s="16">
        <f>H113*K112</f>
        <v>1.6245697918669567E-5</v>
      </c>
      <c r="L124" s="10"/>
    </row>
    <row r="125" spans="2:12" x14ac:dyDescent="0.35">
      <c r="B125" s="8"/>
      <c r="C125" s="9"/>
      <c r="D125" s="9">
        <v>4</v>
      </c>
      <c r="E125" s="16">
        <f>E112*I113</f>
        <v>1.8359700256929308E-3</v>
      </c>
      <c r="F125" s="16">
        <f>F112*I113</f>
        <v>1.8718398334624685E-3</v>
      </c>
      <c r="G125" s="16">
        <f>I113*G112</f>
        <v>9.5420521934022455E-4</v>
      </c>
      <c r="H125" s="16">
        <f>I113*H112</f>
        <v>3.2428258883378881E-4</v>
      </c>
      <c r="I125" s="16">
        <f>I112*I113</f>
        <v>8.2654544815937534E-5</v>
      </c>
      <c r="J125" s="16">
        <f>I113*J112</f>
        <v>1.685387748580349E-5</v>
      </c>
      <c r="K125" s="16">
        <f>I113*K112</f>
        <v>2.8638593209345836E-6</v>
      </c>
      <c r="L125" s="10"/>
    </row>
    <row r="126" spans="2:12" x14ac:dyDescent="0.35">
      <c r="B126" s="8"/>
      <c r="C126" s="9"/>
      <c r="D126" s="9">
        <v>5</v>
      </c>
      <c r="E126" s="16">
        <f>E112*J113</f>
        <v>2.5892195693210616E-4</v>
      </c>
      <c r="F126" s="16">
        <f>J113*F112</f>
        <v>2.6398058027153783E-4</v>
      </c>
      <c r="G126" s="16">
        <f>J113*G112</f>
        <v>1.3456901760318965E-4</v>
      </c>
      <c r="H126" s="16">
        <f>J113*H112</f>
        <v>4.5732708772391074E-5</v>
      </c>
      <c r="I126" s="16">
        <f>J113*I112</f>
        <v>1.1656550049066207E-5</v>
      </c>
      <c r="J126" s="16">
        <f>J112*J113</f>
        <v>2.3768573993310198E-6</v>
      </c>
      <c r="K126" s="16">
        <f>J113*K112</f>
        <v>4.0388244327397038E-7</v>
      </c>
      <c r="L126" s="10"/>
    </row>
    <row r="127" spans="2:12" x14ac:dyDescent="0.35">
      <c r="B127" s="8"/>
      <c r="C127" s="9"/>
      <c r="D127" s="9">
        <v>6</v>
      </c>
      <c r="E127" s="16">
        <f>E112*K113</f>
        <v>3.0429227621444486E-5</v>
      </c>
      <c r="F127" s="16">
        <f>K113*F112</f>
        <v>3.1023731088321498E-5</v>
      </c>
      <c r="G127" s="16">
        <f>K113*G112</f>
        <v>1.5814924759414527E-5</v>
      </c>
      <c r="H127" s="16">
        <f>K113*H112</f>
        <v>5.3746349729050737E-6</v>
      </c>
      <c r="I127" s="16">
        <f>K113*I112</f>
        <v>1.3699101417528834E-6</v>
      </c>
      <c r="J127" s="16">
        <f>K113*J112</f>
        <v>2.7933488408989315E-7</v>
      </c>
      <c r="K127" s="16">
        <f>K113*K112</f>
        <v>4.746538665282602E-8</v>
      </c>
      <c r="L127" s="10"/>
    </row>
    <row r="128" spans="2:12" x14ac:dyDescent="0.35"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10"/>
    </row>
    <row r="129" spans="2:12" x14ac:dyDescent="0.35">
      <c r="B129" s="8"/>
      <c r="C129" s="9"/>
      <c r="D129" s="9"/>
      <c r="E129" s="9"/>
      <c r="F129" s="9"/>
      <c r="G129" s="9"/>
      <c r="H129" s="9"/>
      <c r="I129" s="9"/>
      <c r="J129" s="9" t="s">
        <v>87</v>
      </c>
      <c r="K129" s="16">
        <f>SUM(E121:K127)</f>
        <v>0.99989696889072222</v>
      </c>
      <c r="L129" s="10"/>
    </row>
    <row r="130" spans="2:12" ht="15" thickBot="1" x14ac:dyDescent="0.4">
      <c r="B130" s="17"/>
      <c r="C130" s="18"/>
      <c r="D130" s="18"/>
      <c r="E130" s="18"/>
      <c r="F130" s="18"/>
      <c r="G130" s="18"/>
      <c r="H130" s="18"/>
      <c r="I130" s="18"/>
      <c r="J130" s="18"/>
      <c r="K130" s="18"/>
      <c r="L130" s="19"/>
    </row>
    <row r="134" spans="2:12" ht="15" thickBot="1" x14ac:dyDescent="0.4"/>
    <row r="135" spans="2:12" x14ac:dyDescent="0.35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7"/>
    </row>
    <row r="136" spans="2:12" x14ac:dyDescent="0.35">
      <c r="B136" s="8"/>
      <c r="C136" s="9" t="s">
        <v>92</v>
      </c>
      <c r="D136" s="9"/>
      <c r="E136" s="9"/>
      <c r="F136" s="9"/>
      <c r="G136" s="9"/>
      <c r="H136" s="9"/>
      <c r="I136" s="9"/>
      <c r="J136" s="9"/>
      <c r="K136" s="9"/>
      <c r="L136" s="10"/>
    </row>
    <row r="137" spans="2:12" x14ac:dyDescent="0.35"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10"/>
    </row>
    <row r="138" spans="2:12" x14ac:dyDescent="0.35">
      <c r="B138" s="8"/>
      <c r="C138" s="9"/>
      <c r="D138" s="9"/>
      <c r="E138" s="9"/>
      <c r="F138" s="11" t="s">
        <v>84</v>
      </c>
      <c r="G138" s="11"/>
      <c r="H138" s="9"/>
      <c r="I138" s="12" t="s">
        <v>83</v>
      </c>
      <c r="J138" s="12" t="s">
        <v>88</v>
      </c>
      <c r="K138" s="12" t="s">
        <v>82</v>
      </c>
      <c r="L138" s="10"/>
    </row>
    <row r="139" spans="2:12" x14ac:dyDescent="0.35">
      <c r="B139" s="8"/>
      <c r="C139" s="9"/>
      <c r="D139" s="9" t="s">
        <v>81</v>
      </c>
      <c r="E139" s="9" t="s">
        <v>82</v>
      </c>
      <c r="F139" s="9" t="s">
        <v>83</v>
      </c>
      <c r="G139" s="9" t="s">
        <v>82</v>
      </c>
      <c r="H139" s="9"/>
      <c r="I139" s="13">
        <f>SUM(F154:K154, G155:K155,H156:K156,I157:K157,J158:K158,K159)/K162</f>
        <v>0.41451690517005013</v>
      </c>
      <c r="J139" s="13">
        <f>SUM(E154,F155,G156,H157,I158,J159,K160)/K162</f>
        <v>0.34225901405507059</v>
      </c>
      <c r="K139" s="13">
        <f>SUM(E155:E160,F156:F160,G157:G160,H158:H160,I159:I160,J160)/K162</f>
        <v>0.24322408077487923</v>
      </c>
      <c r="L139" s="10"/>
    </row>
    <row r="140" spans="2:12" x14ac:dyDescent="0.35">
      <c r="B140" s="8"/>
      <c r="C140" s="9"/>
      <c r="D140" s="9" t="str">
        <f>BackTest!D10</f>
        <v>Chelsea</v>
      </c>
      <c r="E140" s="9" t="str">
        <f>BackTest!E10</f>
        <v>Wolverhampton</v>
      </c>
      <c r="F140" s="9">
        <f>(VLOOKUP($D140,Calculator!$F$11:$V$30,10,FALSE) *VLOOKUP($E140,Calculator!$F$11:$V$30,13,FALSE))*BackTest!$C$3 + (VLOOKUP($D140,Calculator!$F$11:$V$30,14,FALSE) *VLOOKUP($E140,Calculator!$F$11:$V$30,17,FALSE)) *BackTest!$C$4</f>
        <v>0.97056915060048565</v>
      </c>
      <c r="G140" s="9">
        <f>(VLOOKUP($E140,Calculator!$F$11:$V$30,12,FALSE) *VLOOKUP($D140,Calculator!$F$11:$V$30,11,FALSE))*BackTest!$C$3 + (VLOOKUP($E140,Calculator!$F$11:$V$30,16,FALSE) *VLOOKUP($D140,Calculator!$F$11:$V$30,15,FALSE)) *BackTest!$C$4</f>
        <v>0.66701052973628627</v>
      </c>
      <c r="H140" s="9"/>
      <c r="I140" s="14"/>
      <c r="J140" s="14"/>
      <c r="K140" s="14"/>
      <c r="L140" s="10"/>
    </row>
    <row r="141" spans="2:12" x14ac:dyDescent="0.35"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10"/>
    </row>
    <row r="142" spans="2:12" x14ac:dyDescent="0.35"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10"/>
    </row>
    <row r="143" spans="2:12" x14ac:dyDescent="0.35"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10"/>
    </row>
    <row r="144" spans="2:12" x14ac:dyDescent="0.35">
      <c r="B144" s="8"/>
      <c r="C144" s="9"/>
      <c r="D144" s="9"/>
      <c r="E144" s="9">
        <v>0</v>
      </c>
      <c r="F144" s="9">
        <v>1</v>
      </c>
      <c r="G144" s="9">
        <v>2</v>
      </c>
      <c r="H144" s="9">
        <v>3</v>
      </c>
      <c r="I144" s="9">
        <v>4</v>
      </c>
      <c r="J144" s="9">
        <v>5</v>
      </c>
      <c r="K144" s="9">
        <v>6</v>
      </c>
      <c r="L144" s="10"/>
    </row>
    <row r="145" spans="2:12" x14ac:dyDescent="0.35">
      <c r="B145" s="8"/>
      <c r="C145" s="9"/>
      <c r="D145" s="9" t="s">
        <v>83</v>
      </c>
      <c r="E145" s="15">
        <f>_xlfn.POISSON.DIST(E144,$F140, FALSE)</f>
        <v>0.37886734415162193</v>
      </c>
      <c r="F145" s="15">
        <f t="shared" ref="F145:K145" si="12">_xlfn.POISSON.DIST(F144,$F140, FALSE)</f>
        <v>0.36771695640350155</v>
      </c>
      <c r="G145" s="15">
        <f t="shared" si="12"/>
        <v>0.17844736701897115</v>
      </c>
      <c r="H145" s="15">
        <f t="shared" si="12"/>
        <v>5.7731836478165328E-2</v>
      </c>
      <c r="I145" s="15">
        <f t="shared" si="12"/>
        <v>1.4008184873304762E-2</v>
      </c>
      <c r="J145" s="15">
        <f t="shared" si="12"/>
        <v>2.7191824187875954E-3</v>
      </c>
      <c r="K145" s="15">
        <f t="shared" si="12"/>
        <v>4.3985909508840836E-4</v>
      </c>
      <c r="L145" s="10"/>
    </row>
    <row r="146" spans="2:12" x14ac:dyDescent="0.35">
      <c r="B146" s="8"/>
      <c r="C146" s="9"/>
      <c r="D146" s="9" t="s">
        <v>82</v>
      </c>
      <c r="E146" s="15">
        <f>_xlfn.POISSON.DIST(E144,$G140, FALSE)</f>
        <v>0.51324060419625228</v>
      </c>
      <c r="F146" s="15">
        <f t="shared" ref="F146:I146" si="13">_xlfn.POISSON.DIST(F144,$G140, FALSE)</f>
        <v>0.34233688728711387</v>
      </c>
      <c r="G146" s="15">
        <f t="shared" si="13"/>
        <v>0.11417115426882456</v>
      </c>
      <c r="H146" s="15">
        <f t="shared" si="13"/>
        <v>2.5384454029817313E-2</v>
      </c>
      <c r="I146" s="15">
        <f t="shared" si="13"/>
        <v>4.2329245323737127E-3</v>
      </c>
      <c r="J146" s="15">
        <f>_xlfn.POISSON.DIST(J144,$G140, FALSE)</f>
        <v>5.6468104693446254E-4</v>
      </c>
      <c r="K146" s="15">
        <f t="shared" ref="K146" si="14">_xlfn.POISSON.DIST(K144,$G140, FALSE)</f>
        <v>6.2774700707966076E-5</v>
      </c>
      <c r="L146" s="10"/>
    </row>
    <row r="147" spans="2:12" x14ac:dyDescent="0.35"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10"/>
    </row>
    <row r="148" spans="2:12" x14ac:dyDescent="0.35"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10"/>
    </row>
    <row r="149" spans="2:12" x14ac:dyDescent="0.35"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10"/>
    </row>
    <row r="150" spans="2:12" x14ac:dyDescent="0.35"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10"/>
    </row>
    <row r="151" spans="2:12" x14ac:dyDescent="0.35">
      <c r="B151" s="8"/>
      <c r="C151" s="9"/>
      <c r="D151" s="9" t="s">
        <v>86</v>
      </c>
      <c r="E151" s="9"/>
      <c r="F151" s="9"/>
      <c r="G151" s="9"/>
      <c r="H151" s="9"/>
      <c r="I151" s="9"/>
      <c r="J151" s="9"/>
      <c r="K151" s="9"/>
      <c r="L151" s="10"/>
    </row>
    <row r="152" spans="2:12" x14ac:dyDescent="0.35">
      <c r="B152" s="8"/>
      <c r="C152" s="9"/>
      <c r="D152" s="9"/>
      <c r="E152" s="9" t="s">
        <v>83</v>
      </c>
      <c r="F152" s="9"/>
      <c r="G152" s="9"/>
      <c r="H152" s="9"/>
      <c r="I152" s="9"/>
      <c r="J152" s="9"/>
      <c r="K152" s="9"/>
      <c r="L152" s="10"/>
    </row>
    <row r="153" spans="2:12" x14ac:dyDescent="0.35">
      <c r="B153" s="8"/>
      <c r="C153" s="9"/>
      <c r="D153" s="9" t="s">
        <v>82</v>
      </c>
      <c r="E153" s="9">
        <v>0</v>
      </c>
      <c r="F153" s="9">
        <v>1</v>
      </c>
      <c r="G153" s="9">
        <v>2</v>
      </c>
      <c r="H153" s="9">
        <v>3</v>
      </c>
      <c r="I153" s="9">
        <v>4</v>
      </c>
      <c r="J153" s="9">
        <v>5</v>
      </c>
      <c r="K153" s="9">
        <v>6</v>
      </c>
      <c r="L153" s="10"/>
    </row>
    <row r="154" spans="2:12" x14ac:dyDescent="0.35">
      <c r="B154" s="8"/>
      <c r="C154" s="9"/>
      <c r="D154" s="9">
        <v>0</v>
      </c>
      <c r="E154" s="16">
        <f>E145*E146</f>
        <v>0.19445010462260789</v>
      </c>
      <c r="F154" s="16">
        <f>F145*E146</f>
        <v>0.1887272728777401</v>
      </c>
      <c r="G154" s="16">
        <f>G145*E146</f>
        <v>9.158643446604714E-2</v>
      </c>
      <c r="H154" s="16">
        <f>H145*E146</f>
        <v>2.963032263541281E-2</v>
      </c>
      <c r="I154" s="16">
        <f>I145*E146</f>
        <v>7.189569268067738E-3</v>
      </c>
      <c r="J154" s="16">
        <f>J145*E146</f>
        <v>1.3955948275383722E-3</v>
      </c>
      <c r="K154" s="16">
        <f>K145*E146</f>
        <v>2.2575354772439148E-4</v>
      </c>
      <c r="L154" s="10"/>
    </row>
    <row r="155" spans="2:12" x14ac:dyDescent="0.35">
      <c r="B155" s="8"/>
      <c r="C155" s="9"/>
      <c r="D155" s="9">
        <v>1</v>
      </c>
      <c r="E155" s="16">
        <f>E145*F146</f>
        <v>0.12970026729160197</v>
      </c>
      <c r="F155" s="16">
        <f>F145*F146</f>
        <v>0.12588307825786607</v>
      </c>
      <c r="G155" s="16">
        <f>G145*F146</f>
        <v>6.1089116169855767E-2</v>
      </c>
      <c r="H155" s="16">
        <f>H145*F146</f>
        <v>1.9763737197303774E-2</v>
      </c>
      <c r="I155" s="16">
        <f>I145*F146</f>
        <v>4.7955184060695854E-3</v>
      </c>
      <c r="J155" s="16">
        <f>F146*J145</f>
        <v>9.3087644521359068E-4</v>
      </c>
      <c r="K155" s="16">
        <f>F146*K145</f>
        <v>1.5057999345749235E-4</v>
      </c>
      <c r="L155" s="10"/>
    </row>
    <row r="156" spans="2:12" x14ac:dyDescent="0.35">
      <c r="B156" s="8"/>
      <c r="C156" s="9"/>
      <c r="D156" s="9">
        <v>2</v>
      </c>
      <c r="E156" s="16">
        <f>E145*G146</f>
        <v>4.3255721996554676E-2</v>
      </c>
      <c r="F156" s="16">
        <f>G146*F145</f>
        <v>4.1982669356806807E-2</v>
      </c>
      <c r="G156" s="16">
        <f>G145*G146</f>
        <v>2.0373541868788512E-2</v>
      </c>
      <c r="H156" s="16">
        <f>G146*H145</f>
        <v>6.5913104087711666E-3</v>
      </c>
      <c r="I156" s="16">
        <f>G146*I145</f>
        <v>1.5993306361962926E-3</v>
      </c>
      <c r="J156" s="16">
        <f>J145*G146</f>
        <v>3.1045219542047403E-4</v>
      </c>
      <c r="K156" s="16">
        <f>K145*G146</f>
        <v>5.0219220601884241E-5</v>
      </c>
      <c r="L156" s="10"/>
    </row>
    <row r="157" spans="2:12" x14ac:dyDescent="0.35">
      <c r="B157" s="8"/>
      <c r="C157" s="9"/>
      <c r="D157" s="9">
        <v>3</v>
      </c>
      <c r="E157" s="16">
        <f>E145*H146</f>
        <v>9.6173406810158221E-3</v>
      </c>
      <c r="F157" s="16">
        <f>H146*F145</f>
        <v>9.3342941758090218E-3</v>
      </c>
      <c r="G157" s="16">
        <f>H146*G145</f>
        <v>4.5297889848350112E-3</v>
      </c>
      <c r="H157" s="16">
        <f>H145*H146</f>
        <v>1.4654911491369181E-3</v>
      </c>
      <c r="I157" s="16">
        <f>H146*I145</f>
        <v>3.55590124957587E-4</v>
      </c>
      <c r="J157" s="16">
        <f>H146*J145</f>
        <v>6.9024961108401166E-5</v>
      </c>
      <c r="K157" s="16">
        <f>H146*K145</f>
        <v>1.1165582978868744E-5</v>
      </c>
      <c r="L157" s="10"/>
    </row>
    <row r="158" spans="2:12" x14ac:dyDescent="0.35">
      <c r="B158" s="8"/>
      <c r="C158" s="9"/>
      <c r="D158" s="9">
        <v>4</v>
      </c>
      <c r="E158" s="16">
        <f>E145*I146</f>
        <v>1.6037168755746747E-3</v>
      </c>
      <c r="F158" s="16">
        <f>F145*I146</f>
        <v>1.5565181257301767E-3</v>
      </c>
      <c r="G158" s="16">
        <f>I146*G145</f>
        <v>7.5535423759209874E-4</v>
      </c>
      <c r="H158" s="16">
        <f>I146*H145</f>
        <v>2.4437450692741362E-4</v>
      </c>
      <c r="I158" s="16">
        <f>I145*I146</f>
        <v>5.9295589404238077E-5</v>
      </c>
      <c r="J158" s="16">
        <f>I146*J145</f>
        <v>1.1510093968485303E-5</v>
      </c>
      <c r="K158" s="16">
        <f>I146*K145</f>
        <v>1.8618903543874253E-6</v>
      </c>
      <c r="L158" s="10"/>
    </row>
    <row r="159" spans="2:12" x14ac:dyDescent="0.35">
      <c r="B159" s="8"/>
      <c r="C159" s="9"/>
      <c r="D159" s="9">
        <v>5</v>
      </c>
      <c r="E159" s="16">
        <f>E145*J146</f>
        <v>2.139392085448172E-4</v>
      </c>
      <c r="F159" s="16">
        <f>J146*F145</f>
        <v>2.0764279591748338E-4</v>
      </c>
      <c r="G159" s="16">
        <f>J146*G145</f>
        <v>1.0076584603097091E-4</v>
      </c>
      <c r="H159" s="16">
        <f>J146*H145</f>
        <v>3.2600073863939595E-5</v>
      </c>
      <c r="I159" s="16">
        <f>J146*I145</f>
        <v>7.9101564999092339E-6</v>
      </c>
      <c r="J159" s="16">
        <f>J145*J146</f>
        <v>1.5354707750467636E-6</v>
      </c>
      <c r="K159" s="16">
        <f>J146*K145</f>
        <v>2.4838009431816773E-7</v>
      </c>
      <c r="L159" s="10"/>
    </row>
    <row r="160" spans="2:12" x14ac:dyDescent="0.35">
      <c r="B160" s="8"/>
      <c r="C160" s="9"/>
      <c r="D160" s="9">
        <v>6</v>
      </c>
      <c r="E160" s="16">
        <f>E145*K146</f>
        <v>2.3783284137140048E-5</v>
      </c>
      <c r="F160" s="16">
        <f>K146*F145</f>
        <v>2.308332188347402E-5</v>
      </c>
      <c r="G160" s="16">
        <f>K146*G145</f>
        <v>1.120198005674049E-5</v>
      </c>
      <c r="H160" s="16">
        <f>K146*H145</f>
        <v>3.6240987562380665E-6</v>
      </c>
      <c r="I160" s="16">
        <f>K146*I145</f>
        <v>8.7935961288356413E-7</v>
      </c>
      <c r="J160" s="16">
        <f>K146*J145</f>
        <v>1.7069586250975458E-7</v>
      </c>
      <c r="K160" s="16">
        <f>K146*K145</f>
        <v>2.7612023047851624E-8</v>
      </c>
      <c r="L160" s="10"/>
    </row>
    <row r="161" spans="2:12" x14ac:dyDescent="0.35"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10"/>
    </row>
    <row r="162" spans="2:12" x14ac:dyDescent="0.35">
      <c r="B162" s="8"/>
      <c r="C162" s="9"/>
      <c r="D162" s="9"/>
      <c r="E162" s="9"/>
      <c r="F162" s="9"/>
      <c r="G162" s="9"/>
      <c r="H162" s="9"/>
      <c r="I162" s="9"/>
      <c r="J162" s="9" t="s">
        <v>87</v>
      </c>
      <c r="K162" s="16">
        <f>SUM(E154:K160)</f>
        <v>0.99992421095309814</v>
      </c>
      <c r="L162" s="10"/>
    </row>
    <row r="163" spans="2:12" ht="15" thickBot="1" x14ac:dyDescent="0.4">
      <c r="B163" s="17"/>
      <c r="C163" s="18"/>
      <c r="D163" s="18"/>
      <c r="E163" s="18"/>
      <c r="F163" s="18"/>
      <c r="G163" s="18"/>
      <c r="H163" s="18"/>
      <c r="I163" s="18"/>
      <c r="J163" s="18"/>
      <c r="K163" s="18"/>
      <c r="L163" s="19"/>
    </row>
    <row r="167" spans="2:12" ht="15" thickBot="1" x14ac:dyDescent="0.4"/>
    <row r="168" spans="2:12" x14ac:dyDescent="0.35"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7"/>
    </row>
    <row r="169" spans="2:12" x14ac:dyDescent="0.35">
      <c r="B169" s="8"/>
      <c r="C169" s="9" t="s">
        <v>93</v>
      </c>
      <c r="D169" s="9"/>
      <c r="E169" s="9"/>
      <c r="F169" s="9"/>
      <c r="G169" s="9"/>
      <c r="H169" s="9"/>
      <c r="I169" s="9"/>
      <c r="J169" s="9"/>
      <c r="K169" s="9"/>
      <c r="L169" s="10"/>
    </row>
    <row r="170" spans="2:12" x14ac:dyDescent="0.35"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10"/>
    </row>
    <row r="171" spans="2:12" x14ac:dyDescent="0.35">
      <c r="B171" s="8"/>
      <c r="C171" s="9"/>
      <c r="D171" s="9"/>
      <c r="E171" s="9"/>
      <c r="F171" s="11" t="s">
        <v>84</v>
      </c>
      <c r="G171" s="11"/>
      <c r="H171" s="9"/>
      <c r="I171" s="12" t="s">
        <v>83</v>
      </c>
      <c r="J171" s="12" t="s">
        <v>88</v>
      </c>
      <c r="K171" s="12" t="s">
        <v>82</v>
      </c>
      <c r="L171" s="10"/>
    </row>
    <row r="172" spans="2:12" x14ac:dyDescent="0.35">
      <c r="B172" s="8"/>
      <c r="C172" s="9"/>
      <c r="D172" s="9" t="s">
        <v>81</v>
      </c>
      <c r="E172" s="9" t="s">
        <v>82</v>
      </c>
      <c r="F172" s="9" t="s">
        <v>83</v>
      </c>
      <c r="G172" s="9" t="s">
        <v>82</v>
      </c>
      <c r="H172" s="9"/>
      <c r="I172" s="13">
        <f>SUM(F187:K187, G188:K188,H189:K189,I190:K190,J191:K191,K192)/K195</f>
        <v>0.45404343982400897</v>
      </c>
      <c r="J172" s="13">
        <f>SUM(E187,F188,G189,H190,I191,J192,K193)/K195</f>
        <v>0.31372302453851048</v>
      </c>
      <c r="K172" s="13">
        <f>SUM(E188:E193,F189:F193,G190:G193,H191:H193,I192:I193,J193)/K195</f>
        <v>0.23223353563748059</v>
      </c>
      <c r="L172" s="10"/>
    </row>
    <row r="173" spans="2:12" x14ac:dyDescent="0.35">
      <c r="B173" s="8"/>
      <c r="C173" s="9"/>
      <c r="D173" s="9" t="str">
        <f>BackTest!D11</f>
        <v>Arsenal</v>
      </c>
      <c r="E173" s="9" t="str">
        <f>BackTest!E11</f>
        <v>Watford</v>
      </c>
      <c r="F173" s="9">
        <f>(VLOOKUP($D173,Calculator!$F$11:$V$30,10,FALSE) *VLOOKUP($E173,Calculator!$F$11:$V$30,13,FALSE))*BackTest!$C$3 + (VLOOKUP($D173,Calculator!$F$11:$V$30,14,FALSE) *VLOOKUP($E173,Calculator!$F$11:$V$30,17,FALSE)) *BackTest!$C$4</f>
        <v>1.1310230765942961</v>
      </c>
      <c r="G173" s="9">
        <f>(VLOOKUP($E173,Calculator!$F$11:$V$30,12,FALSE) *VLOOKUP($D173,Calculator!$F$11:$V$30,11,FALSE))*BackTest!$C$3 + (VLOOKUP($E173,Calculator!$F$11:$V$30,16,FALSE) *VLOOKUP($D173,Calculator!$F$11:$V$30,15,FALSE)) *BackTest!$C$4</f>
        <v>0.71709083504289806</v>
      </c>
      <c r="H173" s="9"/>
      <c r="I173" s="14"/>
      <c r="J173" s="14"/>
      <c r="K173" s="14"/>
      <c r="L173" s="10"/>
    </row>
    <row r="174" spans="2:12" x14ac:dyDescent="0.35"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10"/>
    </row>
    <row r="175" spans="2:12" x14ac:dyDescent="0.35"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10"/>
    </row>
    <row r="176" spans="2:12" x14ac:dyDescent="0.35"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10"/>
    </row>
    <row r="177" spans="2:12" x14ac:dyDescent="0.35">
      <c r="B177" s="8"/>
      <c r="C177" s="9"/>
      <c r="D177" s="9"/>
      <c r="E177" s="9">
        <v>0</v>
      </c>
      <c r="F177" s="9">
        <v>1</v>
      </c>
      <c r="G177" s="9">
        <v>2</v>
      </c>
      <c r="H177" s="9">
        <v>3</v>
      </c>
      <c r="I177" s="9">
        <v>4</v>
      </c>
      <c r="J177" s="9">
        <v>5</v>
      </c>
      <c r="K177" s="9">
        <v>6</v>
      </c>
      <c r="L177" s="10"/>
    </row>
    <row r="178" spans="2:12" x14ac:dyDescent="0.35">
      <c r="B178" s="8"/>
      <c r="C178" s="9"/>
      <c r="D178" s="9" t="s">
        <v>83</v>
      </c>
      <c r="E178" s="15">
        <f>_xlfn.POISSON.DIST(E177,$F173, FALSE)</f>
        <v>0.32270293765793795</v>
      </c>
      <c r="F178" s="15">
        <f t="shared" ref="F178:K178" si="15">_xlfn.POISSON.DIST(F177,$F173, FALSE)</f>
        <v>0.36498446937589829</v>
      </c>
      <c r="G178" s="15">
        <f t="shared" si="15"/>
        <v>0.20640292873133265</v>
      </c>
      <c r="H178" s="15">
        <f t="shared" si="15"/>
        <v>7.7815491823928357E-2</v>
      </c>
      <c r="I178" s="15">
        <f t="shared" si="15"/>
        <v>2.2002779242349432E-2</v>
      </c>
      <c r="J178" s="15">
        <f t="shared" si="15"/>
        <v>4.9771302144614319E-3</v>
      </c>
      <c r="K178" s="15">
        <f t="shared" si="15"/>
        <v>9.3820818796176686E-4</v>
      </c>
      <c r="L178" s="10"/>
    </row>
    <row r="179" spans="2:12" x14ac:dyDescent="0.35">
      <c r="B179" s="8"/>
      <c r="C179" s="9"/>
      <c r="D179" s="9" t="s">
        <v>82</v>
      </c>
      <c r="E179" s="15">
        <f>_xlfn.POISSON.DIST(E177,$G173, FALSE)</f>
        <v>0.48817036031540245</v>
      </c>
      <c r="F179" s="15">
        <f t="shared" ref="F179:I179" si="16">_xlfn.POISSON.DIST(F177,$G173, FALSE)</f>
        <v>0.35006249132176437</v>
      </c>
      <c r="G179" s="15">
        <f t="shared" si="16"/>
        <v>0.12551330210956063</v>
      </c>
      <c r="H179" s="15">
        <f t="shared" si="16"/>
        <v>3.0001479539578796E-2</v>
      </c>
      <c r="I179" s="15">
        <f t="shared" si="16"/>
        <v>5.3784465038897436E-3</v>
      </c>
      <c r="J179" s="15">
        <f>_xlfn.POISSON.DIST(J177,$G173, FALSE)</f>
        <v>7.7136693894157065E-4</v>
      </c>
      <c r="K179" s="15">
        <f t="shared" ref="K179" si="17">_xlfn.POISSON.DIST(K177,$G173, FALSE)</f>
        <v>9.2190027061682481E-5</v>
      </c>
      <c r="L179" s="10"/>
    </row>
    <row r="180" spans="2:12" x14ac:dyDescent="0.35"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10"/>
    </row>
    <row r="181" spans="2:12" x14ac:dyDescent="0.35"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10"/>
    </row>
    <row r="182" spans="2:12" x14ac:dyDescent="0.35"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10"/>
    </row>
    <row r="183" spans="2:12" x14ac:dyDescent="0.35"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10"/>
    </row>
    <row r="184" spans="2:12" x14ac:dyDescent="0.35">
      <c r="B184" s="8"/>
      <c r="C184" s="9"/>
      <c r="D184" s="9" t="s">
        <v>86</v>
      </c>
      <c r="E184" s="9"/>
      <c r="F184" s="9"/>
      <c r="G184" s="9"/>
      <c r="H184" s="9"/>
      <c r="I184" s="9"/>
      <c r="J184" s="9"/>
      <c r="K184" s="9"/>
      <c r="L184" s="10"/>
    </row>
    <row r="185" spans="2:12" x14ac:dyDescent="0.35">
      <c r="B185" s="8"/>
      <c r="C185" s="9"/>
      <c r="D185" s="9"/>
      <c r="E185" s="9" t="s">
        <v>83</v>
      </c>
      <c r="F185" s="9"/>
      <c r="G185" s="9"/>
      <c r="H185" s="9"/>
      <c r="I185" s="9"/>
      <c r="J185" s="9"/>
      <c r="K185" s="9"/>
      <c r="L185" s="10"/>
    </row>
    <row r="186" spans="2:12" x14ac:dyDescent="0.35">
      <c r="B186" s="8"/>
      <c r="C186" s="9"/>
      <c r="D186" s="9" t="s">
        <v>82</v>
      </c>
      <c r="E186" s="9">
        <v>0</v>
      </c>
      <c r="F186" s="9">
        <v>1</v>
      </c>
      <c r="G186" s="9">
        <v>2</v>
      </c>
      <c r="H186" s="9">
        <v>3</v>
      </c>
      <c r="I186" s="9">
        <v>4</v>
      </c>
      <c r="J186" s="9">
        <v>5</v>
      </c>
      <c r="K186" s="9">
        <v>6</v>
      </c>
      <c r="L186" s="10"/>
    </row>
    <row r="187" spans="2:12" x14ac:dyDescent="0.35">
      <c r="B187" s="8"/>
      <c r="C187" s="9"/>
      <c r="D187" s="9">
        <v>0</v>
      </c>
      <c r="E187" s="16">
        <f>E178*E179</f>
        <v>0.15753400935131442</v>
      </c>
      <c r="F187" s="16">
        <f>F178*E179</f>
        <v>0.17817459992475823</v>
      </c>
      <c r="G187" s="16">
        <f>G178*E179</f>
        <v>0.10075979208892899</v>
      </c>
      <c r="H187" s="16">
        <f>H178*E179</f>
        <v>3.7987216681807358E-2</v>
      </c>
      <c r="I187" s="16">
        <f>I178*E179</f>
        <v>1.074110467067798E-2</v>
      </c>
      <c r="J187" s="16">
        <f>J178*E179</f>
        <v>2.4296874501303135E-3</v>
      </c>
      <c r="K187" s="16">
        <f>K178*E179</f>
        <v>4.5800542916815657E-4</v>
      </c>
      <c r="L187" s="10"/>
    </row>
    <row r="188" spans="2:12" x14ac:dyDescent="0.35">
      <c r="B188" s="8"/>
      <c r="C188" s="9"/>
      <c r="D188" s="9">
        <v>1</v>
      </c>
      <c r="E188" s="16">
        <f>E178*F179</f>
        <v>0.11296619431338978</v>
      </c>
      <c r="F188" s="16">
        <f>F178*F179</f>
        <v>0.12776737264347918</v>
      </c>
      <c r="G188" s="16">
        <f>G178*F179</f>
        <v>7.2253923447798879E-2</v>
      </c>
      <c r="H188" s="16">
        <f>H178*F179</f>
        <v>2.7240284931312746E-2</v>
      </c>
      <c r="I188" s="16">
        <f>I178*F179</f>
        <v>7.702347717579645E-3</v>
      </c>
      <c r="J188" s="16">
        <f>F179*J178</f>
        <v>1.7423066025071962E-3</v>
      </c>
      <c r="K188" s="16">
        <f>F179*K178</f>
        <v>3.284314956563743E-4</v>
      </c>
      <c r="L188" s="10"/>
    </row>
    <row r="189" spans="2:12" x14ac:dyDescent="0.35">
      <c r="B189" s="8"/>
      <c r="C189" s="9"/>
      <c r="D189" s="9">
        <v>2</v>
      </c>
      <c r="E189" s="16">
        <f>E178*G179</f>
        <v>4.0503511305903475E-2</v>
      </c>
      <c r="F189" s="16">
        <f>G179*F178</f>
        <v>4.5810405970074804E-2</v>
      </c>
      <c r="G189" s="16">
        <f>G178*G179</f>
        <v>2.5906313150153865E-2</v>
      </c>
      <c r="H189" s="16">
        <f>G179*H178</f>
        <v>9.7668793341007653E-3</v>
      </c>
      <c r="I189" s="16">
        <f>G179*I178</f>
        <v>2.7616414782949739E-3</v>
      </c>
      <c r="J189" s="16">
        <f>J178*G179</f>
        <v>6.2469604824632002E-4</v>
      </c>
      <c r="K189" s="16">
        <f>K178*G179</f>
        <v>1.177576077373087E-4</v>
      </c>
      <c r="L189" s="10"/>
    </row>
    <row r="190" spans="2:12" x14ac:dyDescent="0.35">
      <c r="B190" s="8"/>
      <c r="C190" s="9"/>
      <c r="D190" s="9">
        <v>3</v>
      </c>
      <c r="E190" s="16">
        <f>E178*H179</f>
        <v>9.6815655815065977E-3</v>
      </c>
      <c r="F190" s="16">
        <f>H179*F178</f>
        <v>1.0950074090245036E-2</v>
      </c>
      <c r="G190" s="16">
        <f>H179*G178</f>
        <v>6.1923932432422172E-3</v>
      </c>
      <c r="H190" s="16">
        <f>H178*H179</f>
        <v>2.3345798858178477E-3</v>
      </c>
      <c r="I190" s="16">
        <f>H179*I178</f>
        <v>6.6011593125321556E-4</v>
      </c>
      <c r="J190" s="16">
        <f>H179*J178</f>
        <v>1.4932127029498407E-4</v>
      </c>
      <c r="K190" s="16">
        <f>H179*K178</f>
        <v>2.8147633755000244E-5</v>
      </c>
      <c r="L190" s="10"/>
    </row>
    <row r="191" spans="2:12" x14ac:dyDescent="0.35">
      <c r="B191" s="8"/>
      <c r="C191" s="9"/>
      <c r="D191" s="9">
        <v>4</v>
      </c>
      <c r="E191" s="16">
        <f>E178*I179</f>
        <v>1.7356404868412861E-3</v>
      </c>
      <c r="F191" s="16">
        <f>F178*I179</f>
        <v>1.9630494432888532E-3</v>
      </c>
      <c r="G191" s="16">
        <f>I179*G178</f>
        <v>1.1101271104276399E-3</v>
      </c>
      <c r="H191" s="16">
        <f>I179*H178</f>
        <v>4.1852645994886839E-4</v>
      </c>
      <c r="I191" s="16">
        <f>I178*I179</f>
        <v>1.1834077109187213E-4</v>
      </c>
      <c r="J191" s="16">
        <f>I179*J178</f>
        <v>2.6769228601374098E-5</v>
      </c>
      <c r="K191" s="16">
        <f>I179*K178</f>
        <v>5.0461025484636965E-6</v>
      </c>
      <c r="L191" s="10"/>
    </row>
    <row r="192" spans="2:12" x14ac:dyDescent="0.35">
      <c r="B192" s="8"/>
      <c r="C192" s="9"/>
      <c r="D192" s="9">
        <v>5</v>
      </c>
      <c r="E192" s="16">
        <f>E178*J179</f>
        <v>2.4892237720865613E-4</v>
      </c>
      <c r="F192" s="16">
        <f>J179*F178</f>
        <v>2.815369529037001E-4</v>
      </c>
      <c r="G192" s="16">
        <f>J179*G178</f>
        <v>1.5921239532406322E-4</v>
      </c>
      <c r="H192" s="16">
        <f>J179*H178</f>
        <v>6.0024297730456432E-5</v>
      </c>
      <c r="I192" s="16">
        <f>J179*I178</f>
        <v>1.6972216472378213E-5</v>
      </c>
      <c r="J192" s="16">
        <f>J178*J179</f>
        <v>3.8391936982427175E-6</v>
      </c>
      <c r="K192" s="16">
        <f>J179*K178</f>
        <v>7.237027780379859E-7</v>
      </c>
      <c r="L192" s="10"/>
    </row>
    <row r="193" spans="2:12" x14ac:dyDescent="0.35">
      <c r="B193" s="8"/>
      <c r="C193" s="9"/>
      <c r="D193" s="9">
        <v>6</v>
      </c>
      <c r="E193" s="16">
        <f>E178*K179</f>
        <v>2.9749992555569733E-5</v>
      </c>
      <c r="F193" s="16">
        <f>K179*F178</f>
        <v>3.3647928108857886E-5</v>
      </c>
      <c r="G193" s="16">
        <f>K179*G178</f>
        <v>1.9028291585352077E-5</v>
      </c>
      <c r="H193" s="16">
        <f>K179*H178</f>
        <v>7.1738122970660871E-6</v>
      </c>
      <c r="I193" s="16">
        <f>K179*I178</f>
        <v>2.0284368137844198E-6</v>
      </c>
      <c r="J193" s="16">
        <f>K179*J178</f>
        <v>4.5884176916071694E-7</v>
      </c>
      <c r="K193" s="16">
        <f>K179*K178</f>
        <v>8.6493438237687377E-8</v>
      </c>
      <c r="L193" s="10"/>
    </row>
    <row r="194" spans="2:12" x14ac:dyDescent="0.35"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10"/>
    </row>
    <row r="195" spans="2:12" x14ac:dyDescent="0.35">
      <c r="B195" s="8"/>
      <c r="C195" s="9"/>
      <c r="D195" s="9"/>
      <c r="E195" s="9"/>
      <c r="F195" s="9"/>
      <c r="G195" s="9"/>
      <c r="H195" s="9"/>
      <c r="I195" s="9"/>
      <c r="J195" s="9" t="s">
        <v>87</v>
      </c>
      <c r="K195" s="16">
        <f>SUM(E187:K193)</f>
        <v>0.99981358381456753</v>
      </c>
      <c r="L195" s="10"/>
    </row>
    <row r="196" spans="2:12" ht="15" thickBot="1" x14ac:dyDescent="0.4">
      <c r="B196" s="17"/>
      <c r="C196" s="18"/>
      <c r="D196" s="18"/>
      <c r="E196" s="18"/>
      <c r="F196" s="18"/>
      <c r="G196" s="18"/>
      <c r="H196" s="18"/>
      <c r="I196" s="18"/>
      <c r="J196" s="18"/>
      <c r="K196" s="18"/>
      <c r="L196" s="19"/>
    </row>
    <row r="200" spans="2:12" ht="15" thickBot="1" x14ac:dyDescent="0.4"/>
    <row r="201" spans="2:12" x14ac:dyDescent="0.35"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7"/>
    </row>
    <row r="202" spans="2:12" x14ac:dyDescent="0.35">
      <c r="B202" s="8"/>
      <c r="C202" s="9" t="s">
        <v>94</v>
      </c>
      <c r="D202" s="9"/>
      <c r="E202" s="9"/>
      <c r="F202" s="9"/>
      <c r="G202" s="9"/>
      <c r="H202" s="9"/>
      <c r="I202" s="9"/>
      <c r="J202" s="9"/>
      <c r="K202" s="9"/>
      <c r="L202" s="10"/>
    </row>
    <row r="203" spans="2:12" x14ac:dyDescent="0.35"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10"/>
    </row>
    <row r="204" spans="2:12" x14ac:dyDescent="0.35">
      <c r="B204" s="8"/>
      <c r="C204" s="9"/>
      <c r="D204" s="9"/>
      <c r="E204" s="9"/>
      <c r="F204" s="11" t="s">
        <v>84</v>
      </c>
      <c r="G204" s="11"/>
      <c r="H204" s="9"/>
      <c r="I204" s="12" t="s">
        <v>83</v>
      </c>
      <c r="J204" s="12" t="s">
        <v>88</v>
      </c>
      <c r="K204" s="12" t="s">
        <v>82</v>
      </c>
      <c r="L204" s="10"/>
    </row>
    <row r="205" spans="2:12" x14ac:dyDescent="0.35">
      <c r="B205" s="8"/>
      <c r="C205" s="9"/>
      <c r="D205" s="9" t="s">
        <v>81</v>
      </c>
      <c r="E205" s="9" t="s">
        <v>82</v>
      </c>
      <c r="F205" s="9" t="s">
        <v>83</v>
      </c>
      <c r="G205" s="9" t="s">
        <v>82</v>
      </c>
      <c r="H205" s="9"/>
      <c r="I205" s="13">
        <f>SUM(F220:K220, G221:K221,H222:K222,I223:K223,J224:K224,K225)/K228</f>
        <v>0.39791094639028091</v>
      </c>
      <c r="J205" s="13">
        <f>SUM(E220,F221,G222,H223,I224,J225,K226)/K228</f>
        <v>0.27824205744873309</v>
      </c>
      <c r="K205" s="13">
        <f>SUM(E221:E226,F222:F226,G223:G226,H224:H226,I225:I226,J226)/K228</f>
        <v>0.32384699616098556</v>
      </c>
      <c r="L205" s="10"/>
    </row>
    <row r="206" spans="2:12" x14ac:dyDescent="0.35">
      <c r="B206" s="8"/>
      <c r="C206" s="9"/>
      <c r="D206" s="9" t="str">
        <f>BackTest!D12</f>
        <v>West Ham United</v>
      </c>
      <c r="E206" s="9" t="str">
        <f>BackTest!E12</f>
        <v>Aston Villa</v>
      </c>
      <c r="F206" s="9">
        <f>(VLOOKUP($D206,Calculator!$F$11:$V$30,10,FALSE) *VLOOKUP($E206,Calculator!$F$11:$V$30,13,FALSE))*BackTest!$C$3 + (VLOOKUP($D206,Calculator!$F$11:$V$30,14,FALSE) *VLOOKUP($E206,Calculator!$F$11:$V$30,17,FALSE)) *BackTest!$C$4</f>
        <v>1.2579100388510549</v>
      </c>
      <c r="G206" s="9">
        <f>(VLOOKUP($E206,Calculator!$F$11:$V$30,12,FALSE) *VLOOKUP($D206,Calculator!$F$11:$V$30,11,FALSE))*BackTest!$C$3 + (VLOOKUP($E206,Calculator!$F$11:$V$30,16,FALSE) *VLOOKUP($D206,Calculator!$F$11:$V$30,15,FALSE)) *BackTest!$C$4</f>
        <v>1.1057784022901542</v>
      </c>
      <c r="H206" s="9"/>
      <c r="I206" s="14"/>
      <c r="J206" s="14"/>
      <c r="K206" s="14"/>
      <c r="L206" s="10"/>
    </row>
    <row r="207" spans="2:12" x14ac:dyDescent="0.35"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10"/>
    </row>
    <row r="208" spans="2:12" x14ac:dyDescent="0.35"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10"/>
    </row>
    <row r="209" spans="2:12" x14ac:dyDescent="0.35"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10"/>
    </row>
    <row r="210" spans="2:12" x14ac:dyDescent="0.35">
      <c r="B210" s="8"/>
      <c r="C210" s="9"/>
      <c r="D210" s="9"/>
      <c r="E210" s="9">
        <v>0</v>
      </c>
      <c r="F210" s="9">
        <v>1</v>
      </c>
      <c r="G210" s="9">
        <v>2</v>
      </c>
      <c r="H210" s="9">
        <v>3</v>
      </c>
      <c r="I210" s="9">
        <v>4</v>
      </c>
      <c r="J210" s="9">
        <v>5</v>
      </c>
      <c r="K210" s="9">
        <v>6</v>
      </c>
      <c r="L210" s="10"/>
    </row>
    <row r="211" spans="2:12" x14ac:dyDescent="0.35">
      <c r="B211" s="8"/>
      <c r="C211" s="9"/>
      <c r="D211" s="9" t="s">
        <v>83</v>
      </c>
      <c r="E211" s="15">
        <f>_xlfn.POISSON.DIST(E210,$F206, FALSE)</f>
        <v>0.28424747231823788</v>
      </c>
      <c r="F211" s="15">
        <f t="shared" ref="F211:K211" si="18">_xlfn.POISSON.DIST(F210,$F206, FALSE)</f>
        <v>0.3575577489471487</v>
      </c>
      <c r="G211" s="15">
        <f t="shared" si="18"/>
        <v>0.22488774093480188</v>
      </c>
      <c r="H211" s="15">
        <f t="shared" si="18"/>
        <v>9.4296182312140875E-2</v>
      </c>
      <c r="I211" s="15">
        <f t="shared" si="18"/>
        <v>2.9654028588942838E-2</v>
      </c>
      <c r="J211" s="15">
        <f t="shared" si="18"/>
        <v>7.460420050881468E-3</v>
      </c>
      <c r="K211" s="15">
        <f t="shared" si="18"/>
        <v>1.5640895460082489E-3</v>
      </c>
      <c r="L211" s="10"/>
    </row>
    <row r="212" spans="2:12" x14ac:dyDescent="0.35">
      <c r="B212" s="8"/>
      <c r="C212" s="9"/>
      <c r="D212" s="9" t="s">
        <v>82</v>
      </c>
      <c r="E212" s="15">
        <f>_xlfn.POISSON.DIST(E210,$G206, FALSE)</f>
        <v>0.330953167248703</v>
      </c>
      <c r="F212" s="15">
        <f t="shared" ref="F212:I212" si="19">_xlfn.POISSON.DIST(F210,$G206, FALSE)</f>
        <v>0.36596086451313697</v>
      </c>
      <c r="G212" s="15">
        <f t="shared" si="19"/>
        <v>0.20233581003103016</v>
      </c>
      <c r="H212" s="15">
        <f t="shared" si="19"/>
        <v>7.4579522914065541E-2</v>
      </c>
      <c r="I212" s="15">
        <f t="shared" si="19"/>
        <v>2.0617106422869347E-2</v>
      </c>
      <c r="J212" s="15">
        <f>_xlfn.POISSON.DIST(J210,$G206, FALSE)</f>
        <v>4.5595902000253067E-3</v>
      </c>
      <c r="K212" s="15">
        <f t="shared" ref="K212" si="20">_xlfn.POISSON.DIST(K210,$G206, FALSE)</f>
        <v>8.4031606108030382E-4</v>
      </c>
      <c r="L212" s="10"/>
    </row>
    <row r="213" spans="2:12" x14ac:dyDescent="0.35"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10"/>
    </row>
    <row r="214" spans="2:12" x14ac:dyDescent="0.35"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10"/>
    </row>
    <row r="215" spans="2:12" x14ac:dyDescent="0.35"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10"/>
    </row>
    <row r="216" spans="2:12" x14ac:dyDescent="0.35"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10"/>
    </row>
    <row r="217" spans="2:12" x14ac:dyDescent="0.35">
      <c r="B217" s="8"/>
      <c r="C217" s="9"/>
      <c r="D217" s="9" t="s">
        <v>86</v>
      </c>
      <c r="E217" s="9"/>
      <c r="F217" s="9"/>
      <c r="G217" s="9"/>
      <c r="H217" s="9"/>
      <c r="I217" s="9"/>
      <c r="J217" s="9"/>
      <c r="K217" s="9"/>
      <c r="L217" s="10"/>
    </row>
    <row r="218" spans="2:12" x14ac:dyDescent="0.35">
      <c r="B218" s="8"/>
      <c r="C218" s="9"/>
      <c r="D218" s="9"/>
      <c r="E218" s="9" t="s">
        <v>83</v>
      </c>
      <c r="F218" s="9"/>
      <c r="G218" s="9"/>
      <c r="H218" s="9"/>
      <c r="I218" s="9"/>
      <c r="J218" s="9"/>
      <c r="K218" s="9"/>
      <c r="L218" s="10"/>
    </row>
    <row r="219" spans="2:12" x14ac:dyDescent="0.35">
      <c r="B219" s="8"/>
      <c r="C219" s="9"/>
      <c r="D219" s="9" t="s">
        <v>82</v>
      </c>
      <c r="E219" s="9">
        <v>0</v>
      </c>
      <c r="F219" s="9">
        <v>1</v>
      </c>
      <c r="G219" s="9">
        <v>2</v>
      </c>
      <c r="H219" s="9">
        <v>3</v>
      </c>
      <c r="I219" s="9">
        <v>4</v>
      </c>
      <c r="J219" s="9">
        <v>5</v>
      </c>
      <c r="K219" s="9">
        <v>6</v>
      </c>
      <c r="L219" s="10"/>
    </row>
    <row r="220" spans="2:12" x14ac:dyDescent="0.35">
      <c r="B220" s="8"/>
      <c r="C220" s="9"/>
      <c r="D220" s="9">
        <v>0</v>
      </c>
      <c r="E220" s="16">
        <f>E211*E212</f>
        <v>9.4072601246158863E-2</v>
      </c>
      <c r="F220" s="16">
        <f>F211*E212</f>
        <v>0.11833486948837546</v>
      </c>
      <c r="G220" s="16">
        <f>G211*E212</f>
        <v>7.442731013777848E-2</v>
      </c>
      <c r="H220" s="16">
        <f>H211*E212</f>
        <v>3.1207620195664146E-2</v>
      </c>
      <c r="I220" s="16">
        <f>I211*E212</f>
        <v>9.8140946831942188E-3</v>
      </c>
      <c r="J220" s="16">
        <f>J211*E212</f>
        <v>2.4690496448449518E-3</v>
      </c>
      <c r="K220" s="16">
        <f>K211*E212</f>
        <v>5.1764038911201592E-4</v>
      </c>
      <c r="L220" s="10"/>
    </row>
    <row r="221" spans="2:12" x14ac:dyDescent="0.35">
      <c r="B221" s="8"/>
      <c r="C221" s="9"/>
      <c r="D221" s="9">
        <v>1</v>
      </c>
      <c r="E221" s="16">
        <f>E211*F212</f>
        <v>0.1040234507052563</v>
      </c>
      <c r="F221" s="16">
        <f>F211*F212</f>
        <v>0.13085214291806974</v>
      </c>
      <c r="G221" s="16">
        <f>G211*F212</f>
        <v>8.2300112090906472E-2</v>
      </c>
      <c r="H221" s="16">
        <f>H211*F212</f>
        <v>3.4508712399239451E-2</v>
      </c>
      <c r="I221" s="16">
        <f>I211*F212</f>
        <v>1.0852213938706801E-2</v>
      </c>
      <c r="J221" s="16">
        <f>F212*J211</f>
        <v>2.7302217714517234E-3</v>
      </c>
      <c r="K221" s="16">
        <f>F212*K211</f>
        <v>5.7239556243313865E-4</v>
      </c>
      <c r="L221" s="10"/>
    </row>
    <row r="222" spans="2:12" x14ac:dyDescent="0.35">
      <c r="B222" s="8"/>
      <c r="C222" s="9"/>
      <c r="D222" s="9">
        <v>2</v>
      </c>
      <c r="E222" s="16">
        <f>E211*G212</f>
        <v>5.751344256078348E-2</v>
      </c>
      <c r="F222" s="16">
        <f>G212*F211</f>
        <v>7.2346736766093059E-2</v>
      </c>
      <c r="G222" s="16">
        <f>G211*G212</f>
        <v>4.5502843228091595E-2</v>
      </c>
      <c r="H222" s="16">
        <f>G212*H211</f>
        <v>1.9079494430960721E-2</v>
      </c>
      <c r="I222" s="16">
        <f>G212*I211</f>
        <v>6.0000718952270757E-3</v>
      </c>
      <c r="J222" s="16">
        <f>J211*G212</f>
        <v>1.509510134166841E-3</v>
      </c>
      <c r="K222" s="16">
        <f>K211*G212</f>
        <v>3.1647132525264526E-4</v>
      </c>
      <c r="L222" s="10"/>
    </row>
    <row r="223" spans="2:12" x14ac:dyDescent="0.35">
      <c r="B223" s="8"/>
      <c r="C223" s="9"/>
      <c r="D223" s="9">
        <v>3</v>
      </c>
      <c r="E223" s="16">
        <f>E211*H212</f>
        <v>2.1199040875023233E-2</v>
      </c>
      <c r="F223" s="16">
        <f>H212*F211</f>
        <v>2.666648633070557E-2</v>
      </c>
      <c r="G223" s="16">
        <f>H212*G211</f>
        <v>1.6772020428139491E-2</v>
      </c>
      <c r="H223" s="16">
        <f>H211*H212</f>
        <v>7.0325642894572124E-3</v>
      </c>
      <c r="I223" s="16">
        <f>H212*I211</f>
        <v>2.2115833046434169E-3</v>
      </c>
      <c r="J223" s="16">
        <f>H212*J211</f>
        <v>5.563945681332685E-4</v>
      </c>
      <c r="K223" s="16">
        <f>H212*K211</f>
        <v>1.1664905213617256E-4</v>
      </c>
      <c r="L223" s="10"/>
    </row>
    <row r="224" spans="2:12" x14ac:dyDescent="0.35">
      <c r="B224" s="8"/>
      <c r="C224" s="9"/>
      <c r="D224" s="9">
        <v>4</v>
      </c>
      <c r="E224" s="16">
        <f>E211*I212</f>
        <v>5.860360387216719E-3</v>
      </c>
      <c r="F224" s="16">
        <f>F211*I212</f>
        <v>7.3718061623649651E-3</v>
      </c>
      <c r="G224" s="16">
        <f>I212*G211</f>
        <v>4.6365344880514815E-3</v>
      </c>
      <c r="H224" s="16">
        <f>I212*H211</f>
        <v>1.9441144259996984E-3</v>
      </c>
      <c r="I224" s="16">
        <f>I211*I212</f>
        <v>6.1138026328504461E-4</v>
      </c>
      <c r="J224" s="16">
        <f>I212*J211</f>
        <v>1.5381227414833158E-4</v>
      </c>
      <c r="K224" s="16">
        <f>I212*K211</f>
        <v>3.2247000624949472E-5</v>
      </c>
      <c r="L224" s="10"/>
    </row>
    <row r="225" spans="2:12" x14ac:dyDescent="0.35">
      <c r="B225" s="8"/>
      <c r="C225" s="9"/>
      <c r="D225" s="9">
        <v>5</v>
      </c>
      <c r="E225" s="16">
        <f>E211*J212</f>
        <v>1.296051989164202E-3</v>
      </c>
      <c r="F225" s="16">
        <f>J212*F211</f>
        <v>1.6303168080425282E-3</v>
      </c>
      <c r="G225" s="16">
        <f>J212*G211</f>
        <v>1.0253959396721527E-3</v>
      </c>
      <c r="H225" s="16">
        <f>J212*H211</f>
        <v>4.2995194877023721E-4</v>
      </c>
      <c r="I225" s="16">
        <f>J212*I211</f>
        <v>1.3521021814541403E-4</v>
      </c>
      <c r="J225" s="16">
        <f>J211*J212</f>
        <v>3.4016458152071444E-5</v>
      </c>
      <c r="K225" s="16">
        <f>J212*K211</f>
        <v>7.1316073659412425E-6</v>
      </c>
      <c r="L225" s="10"/>
    </row>
    <row r="226" spans="2:12" x14ac:dyDescent="0.35">
      <c r="B226" s="8"/>
      <c r="C226" s="9"/>
      <c r="D226" s="9">
        <v>6</v>
      </c>
      <c r="E226" s="16">
        <f>E211*K212</f>
        <v>2.3885771631049435E-4</v>
      </c>
      <c r="F226" s="16">
        <f>K212*F211</f>
        <v>3.0046151920400815E-4</v>
      </c>
      <c r="G226" s="16">
        <f>K212*G211</f>
        <v>1.889767806475805E-4</v>
      </c>
      <c r="H226" s="16">
        <f>K212*H211</f>
        <v>7.9238596495448442E-5</v>
      </c>
      <c r="I226" s="16">
        <f>K212*I211</f>
        <v>2.4918756499023165E-5</v>
      </c>
      <c r="J226" s="16">
        <f>K212*J211</f>
        <v>6.269110791161235E-6</v>
      </c>
      <c r="K226" s="16">
        <f>K212*K211</f>
        <v>1.3143295664785323E-6</v>
      </c>
      <c r="L226" s="10"/>
    </row>
    <row r="227" spans="2:12" x14ac:dyDescent="0.35"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10"/>
    </row>
    <row r="228" spans="2:12" x14ac:dyDescent="0.35">
      <c r="B228" s="8"/>
      <c r="C228" s="9"/>
      <c r="D228" s="9"/>
      <c r="E228" s="9"/>
      <c r="F228" s="9"/>
      <c r="G228" s="9"/>
      <c r="H228" s="9"/>
      <c r="I228" s="9"/>
      <c r="J228" s="9" t="s">
        <v>87</v>
      </c>
      <c r="K228" s="16">
        <f>SUM(E220:K226)</f>
        <v>0.9995141111405238</v>
      </c>
      <c r="L228" s="10"/>
    </row>
    <row r="229" spans="2:12" ht="15" thickBot="1" x14ac:dyDescent="0.4">
      <c r="B229" s="17"/>
      <c r="C229" s="18"/>
      <c r="D229" s="18"/>
      <c r="E229" s="18"/>
      <c r="F229" s="18"/>
      <c r="G229" s="18"/>
      <c r="H229" s="18"/>
      <c r="I229" s="18"/>
      <c r="J229" s="18"/>
      <c r="K229" s="18"/>
      <c r="L229" s="19"/>
    </row>
    <row r="233" spans="2:12" ht="15" thickBot="1" x14ac:dyDescent="0.4"/>
    <row r="234" spans="2:12" x14ac:dyDescent="0.35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7"/>
    </row>
    <row r="235" spans="2:12" x14ac:dyDescent="0.35">
      <c r="B235" s="8"/>
      <c r="C235" s="9" t="s">
        <v>95</v>
      </c>
      <c r="D235" s="9"/>
      <c r="E235" s="9"/>
      <c r="F235" s="9"/>
      <c r="G235" s="9"/>
      <c r="H235" s="9"/>
      <c r="I235" s="9"/>
      <c r="J235" s="9"/>
      <c r="K235" s="9"/>
      <c r="L235" s="10"/>
    </row>
    <row r="236" spans="2:12" x14ac:dyDescent="0.35"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10"/>
    </row>
    <row r="237" spans="2:12" x14ac:dyDescent="0.35">
      <c r="B237" s="8"/>
      <c r="C237" s="9"/>
      <c r="D237" s="9"/>
      <c r="E237" s="9"/>
      <c r="F237" s="11" t="s">
        <v>84</v>
      </c>
      <c r="G237" s="11"/>
      <c r="H237" s="9"/>
      <c r="I237" s="12" t="s">
        <v>83</v>
      </c>
      <c r="J237" s="12" t="s">
        <v>88</v>
      </c>
      <c r="K237" s="12" t="s">
        <v>82</v>
      </c>
      <c r="L237" s="10"/>
    </row>
    <row r="238" spans="2:12" x14ac:dyDescent="0.35">
      <c r="B238" s="8"/>
      <c r="C238" s="9"/>
      <c r="D238" s="9" t="s">
        <v>81</v>
      </c>
      <c r="E238" s="9" t="s">
        <v>82</v>
      </c>
      <c r="F238" s="9" t="s">
        <v>83</v>
      </c>
      <c r="G238" s="9" t="s">
        <v>82</v>
      </c>
      <c r="H238" s="9"/>
      <c r="I238" s="13">
        <f>SUM(F253:K253, G254:K254,H255:K255,I256:K256,J257:K257,K258)/K261</f>
        <v>0.10831937274672251</v>
      </c>
      <c r="J238" s="13">
        <f>SUM(E253,F254,G255,H256,I257,J258,K259)/K261</f>
        <v>0.23555349894258462</v>
      </c>
      <c r="K238" s="13">
        <f>SUM(E254:E259,F255:F259,G256:G259,H257:H259,I258:I259,J259)/K261</f>
        <v>0.65612712831069275</v>
      </c>
      <c r="L238" s="10"/>
    </row>
    <row r="239" spans="2:12" x14ac:dyDescent="0.35">
      <c r="B239" s="8"/>
      <c r="C239" s="9"/>
      <c r="D239" s="9" t="str">
        <f>BackTest!D13</f>
        <v>Newcastle</v>
      </c>
      <c r="E239" s="9" t="str">
        <f>BackTest!E13</f>
        <v>Liverpool</v>
      </c>
      <c r="F239" s="9">
        <f>(VLOOKUP($D239,Calculator!$F$11:$V$30,10,FALSE) *VLOOKUP($E239,Calculator!$F$11:$V$30,13,FALSE))*BackTest!$C$3 + (VLOOKUP($D239,Calculator!$F$11:$V$30,14,FALSE) *VLOOKUP($E239,Calculator!$F$11:$V$30,17,FALSE)) *BackTest!$C$4</f>
        <v>0.49747055914425309</v>
      </c>
      <c r="G239" s="9">
        <f>(VLOOKUP($E239,Calculator!$F$11:$V$30,12,FALSE) *VLOOKUP($D239,Calculator!$F$11:$V$30,11,FALSE))*BackTest!$C$3 + (VLOOKUP($E239,Calculator!$F$11:$V$30,16,FALSE) *VLOOKUP($D239,Calculator!$F$11:$V$30,15,FALSE)) *BackTest!$C$4</f>
        <v>1.6433318505948089</v>
      </c>
      <c r="H239" s="9"/>
      <c r="I239" s="14"/>
      <c r="J239" s="14"/>
      <c r="K239" s="14"/>
      <c r="L239" s="10"/>
    </row>
    <row r="240" spans="2:12" x14ac:dyDescent="0.35"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10"/>
    </row>
    <row r="241" spans="2:12" x14ac:dyDescent="0.35"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10"/>
    </row>
    <row r="242" spans="2:12" x14ac:dyDescent="0.35"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10"/>
    </row>
    <row r="243" spans="2:12" x14ac:dyDescent="0.35">
      <c r="B243" s="8"/>
      <c r="C243" s="9"/>
      <c r="D243" s="9"/>
      <c r="E243" s="9">
        <v>0</v>
      </c>
      <c r="F243" s="9">
        <v>1</v>
      </c>
      <c r="G243" s="9">
        <v>2</v>
      </c>
      <c r="H243" s="9">
        <v>3</v>
      </c>
      <c r="I243" s="9">
        <v>4</v>
      </c>
      <c r="J243" s="9">
        <v>5</v>
      </c>
      <c r="K243" s="9">
        <v>6</v>
      </c>
      <c r="L243" s="10"/>
    </row>
    <row r="244" spans="2:12" x14ac:dyDescent="0.35">
      <c r="B244" s="8"/>
      <c r="C244" s="9"/>
      <c r="D244" s="9" t="s">
        <v>83</v>
      </c>
      <c r="E244" s="15">
        <f>_xlfn.POISSON.DIST(E243,$F239, FALSE)</f>
        <v>0.60806678509370304</v>
      </c>
      <c r="F244" s="15">
        <f t="shared" ref="F244:K244" si="21">_xlfn.POISSON.DIST(F243,$F239, FALSE)</f>
        <v>0.30249532357761283</v>
      </c>
      <c r="G244" s="15">
        <f t="shared" si="21"/>
        <v>7.5241258879338399E-2</v>
      </c>
      <c r="H244" s="15">
        <f t="shared" si="21"/>
        <v>1.2476770375140658E-2</v>
      </c>
      <c r="I244" s="15">
        <f t="shared" si="21"/>
        <v>1.5517064837089188E-3</v>
      </c>
      <c r="J244" s="15">
        <f t="shared" si="21"/>
        <v>1.5438565841568777E-4</v>
      </c>
      <c r="K244" s="15">
        <f t="shared" si="21"/>
        <v>1.2800386635984306E-5</v>
      </c>
      <c r="L244" s="10"/>
    </row>
    <row r="245" spans="2:12" x14ac:dyDescent="0.35">
      <c r="B245" s="8"/>
      <c r="C245" s="9"/>
      <c r="D245" s="9" t="s">
        <v>82</v>
      </c>
      <c r="E245" s="15">
        <f>_xlfn.POISSON.DIST(E243,$G239, FALSE)</f>
        <v>0.19333480528516478</v>
      </c>
      <c r="F245" s="15">
        <f t="shared" ref="F245:I245" si="22">_xlfn.POISSON.DIST(F243,$G239, FALSE)</f>
        <v>0.31771324335365686</v>
      </c>
      <c r="G245" s="15">
        <f t="shared" si="22"/>
        <v>0.26105414607942196</v>
      </c>
      <c r="H245" s="15">
        <f t="shared" si="22"/>
        <v>0.14299953099404805</v>
      </c>
      <c r="I245" s="15">
        <f t="shared" si="22"/>
        <v>5.8748920975659674E-2</v>
      </c>
      <c r="J245" s="15">
        <f>_xlfn.POISSON.DIST(J243,$G239, FALSE)</f>
        <v>1.9308794605475806E-2</v>
      </c>
      <c r="K245" s="15">
        <f t="shared" ref="K245" si="23">_xlfn.POISSON.DIST(K243,$G239, FALSE)</f>
        <v>5.2884595286286059E-3</v>
      </c>
      <c r="L245" s="10"/>
    </row>
    <row r="246" spans="2:12" x14ac:dyDescent="0.35"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10"/>
    </row>
    <row r="247" spans="2:12" x14ac:dyDescent="0.35"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10"/>
    </row>
    <row r="248" spans="2:12" x14ac:dyDescent="0.35"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10"/>
    </row>
    <row r="249" spans="2:12" x14ac:dyDescent="0.35"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10"/>
    </row>
    <row r="250" spans="2:12" x14ac:dyDescent="0.35">
      <c r="B250" s="8"/>
      <c r="C250" s="9"/>
      <c r="D250" s="9" t="s">
        <v>86</v>
      </c>
      <c r="E250" s="9"/>
      <c r="F250" s="9"/>
      <c r="G250" s="9"/>
      <c r="H250" s="9"/>
      <c r="I250" s="9"/>
      <c r="J250" s="9"/>
      <c r="K250" s="9"/>
      <c r="L250" s="10"/>
    </row>
    <row r="251" spans="2:12" x14ac:dyDescent="0.35">
      <c r="B251" s="8"/>
      <c r="C251" s="9"/>
      <c r="D251" s="9"/>
      <c r="E251" s="9" t="s">
        <v>83</v>
      </c>
      <c r="F251" s="9"/>
      <c r="G251" s="9"/>
      <c r="H251" s="9"/>
      <c r="I251" s="9"/>
      <c r="J251" s="9"/>
      <c r="K251" s="9"/>
      <c r="L251" s="10"/>
    </row>
    <row r="252" spans="2:12" x14ac:dyDescent="0.35">
      <c r="B252" s="8"/>
      <c r="C252" s="9"/>
      <c r="D252" s="9" t="s">
        <v>82</v>
      </c>
      <c r="E252" s="9">
        <v>0</v>
      </c>
      <c r="F252" s="9">
        <v>1</v>
      </c>
      <c r="G252" s="9">
        <v>2</v>
      </c>
      <c r="H252" s="9">
        <v>3</v>
      </c>
      <c r="I252" s="9">
        <v>4</v>
      </c>
      <c r="J252" s="9">
        <v>5</v>
      </c>
      <c r="K252" s="9">
        <v>6</v>
      </c>
      <c r="L252" s="10"/>
    </row>
    <row r="253" spans="2:12" x14ac:dyDescent="0.35">
      <c r="B253" s="8"/>
      <c r="C253" s="9"/>
      <c r="D253" s="9">
        <v>0</v>
      </c>
      <c r="E253" s="16">
        <f>E244*E245</f>
        <v>0.11756047349646721</v>
      </c>
      <c r="F253" s="16">
        <f>F244*E245</f>
        <v>5.848287448355069E-2</v>
      </c>
      <c r="G253" s="16">
        <f>G244*E245</f>
        <v>1.4546754134847566E-2</v>
      </c>
      <c r="H253" s="16">
        <f>H244*E245</f>
        <v>2.4121939710655313E-3</v>
      </c>
      <c r="I253" s="16">
        <f>I244*E245</f>
        <v>2.9999887088759153E-4</v>
      </c>
      <c r="J253" s="16">
        <f>J244*E245</f>
        <v>2.9848121208618957E-5</v>
      </c>
      <c r="K253" s="16">
        <f>K244*E245</f>
        <v>2.4747602578428513E-6</v>
      </c>
      <c r="L253" s="10"/>
    </row>
    <row r="254" spans="2:12" x14ac:dyDescent="0.35">
      <c r="B254" s="8"/>
      <c r="C254" s="9"/>
      <c r="D254" s="9">
        <v>1</v>
      </c>
      <c r="E254" s="16">
        <f>E244*F245</f>
        <v>0.19319087046775144</v>
      </c>
      <c r="F254" s="16">
        <f>F244*F245</f>
        <v>9.6106770353157275E-2</v>
      </c>
      <c r="G254" s="16">
        <f>G244*F245</f>
        <v>2.3905144392566736E-2</v>
      </c>
      <c r="H254" s="16">
        <f>H244*F245</f>
        <v>3.9640351824647606E-3</v>
      </c>
      <c r="I254" s="16">
        <f>I244*F245</f>
        <v>4.9299769967205891E-4</v>
      </c>
      <c r="J254" s="16">
        <f>F245*J244</f>
        <v>4.905036826253795E-5</v>
      </c>
      <c r="K254" s="16">
        <f>F245*K244</f>
        <v>4.0668523542993784E-6</v>
      </c>
      <c r="L254" s="10"/>
    </row>
    <row r="255" spans="2:12" x14ac:dyDescent="0.35">
      <c r="B255" s="8"/>
      <c r="C255" s="9"/>
      <c r="D255" s="9">
        <v>2</v>
      </c>
      <c r="E255" s="16">
        <f>E244*G245</f>
        <v>0.15873835534189604</v>
      </c>
      <c r="F255" s="16">
        <f>G245*F244</f>
        <v>7.8967658389572148E-2</v>
      </c>
      <c r="G255" s="16">
        <f>G244*G245</f>
        <v>1.964204258668641E-2</v>
      </c>
      <c r="H255" s="16">
        <f>G245*H244</f>
        <v>3.2571126361113736E-3</v>
      </c>
      <c r="I255" s="16">
        <f>G245*I244</f>
        <v>4.0507941107053425E-4</v>
      </c>
      <c r="J255" s="16">
        <f>J244*G245</f>
        <v>4.0303016224616692E-5</v>
      </c>
      <c r="K255" s="16">
        <f>K244*G245</f>
        <v>3.3415940027433277E-6</v>
      </c>
      <c r="L255" s="10"/>
    </row>
    <row r="256" spans="2:12" x14ac:dyDescent="0.35">
      <c r="B256" s="8"/>
      <c r="C256" s="9"/>
      <c r="D256" s="9">
        <v>3</v>
      </c>
      <c r="E256" s="16">
        <f>E244*H245</f>
        <v>8.6953265081458148E-2</v>
      </c>
      <c r="F256" s="16">
        <f>H245*F244</f>
        <v>4.3256689399491441E-2</v>
      </c>
      <c r="G256" s="16">
        <f>H245*G244</f>
        <v>1.0759464731147144E-2</v>
      </c>
      <c r="H256" s="16">
        <f>H244*H245</f>
        <v>1.784172311965547E-3</v>
      </c>
      <c r="I256" s="16">
        <f>H245*I244</f>
        <v>2.2189329941079886E-4</v>
      </c>
      <c r="J256" s="16">
        <f>H245*J244</f>
        <v>2.2077076745650659E-5</v>
      </c>
      <c r="K256" s="16">
        <f>H245*K244</f>
        <v>1.8304492854882362E-6</v>
      </c>
      <c r="L256" s="10"/>
    </row>
    <row r="257" spans="2:12" x14ac:dyDescent="0.35">
      <c r="B257" s="8"/>
      <c r="C257" s="9"/>
      <c r="D257" s="9">
        <v>4</v>
      </c>
      <c r="E257" s="16">
        <f>E244*I245</f>
        <v>3.5723267505393397E-2</v>
      </c>
      <c r="F257" s="16">
        <f>F244*I245</f>
        <v>1.7771273860367778E-2</v>
      </c>
      <c r="G257" s="16">
        <f>I245*G244</f>
        <v>4.4203427720114034E-3</v>
      </c>
      <c r="H257" s="16">
        <f>I245*H244</f>
        <v>7.3299679680059022E-4</v>
      </c>
      <c r="I257" s="16">
        <f>I244*I245</f>
        <v>9.1161081588834013E-5</v>
      </c>
      <c r="J257" s="16">
        <f>I245*J244</f>
        <v>9.0699908460384278E-6</v>
      </c>
      <c r="K257" s="16">
        <f>I245*K244</f>
        <v>7.5200890293533217E-7</v>
      </c>
      <c r="L257" s="10"/>
    </row>
    <row r="258" spans="2:12" x14ac:dyDescent="0.35">
      <c r="B258" s="8"/>
      <c r="C258" s="9"/>
      <c r="D258" s="9">
        <v>5</v>
      </c>
      <c r="E258" s="16">
        <f>E244*J245</f>
        <v>1.1741036659786309E-2</v>
      </c>
      <c r="F258" s="16">
        <f>J245*F244</f>
        <v>5.8408200720770692E-3</v>
      </c>
      <c r="G258" s="16">
        <f>J245*G244</f>
        <v>1.4528180135585779E-3</v>
      </c>
      <c r="H258" s="16">
        <f>J245*H244</f>
        <v>2.4091139651327627E-4</v>
      </c>
      <c r="I258" s="16">
        <f>J245*I244</f>
        <v>2.9961581781920602E-5</v>
      </c>
      <c r="J258" s="16">
        <f>J244*J245</f>
        <v>2.9810009683796622E-6</v>
      </c>
      <c r="K258" s="16">
        <f>J245*K244</f>
        <v>2.4716003642489838E-7</v>
      </c>
      <c r="L258" s="10"/>
    </row>
    <row r="259" spans="2:12" x14ac:dyDescent="0.35">
      <c r="B259" s="8"/>
      <c r="C259" s="9"/>
      <c r="D259" s="9">
        <v>6</v>
      </c>
      <c r="E259" s="16">
        <f>E244*K245</f>
        <v>3.2157365836713568E-3</v>
      </c>
      <c r="F259" s="16">
        <f>K245*F244</f>
        <v>1.59973427633962E-3</v>
      </c>
      <c r="G259" s="16">
        <f>K245*G244</f>
        <v>3.9791035246644884E-4</v>
      </c>
      <c r="H259" s="16">
        <f>K245*H244</f>
        <v>6.5982895176923723E-5</v>
      </c>
      <c r="I259" s="16">
        <f>K245*I244</f>
        <v>8.2061369394052201E-6</v>
      </c>
      <c r="J259" s="16">
        <f>K245*J244</f>
        <v>8.1646230633204506E-7</v>
      </c>
      <c r="K259" s="16">
        <f>K245*K244</f>
        <v>6.7694326675201463E-8</v>
      </c>
      <c r="L259" s="10"/>
    </row>
    <row r="260" spans="2:12" x14ac:dyDescent="0.35"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10"/>
    </row>
    <row r="261" spans="2:12" x14ac:dyDescent="0.35">
      <c r="B261" s="8"/>
      <c r="C261" s="9"/>
      <c r="D261" s="9"/>
      <c r="E261" s="9"/>
      <c r="F261" s="9"/>
      <c r="G261" s="9"/>
      <c r="H261" s="9"/>
      <c r="I261" s="9"/>
      <c r="J261" s="9" t="s">
        <v>87</v>
      </c>
      <c r="K261" s="16">
        <f>SUM(E253:K259)</f>
        <v>0.99844693278144225</v>
      </c>
      <c r="L261" s="10"/>
    </row>
    <row r="262" spans="2:12" ht="15" thickBot="1" x14ac:dyDescent="0.4">
      <c r="B262" s="17"/>
      <c r="C262" s="18"/>
      <c r="D262" s="18"/>
      <c r="E262" s="18"/>
      <c r="F262" s="18"/>
      <c r="G262" s="18"/>
      <c r="H262" s="18"/>
      <c r="I262" s="18"/>
      <c r="J262" s="18"/>
      <c r="K262" s="18"/>
      <c r="L262" s="19"/>
    </row>
    <row r="266" spans="2:12" ht="15" thickBot="1" x14ac:dyDescent="0.4"/>
    <row r="267" spans="2:12" x14ac:dyDescent="0.35"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7"/>
    </row>
    <row r="268" spans="2:12" x14ac:dyDescent="0.35">
      <c r="B268" s="8"/>
      <c r="C268" s="9" t="s">
        <v>96</v>
      </c>
      <c r="D268" s="9"/>
      <c r="E268" s="9"/>
      <c r="F268" s="9"/>
      <c r="G268" s="9"/>
      <c r="H268" s="9"/>
      <c r="I268" s="9"/>
      <c r="J268" s="9"/>
      <c r="K268" s="9"/>
      <c r="L268" s="10"/>
    </row>
    <row r="269" spans="2:12" x14ac:dyDescent="0.35"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10"/>
    </row>
    <row r="270" spans="2:12" x14ac:dyDescent="0.35">
      <c r="B270" s="8"/>
      <c r="C270" s="9"/>
      <c r="D270" s="9"/>
      <c r="E270" s="9"/>
      <c r="F270" s="11" t="s">
        <v>84</v>
      </c>
      <c r="G270" s="11"/>
      <c r="H270" s="9"/>
      <c r="I270" s="12" t="s">
        <v>83</v>
      </c>
      <c r="J270" s="12" t="s">
        <v>88</v>
      </c>
      <c r="K270" s="12" t="s">
        <v>82</v>
      </c>
      <c r="L270" s="10"/>
    </row>
    <row r="271" spans="2:12" x14ac:dyDescent="0.35">
      <c r="B271" s="8"/>
      <c r="C271" s="9"/>
      <c r="D271" s="9" t="s">
        <v>81</v>
      </c>
      <c r="E271" s="9" t="s">
        <v>82</v>
      </c>
      <c r="F271" s="9" t="s">
        <v>83</v>
      </c>
      <c r="G271" s="9" t="s">
        <v>82</v>
      </c>
      <c r="H271" s="9"/>
      <c r="I271" s="13">
        <f>SUM(F286:K286, G287:K287,H288:K288,I289:K289,J290:K290,K291)/K294</f>
        <v>0.24500074711918746</v>
      </c>
      <c r="J271" s="13">
        <f>SUM(E286,F287,G288,H289,I290,J291,K292)/K294</f>
        <v>0.34452976060681006</v>
      </c>
      <c r="K271" s="13">
        <f>SUM(E287:E292,F288:F292,G289:G292,H290:H292,I291:I292,J292)/K294</f>
        <v>0.41046949227400287</v>
      </c>
      <c r="L271" s="10"/>
    </row>
    <row r="272" spans="2:12" x14ac:dyDescent="0.35">
      <c r="B272" s="8"/>
      <c r="C272" s="9"/>
      <c r="D272" s="9" t="str">
        <f>BackTest!D14</f>
        <v>Crystal Palace</v>
      </c>
      <c r="E272" s="9" t="str">
        <f>BackTest!E14</f>
        <v>Tottenham Hotspur</v>
      </c>
      <c r="F272" s="9">
        <f>(VLOOKUP($D272,Calculator!$F$11:$V$30,10,FALSE) *VLOOKUP($E272,Calculator!$F$11:$V$30,13,FALSE))*BackTest!$C$3 + (VLOOKUP($D272,Calculator!$F$11:$V$30,14,FALSE) *VLOOKUP($E272,Calculator!$F$11:$V$30,17,FALSE)) *BackTest!$C$4</f>
        <v>0.66553428780890678</v>
      </c>
      <c r="G272" s="9">
        <f>(VLOOKUP($E272,Calculator!$F$11:$V$30,12,FALSE) *VLOOKUP($D272,Calculator!$F$11:$V$30,11,FALSE))*BackTest!$C$3 + (VLOOKUP($E272,Calculator!$F$11:$V$30,16,FALSE) *VLOOKUP($D272,Calculator!$F$11:$V$30,15,FALSE)) *BackTest!$C$4</f>
        <v>0.95767132908893959</v>
      </c>
      <c r="H272" s="9"/>
      <c r="I272" s="14"/>
      <c r="J272" s="14"/>
      <c r="K272" s="14"/>
      <c r="L272" s="10"/>
    </row>
    <row r="273" spans="2:12" x14ac:dyDescent="0.35"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10"/>
    </row>
    <row r="274" spans="2:12" x14ac:dyDescent="0.35"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10"/>
    </row>
    <row r="275" spans="2:12" x14ac:dyDescent="0.35"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10"/>
    </row>
    <row r="276" spans="2:12" x14ac:dyDescent="0.35">
      <c r="B276" s="8"/>
      <c r="C276" s="9"/>
      <c r="D276" s="9"/>
      <c r="E276" s="9">
        <v>0</v>
      </c>
      <c r="F276" s="9">
        <v>1</v>
      </c>
      <c r="G276" s="9">
        <v>2</v>
      </c>
      <c r="H276" s="9">
        <v>3</v>
      </c>
      <c r="I276" s="9">
        <v>4</v>
      </c>
      <c r="J276" s="9">
        <v>5</v>
      </c>
      <c r="K276" s="9">
        <v>6</v>
      </c>
      <c r="L276" s="10"/>
    </row>
    <row r="277" spans="2:12" x14ac:dyDescent="0.35">
      <c r="B277" s="8"/>
      <c r="C277" s="9"/>
      <c r="D277" s="9" t="s">
        <v>83</v>
      </c>
      <c r="E277" s="15">
        <f>_xlfn.POISSON.DIST(E276,$F272, FALSE)</f>
        <v>0.51399883102041477</v>
      </c>
      <c r="F277" s="15">
        <f t="shared" ref="F277:K277" si="24">_xlfn.POISSON.DIST(F276,$F272, FALSE)</f>
        <v>0.34208384593778235</v>
      </c>
      <c r="G277" s="15">
        <f t="shared" si="24"/>
        <v>0.11383426438856688</v>
      </c>
      <c r="H277" s="15">
        <f t="shared" si="24"/>
        <v>2.5253535359365226E-2</v>
      </c>
      <c r="I277" s="15">
        <f t="shared" si="24"/>
        <v>4.2017734175130439E-3</v>
      </c>
      <c r="J277" s="15">
        <f t="shared" si="24"/>
        <v>5.5928485579178808E-4</v>
      </c>
      <c r="K277" s="15">
        <f t="shared" si="24"/>
        <v>6.203720803028247E-5</v>
      </c>
      <c r="L277" s="10"/>
    </row>
    <row r="278" spans="2:12" x14ac:dyDescent="0.35">
      <c r="B278" s="8"/>
      <c r="C278" s="9"/>
      <c r="D278" s="9" t="s">
        <v>82</v>
      </c>
      <c r="E278" s="15">
        <f>_xlfn.POISSON.DIST(E276,$G272, FALSE)</f>
        <v>0.38378555646524509</v>
      </c>
      <c r="F278" s="15">
        <f t="shared" ref="F278:I278" si="25">_xlfn.POISSON.DIST(F276,$G272, FALSE)</f>
        <v>0.36754042394520947</v>
      </c>
      <c r="G278" s="15">
        <f t="shared" si="25"/>
        <v>0.17599146314676054</v>
      </c>
      <c r="H278" s="15">
        <f t="shared" si="25"/>
        <v>5.6180659473355113E-2</v>
      </c>
      <c r="I278" s="15">
        <f t="shared" si="25"/>
        <v>1.3450651706735274E-2</v>
      </c>
      <c r="J278" s="15">
        <f>_xlfn.POISSON.DIST(J276,$G272, FALSE)</f>
        <v>2.5762606994203176E-3</v>
      </c>
      <c r="K278" s="15">
        <f t="shared" ref="K278" si="26">_xlfn.POISSON.DIST(K276,$G272, FALSE)</f>
        <v>4.1120183468224268E-4</v>
      </c>
      <c r="L278" s="10"/>
    </row>
    <row r="279" spans="2:12" x14ac:dyDescent="0.35"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10"/>
    </row>
    <row r="280" spans="2:12" x14ac:dyDescent="0.35"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10"/>
    </row>
    <row r="281" spans="2:12" x14ac:dyDescent="0.35"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10"/>
    </row>
    <row r="282" spans="2:12" x14ac:dyDescent="0.35"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10"/>
    </row>
    <row r="283" spans="2:12" x14ac:dyDescent="0.35">
      <c r="B283" s="8"/>
      <c r="C283" s="9"/>
      <c r="D283" s="9" t="s">
        <v>86</v>
      </c>
      <c r="E283" s="9"/>
      <c r="F283" s="9"/>
      <c r="G283" s="9"/>
      <c r="H283" s="9"/>
      <c r="I283" s="9"/>
      <c r="J283" s="9"/>
      <c r="K283" s="9"/>
      <c r="L283" s="10"/>
    </row>
    <row r="284" spans="2:12" x14ac:dyDescent="0.35">
      <c r="B284" s="8"/>
      <c r="C284" s="9"/>
      <c r="D284" s="9"/>
      <c r="E284" s="9" t="s">
        <v>83</v>
      </c>
      <c r="F284" s="9"/>
      <c r="G284" s="9"/>
      <c r="H284" s="9"/>
      <c r="I284" s="9"/>
      <c r="J284" s="9"/>
      <c r="K284" s="9"/>
      <c r="L284" s="10"/>
    </row>
    <row r="285" spans="2:12" x14ac:dyDescent="0.35">
      <c r="B285" s="8"/>
      <c r="C285" s="9"/>
      <c r="D285" s="9" t="s">
        <v>82</v>
      </c>
      <c r="E285" s="9">
        <v>0</v>
      </c>
      <c r="F285" s="9">
        <v>1</v>
      </c>
      <c r="G285" s="9">
        <v>2</v>
      </c>
      <c r="H285" s="9">
        <v>3</v>
      </c>
      <c r="I285" s="9">
        <v>4</v>
      </c>
      <c r="J285" s="9">
        <v>5</v>
      </c>
      <c r="K285" s="9">
        <v>6</v>
      </c>
      <c r="L285" s="10"/>
    </row>
    <row r="286" spans="2:12" x14ac:dyDescent="0.35">
      <c r="B286" s="8"/>
      <c r="C286" s="9"/>
      <c r="D286" s="9">
        <v>0</v>
      </c>
      <c r="E286" s="16">
        <f>E277*E278</f>
        <v>0.19726532738565536</v>
      </c>
      <c r="F286" s="16">
        <f>F277*E278</f>
        <v>0.13128683917100298</v>
      </c>
      <c r="G286" s="16">
        <f>G277*E278</f>
        <v>4.368794650317797E-2</v>
      </c>
      <c r="H286" s="16">
        <f>H277*E278</f>
        <v>9.6919421206087264E-3</v>
      </c>
      <c r="I286" s="16">
        <f>I277*E278</f>
        <v>1.6125799491811181E-3</v>
      </c>
      <c r="J286" s="16">
        <f>J277*E278</f>
        <v>2.1464544960263574E-4</v>
      </c>
      <c r="K286" s="16">
        <f>K277*E278</f>
        <v>2.3808984405452129E-5</v>
      </c>
      <c r="L286" s="10"/>
    </row>
    <row r="287" spans="2:12" x14ac:dyDescent="0.35">
      <c r="B287" s="8"/>
      <c r="C287" s="9"/>
      <c r="D287" s="9">
        <v>1</v>
      </c>
      <c r="E287" s="16">
        <f>E277*F278</f>
        <v>0.18891534826058534</v>
      </c>
      <c r="F287" s="16">
        <f>F277*F278</f>
        <v>0.12572964176078025</v>
      </c>
      <c r="G287" s="16">
        <f>G277*F278</f>
        <v>4.183869379286493E-2</v>
      </c>
      <c r="H287" s="16">
        <f>H277*F278</f>
        <v>9.2816950920964324E-3</v>
      </c>
      <c r="I287" s="16">
        <f>I277*F278</f>
        <v>1.5443215831944558E-3</v>
      </c>
      <c r="J287" s="16">
        <f>F278*J277</f>
        <v>2.0555979300384913E-4</v>
      </c>
      <c r="K287" s="16">
        <f>F278*K277</f>
        <v>2.2801181739827171E-5</v>
      </c>
      <c r="L287" s="10"/>
    </row>
    <row r="288" spans="2:12" x14ac:dyDescent="0.35">
      <c r="B288" s="8"/>
      <c r="C288" s="9"/>
      <c r="D288" s="9">
        <v>2</v>
      </c>
      <c r="E288" s="16">
        <f>E277*G278</f>
        <v>9.0459406327007316E-2</v>
      </c>
      <c r="F288" s="16">
        <f>G278*F277</f>
        <v>6.0203836565461334E-2</v>
      </c>
      <c r="G288" s="16">
        <f>G277*G278</f>
        <v>2.0033858745979061E-2</v>
      </c>
      <c r="H288" s="16">
        <f>G278*H277</f>
        <v>4.444406637523139E-3</v>
      </c>
      <c r="I288" s="16">
        <f>G278*I277</f>
        <v>7.3947625155928488E-4</v>
      </c>
      <c r="J288" s="16">
        <f>J277*G278</f>
        <v>9.842936008662175E-5</v>
      </c>
      <c r="K288" s="16">
        <f>K277*G278</f>
        <v>1.0918019010789373E-5</v>
      </c>
      <c r="L288" s="10"/>
    </row>
    <row r="289" spans="2:12" x14ac:dyDescent="0.35">
      <c r="B289" s="8"/>
      <c r="C289" s="9"/>
      <c r="D289" s="9">
        <v>3</v>
      </c>
      <c r="E289" s="16">
        <f>E277*H278</f>
        <v>2.8876793295260519E-2</v>
      </c>
      <c r="F289" s="16">
        <f>H278*F277</f>
        <v>1.9218496059966225E-2</v>
      </c>
      <c r="G289" s="16">
        <f>H278*G277</f>
        <v>6.3952840440139507E-3</v>
      </c>
      <c r="H289" s="16">
        <f>H277*H278</f>
        <v>1.4187602705228303E-3</v>
      </c>
      <c r="I289" s="16">
        <f>H278*I277</f>
        <v>2.3605840155349587E-4</v>
      </c>
      <c r="J289" s="16">
        <f>H278*J277</f>
        <v>3.1420992031842965E-5</v>
      </c>
      <c r="K289" s="16">
        <f>H278*K277</f>
        <v>3.4852912590269908E-6</v>
      </c>
      <c r="L289" s="10"/>
    </row>
    <row r="290" spans="2:12" x14ac:dyDescent="0.35">
      <c r="B290" s="8"/>
      <c r="C290" s="9"/>
      <c r="D290" s="9">
        <v>4</v>
      </c>
      <c r="E290" s="16">
        <f>E277*I278</f>
        <v>6.9136192537246777E-3</v>
      </c>
      <c r="F290" s="16">
        <f>F277*I278</f>
        <v>4.6012506662095982E-3</v>
      </c>
      <c r="G290" s="16">
        <f>I278*G277</f>
        <v>1.5311450425830315E-3</v>
      </c>
      <c r="H290" s="16">
        <f>I278*H277</f>
        <v>3.3967650848254548E-4</v>
      </c>
      <c r="I290" s="16">
        <f>I277*I278</f>
        <v>5.6516590789586725E-5</v>
      </c>
      <c r="J290" s="16">
        <f>I278*J277</f>
        <v>7.5227458001070058E-6</v>
      </c>
      <c r="K290" s="16">
        <f>I278*K277</f>
        <v>8.3444087807361008E-7</v>
      </c>
      <c r="L290" s="10"/>
    </row>
    <row r="291" spans="2:12" x14ac:dyDescent="0.35">
      <c r="B291" s="8"/>
      <c r="C291" s="9"/>
      <c r="D291" s="9">
        <v>5</v>
      </c>
      <c r="E291" s="16">
        <f>E277*J278</f>
        <v>1.3241949879058794E-3</v>
      </c>
      <c r="F291" s="16">
        <f>J278*F277</f>
        <v>8.8129716819606338E-4</v>
      </c>
      <c r="G291" s="16">
        <f>J278*G277</f>
        <v>2.9326674159168664E-4</v>
      </c>
      <c r="H291" s="16">
        <f>J278*H277</f>
        <v>6.5059690667753975E-5</v>
      </c>
      <c r="I291" s="16">
        <f>J278*I277</f>
        <v>1.0824863723407852E-5</v>
      </c>
      <c r="J291" s="16">
        <f>J277*J278</f>
        <v>1.4408635937573434E-6</v>
      </c>
      <c r="K291" s="16">
        <f>J278*K277</f>
        <v>1.5982402095017925E-7</v>
      </c>
      <c r="L291" s="10"/>
    </row>
    <row r="292" spans="2:12" x14ac:dyDescent="0.35">
      <c r="B292" s="8"/>
      <c r="C292" s="9"/>
      <c r="D292" s="9">
        <v>6</v>
      </c>
      <c r="E292" s="16">
        <f>E277*K278</f>
        <v>2.113572623401226E-4</v>
      </c>
      <c r="F292" s="16">
        <f>K278*F277</f>
        <v>1.4066550506477375E-4</v>
      </c>
      <c r="G292" s="16">
        <f>K278*G277</f>
        <v>4.6808858366282183E-5</v>
      </c>
      <c r="H292" s="16">
        <f>K278*H277</f>
        <v>1.038430007198387E-5</v>
      </c>
      <c r="I292" s="16">
        <f>K278*I277</f>
        <v>1.7277769382004406E-6</v>
      </c>
      <c r="J292" s="16">
        <f>K278*J277</f>
        <v>2.2997895881157679E-7</v>
      </c>
      <c r="K292" s="16">
        <f>K278*K277</f>
        <v>2.550981376061611E-8</v>
      </c>
      <c r="L292" s="10"/>
    </row>
    <row r="293" spans="2:12" x14ac:dyDescent="0.35"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10"/>
    </row>
    <row r="294" spans="2:12" x14ac:dyDescent="0.35">
      <c r="B294" s="8"/>
      <c r="C294" s="9"/>
      <c r="D294" s="9"/>
      <c r="E294" s="9"/>
      <c r="F294" s="9"/>
      <c r="G294" s="9"/>
      <c r="H294" s="9"/>
      <c r="I294" s="9"/>
      <c r="J294" s="9" t="s">
        <v>87</v>
      </c>
      <c r="K294" s="16">
        <f>SUM(E286:K292)</f>
        <v>0.99992978986885539</v>
      </c>
      <c r="L294" s="10"/>
    </row>
    <row r="295" spans="2:12" ht="15" thickBot="1" x14ac:dyDescent="0.4">
      <c r="B295" s="17"/>
      <c r="C295" s="18"/>
      <c r="D295" s="18"/>
      <c r="E295" s="18"/>
      <c r="F295" s="18"/>
      <c r="G295" s="18"/>
      <c r="H295" s="18"/>
      <c r="I295" s="18"/>
      <c r="J295" s="18"/>
      <c r="K295" s="18"/>
      <c r="L295" s="19"/>
    </row>
    <row r="299" spans="2:12" ht="15" thickBot="1" x14ac:dyDescent="0.4"/>
    <row r="300" spans="2:12" x14ac:dyDescent="0.35"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7"/>
    </row>
    <row r="301" spans="2:12" x14ac:dyDescent="0.35">
      <c r="B301" s="8"/>
      <c r="C301" s="9" t="s">
        <v>97</v>
      </c>
      <c r="D301" s="9"/>
      <c r="E301" s="9"/>
      <c r="F301" s="9"/>
      <c r="G301" s="9"/>
      <c r="H301" s="9"/>
      <c r="I301" s="9"/>
      <c r="J301" s="9"/>
      <c r="K301" s="9"/>
      <c r="L301" s="10"/>
    </row>
    <row r="302" spans="2:12" x14ac:dyDescent="0.35"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10"/>
    </row>
    <row r="303" spans="2:12" x14ac:dyDescent="0.35">
      <c r="B303" s="8"/>
      <c r="C303" s="9"/>
      <c r="D303" s="9"/>
      <c r="E303" s="9"/>
      <c r="F303" s="11" t="s">
        <v>84</v>
      </c>
      <c r="G303" s="11"/>
      <c r="H303" s="9"/>
      <c r="I303" s="12" t="s">
        <v>83</v>
      </c>
      <c r="J303" s="12" t="s">
        <v>88</v>
      </c>
      <c r="K303" s="12" t="s">
        <v>82</v>
      </c>
      <c r="L303" s="10"/>
    </row>
    <row r="304" spans="2:12" x14ac:dyDescent="0.35">
      <c r="B304" s="8"/>
      <c r="C304" s="9"/>
      <c r="D304" s="9" t="s">
        <v>81</v>
      </c>
      <c r="E304" s="9" t="s">
        <v>82</v>
      </c>
      <c r="F304" s="9" t="s">
        <v>83</v>
      </c>
      <c r="G304" s="9" t="s">
        <v>82</v>
      </c>
      <c r="H304" s="9"/>
      <c r="I304" s="13">
        <f>SUM(F319:K319, G320:K320,H321:K321,I322:K322,J323:K323,K324)/K327</f>
        <v>0.77930486436269086</v>
      </c>
      <c r="J304" s="13">
        <f>SUM(E319,F320,G321,H322,I323,J324,K325)/K327</f>
        <v>0.16722749668633632</v>
      </c>
      <c r="K304" s="13">
        <f>SUM(E320:E325,F321:F325,G322:G325,H323:H325,I324:I325,J325)/K327</f>
        <v>5.3467638950972556E-2</v>
      </c>
      <c r="L304" s="10"/>
    </row>
    <row r="305" spans="2:12" x14ac:dyDescent="0.35">
      <c r="B305" s="8"/>
      <c r="C305" s="9"/>
      <c r="D305" s="9" t="str">
        <f>BackTest!D15</f>
        <v>Manchester City</v>
      </c>
      <c r="E305" s="9" t="str">
        <f>BackTest!E15</f>
        <v>Norwich City</v>
      </c>
      <c r="F305" s="9">
        <f>(VLOOKUP($D305,Calculator!$F$11:$V$30,10,FALSE) *VLOOKUP($E305,Calculator!$F$11:$V$30,13,FALSE))*BackTest!$C$3 + (VLOOKUP($D305,Calculator!$F$11:$V$30,14,FALSE) *VLOOKUP($E305,Calculator!$F$11:$V$30,17,FALSE)) *BackTest!$C$4</f>
        <v>2.0761321482869732</v>
      </c>
      <c r="G305" s="9">
        <f>(VLOOKUP($E305,Calculator!$F$11:$V$30,12,FALSE) *VLOOKUP($D305,Calculator!$F$11:$V$30,11,FALSE))*BackTest!$C$3 + (VLOOKUP($E305,Calculator!$F$11:$V$30,16,FALSE) *VLOOKUP($D305,Calculator!$F$11:$V$30,15,FALSE)) *BackTest!$C$4</f>
        <v>0.36135585029936973</v>
      </c>
      <c r="H305" s="9"/>
      <c r="I305" s="14"/>
      <c r="J305" s="14"/>
      <c r="K305" s="14"/>
      <c r="L305" s="10"/>
    </row>
    <row r="306" spans="2:12" x14ac:dyDescent="0.35"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10"/>
    </row>
    <row r="307" spans="2:12" x14ac:dyDescent="0.35"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10"/>
    </row>
    <row r="308" spans="2:12" x14ac:dyDescent="0.35"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10"/>
    </row>
    <row r="309" spans="2:12" x14ac:dyDescent="0.35">
      <c r="B309" s="8"/>
      <c r="C309" s="9"/>
      <c r="D309" s="9"/>
      <c r="E309" s="9">
        <v>0</v>
      </c>
      <c r="F309" s="9">
        <v>1</v>
      </c>
      <c r="G309" s="9">
        <v>2</v>
      </c>
      <c r="H309" s="9">
        <v>3</v>
      </c>
      <c r="I309" s="9">
        <v>4</v>
      </c>
      <c r="J309" s="9">
        <v>5</v>
      </c>
      <c r="K309" s="9">
        <v>6</v>
      </c>
      <c r="L309" s="10"/>
    </row>
    <row r="310" spans="2:12" x14ac:dyDescent="0.35">
      <c r="B310" s="8"/>
      <c r="C310" s="9"/>
      <c r="D310" s="9" t="s">
        <v>83</v>
      </c>
      <c r="E310" s="15">
        <f>_xlfn.POISSON.DIST(E309,$F305, FALSE)</f>
        <v>0.12541435943512136</v>
      </c>
      <c r="F310" s="15">
        <f t="shared" ref="F310:K310" si="27">_xlfn.POISSON.DIST(F309,$F305, FALSE)</f>
        <v>0.26037678348007315</v>
      </c>
      <c r="G310" s="15">
        <f t="shared" si="27"/>
        <v>0.27028830542526822</v>
      </c>
      <c r="H310" s="15">
        <f t="shared" si="27"/>
        <v>0.18705141339980258</v>
      </c>
      <c r="I310" s="15">
        <f t="shared" si="27"/>
        <v>9.7085863185461696E-2</v>
      </c>
      <c r="J310" s="15">
        <f t="shared" si="27"/>
        <v>4.031261634070557E-2</v>
      </c>
      <c r="K310" s="15">
        <f t="shared" si="27"/>
        <v>1.3949053127749581E-2</v>
      </c>
      <c r="L310" s="10"/>
    </row>
    <row r="311" spans="2:12" x14ac:dyDescent="0.35">
      <c r="B311" s="8"/>
      <c r="C311" s="9"/>
      <c r="D311" s="9" t="s">
        <v>82</v>
      </c>
      <c r="E311" s="15">
        <f>_xlfn.POISSON.DIST(E309,$G305, FALSE)</f>
        <v>0.69673102240540852</v>
      </c>
      <c r="F311" s="15">
        <f t="shared" ref="F311:K311" si="28">_xlfn.POISSON.DIST(F309,$G305, FALSE)</f>
        <v>0.25176783103125561</v>
      </c>
      <c r="G311" s="15">
        <f t="shared" si="28"/>
        <v>4.54888893301637E-2</v>
      </c>
      <c r="H311" s="15">
        <f t="shared" si="28"/>
        <v>5.4792254276917448E-3</v>
      </c>
      <c r="I311" s="15">
        <f t="shared" si="28"/>
        <v>4.9498754085136934E-4</v>
      </c>
      <c r="J311" s="15">
        <f>_xlfn.POISSON.DIST(J309,$G305, FALSE)</f>
        <v>3.5773328742388141E-5</v>
      </c>
      <c r="K311" s="15">
        <f t="shared" si="28"/>
        <v>2.1544836042907565E-6</v>
      </c>
      <c r="L311" s="10"/>
    </row>
    <row r="312" spans="2:12" x14ac:dyDescent="0.35"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10"/>
    </row>
    <row r="313" spans="2:12" x14ac:dyDescent="0.35"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10"/>
    </row>
    <row r="314" spans="2:12" x14ac:dyDescent="0.35"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10"/>
    </row>
    <row r="315" spans="2:12" x14ac:dyDescent="0.35"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10"/>
    </row>
    <row r="316" spans="2:12" x14ac:dyDescent="0.35">
      <c r="B316" s="8"/>
      <c r="C316" s="9"/>
      <c r="D316" s="9" t="s">
        <v>86</v>
      </c>
      <c r="E316" s="9"/>
      <c r="F316" s="9"/>
      <c r="G316" s="9"/>
      <c r="H316" s="9"/>
      <c r="I316" s="9"/>
      <c r="J316" s="9"/>
      <c r="K316" s="9"/>
      <c r="L316" s="10"/>
    </row>
    <row r="317" spans="2:12" x14ac:dyDescent="0.35">
      <c r="B317" s="8"/>
      <c r="C317" s="9"/>
      <c r="D317" s="9"/>
      <c r="E317" s="9" t="s">
        <v>83</v>
      </c>
      <c r="F317" s="9"/>
      <c r="G317" s="9"/>
      <c r="H317" s="9"/>
      <c r="I317" s="9"/>
      <c r="J317" s="9"/>
      <c r="K317" s="9"/>
      <c r="L317" s="10"/>
    </row>
    <row r="318" spans="2:12" x14ac:dyDescent="0.35">
      <c r="B318" s="8"/>
      <c r="C318" s="9"/>
      <c r="D318" s="9" t="s">
        <v>82</v>
      </c>
      <c r="E318" s="9">
        <v>0</v>
      </c>
      <c r="F318" s="9">
        <v>1</v>
      </c>
      <c r="G318" s="9">
        <v>2</v>
      </c>
      <c r="H318" s="9">
        <v>3</v>
      </c>
      <c r="I318" s="9">
        <v>4</v>
      </c>
      <c r="J318" s="9">
        <v>5</v>
      </c>
      <c r="K318" s="9">
        <v>6</v>
      </c>
      <c r="L318" s="10"/>
    </row>
    <row r="319" spans="2:12" x14ac:dyDescent="0.35">
      <c r="B319" s="8"/>
      <c r="C319" s="9"/>
      <c r="D319" s="9">
        <v>0</v>
      </c>
      <c r="E319" s="16">
        <f>E310*E311</f>
        <v>8.7380074873551497E-2</v>
      </c>
      <c r="F319" s="16">
        <f>F310*E311</f>
        <v>0.18141258256470305</v>
      </c>
      <c r="G319" s="16">
        <f>G310*E311</f>
        <v>0.18831824738317246</v>
      </c>
      <c r="H319" s="16">
        <f>H310*E311</f>
        <v>0.13032452250042117</v>
      </c>
      <c r="I319" s="16">
        <f>I310*E311</f>
        <v>6.7642732718318332E-2</v>
      </c>
      <c r="J319" s="16">
        <f>J310*E311</f>
        <v>2.8087050398896769E-2</v>
      </c>
      <c r="K319" s="16">
        <f>K310*E311</f>
        <v>9.7187380472843268E-3</v>
      </c>
      <c r="L319" s="10"/>
    </row>
    <row r="320" spans="2:12" x14ac:dyDescent="0.35">
      <c r="B320" s="8"/>
      <c r="C320" s="9"/>
      <c r="D320" s="9">
        <v>1</v>
      </c>
      <c r="E320" s="16">
        <f>E310*F311</f>
        <v>3.1575301255154793E-2</v>
      </c>
      <c r="F320" s="16">
        <f>F310*F311</f>
        <v>6.5554498027672881E-2</v>
      </c>
      <c r="G320" s="16">
        <f>G310*F311</f>
        <v>6.8049900410033337E-2</v>
      </c>
      <c r="H320" s="16">
        <f>H310*F311</f>
        <v>4.7093528642999039E-2</v>
      </c>
      <c r="I320" s="16">
        <f>I310*F311</f>
        <v>2.4443097198000918E-2</v>
      </c>
      <c r="J320" s="16">
        <f>F311*J310</f>
        <v>1.0149419979294593E-2</v>
      </c>
      <c r="K320" s="16">
        <f>F311*K310</f>
        <v>3.5119228509132641E-3</v>
      </c>
      <c r="L320" s="10"/>
    </row>
    <row r="321" spans="2:12" x14ac:dyDescent="0.35">
      <c r="B321" s="8"/>
      <c r="C321" s="9"/>
      <c r="D321" s="9">
        <v>2</v>
      </c>
      <c r="E321" s="16">
        <f>E310*G311</f>
        <v>5.7049599167576072E-3</v>
      </c>
      <c r="F321" s="16">
        <f>G311*F310</f>
        <v>1.1844250687869044E-2</v>
      </c>
      <c r="G321" s="16">
        <f>G310*G311</f>
        <v>1.2295114812727511E-2</v>
      </c>
      <c r="H321" s="16">
        <f>G311*H310</f>
        <v>8.508761043194318E-3</v>
      </c>
      <c r="I321" s="16">
        <f>G311*I310</f>
        <v>4.4163280859668809E-3</v>
      </c>
      <c r="J321" s="16">
        <f>J310*G311</f>
        <v>1.8337761433317044E-3</v>
      </c>
      <c r="K321" s="16">
        <f>K310*G311</f>
        <v>6.3452693398877451E-4</v>
      </c>
      <c r="L321" s="10"/>
    </row>
    <row r="322" spans="2:12" x14ac:dyDescent="0.35">
      <c r="B322" s="8"/>
      <c r="C322" s="9"/>
      <c r="D322" s="9">
        <v>3</v>
      </c>
      <c r="E322" s="16">
        <f>E310*H311</f>
        <v>6.8717354721458898E-4</v>
      </c>
      <c r="F322" s="16">
        <f>H311*F310</f>
        <v>1.4266630928246047E-3</v>
      </c>
      <c r="G322" s="16">
        <f>H311*G310</f>
        <v>1.4809705558938421E-3</v>
      </c>
      <c r="H322" s="16">
        <f>H310*H311</f>
        <v>1.0248968605858786E-3</v>
      </c>
      <c r="I322" s="16">
        <f>H311*I310</f>
        <v>5.3195533023518357E-4</v>
      </c>
      <c r="J322" s="16">
        <f>H311*J310</f>
        <v>2.2088191251077571E-4</v>
      </c>
      <c r="K322" s="16">
        <f>H311*K310</f>
        <v>7.6430006589788568E-5</v>
      </c>
      <c r="L322" s="10"/>
    </row>
    <row r="323" spans="2:12" x14ac:dyDescent="0.35">
      <c r="B323" s="8"/>
      <c r="C323" s="9"/>
      <c r="D323" s="9">
        <v>4</v>
      </c>
      <c r="E323" s="16">
        <f>E310*I311</f>
        <v>6.2078545364240446E-5</v>
      </c>
      <c r="F323" s="16">
        <f>F310*I311</f>
        <v>1.2888326374959084E-4</v>
      </c>
      <c r="G323" s="16">
        <f>I311*G310</f>
        <v>1.3378934362333735E-4</v>
      </c>
      <c r="H323" s="16">
        <f>I311*H310</f>
        <v>9.2588119131541155E-5</v>
      </c>
      <c r="I323" s="16">
        <f>I310*I311</f>
        <v>4.8056292669604177E-5</v>
      </c>
      <c r="J323" s="16">
        <f>I311*J310</f>
        <v>1.9954242827770579E-5</v>
      </c>
      <c r="K323" s="16">
        <f>I311*K310</f>
        <v>6.9046075049098667E-6</v>
      </c>
      <c r="L323" s="10"/>
    </row>
    <row r="324" spans="2:12" x14ac:dyDescent="0.35">
      <c r="B324" s="8"/>
      <c r="C324" s="9"/>
      <c r="D324" s="9">
        <v>5</v>
      </c>
      <c r="E324" s="16">
        <f>E310*J311</f>
        <v>4.4864891090886246E-6</v>
      </c>
      <c r="F324" s="16">
        <f>J311*F310</f>
        <v>9.3145442723182743E-6</v>
      </c>
      <c r="G324" s="16">
        <f>J311*G310</f>
        <v>9.6691124052011325E-6</v>
      </c>
      <c r="H324" s="16">
        <f>J311*H310</f>
        <v>6.6914517032794836E-6</v>
      </c>
      <c r="I324" s="16">
        <f>J311*I310</f>
        <v>3.4730844999720394E-6</v>
      </c>
      <c r="J324" s="16">
        <f>J310*J311</f>
        <v>1.4421164768218284E-6</v>
      </c>
      <c r="K324" s="16">
        <f>J311*K310</f>
        <v>4.9900406318402334E-7</v>
      </c>
      <c r="L324" s="10"/>
    </row>
    <row r="325" spans="2:12" x14ac:dyDescent="0.35">
      <c r="B325" s="8"/>
      <c r="C325" s="9"/>
      <c r="D325" s="9">
        <v>6</v>
      </c>
      <c r="E325" s="16">
        <f>E310*K311</f>
        <v>2.7020318114559673E-7</v>
      </c>
      <c r="F325" s="16">
        <f>K311*F310</f>
        <v>5.6097751094578191E-7</v>
      </c>
      <c r="G325" s="16">
        <f>K311*G310</f>
        <v>5.8233172247027269E-7</v>
      </c>
      <c r="H325" s="16">
        <f>K311*H310</f>
        <v>4.0299920332928699E-7</v>
      </c>
      <c r="I325" s="16">
        <f>K311*I310</f>
        <v>2.0916990044149278E-7</v>
      </c>
      <c r="J325" s="16">
        <f>K311*J310</f>
        <v>8.6852870952113785E-8</v>
      </c>
      <c r="K325" s="16">
        <f>K311*K310</f>
        <v>3.0053006259117166E-8</v>
      </c>
      <c r="L325" s="10"/>
    </row>
    <row r="326" spans="2:12" x14ac:dyDescent="0.35"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10"/>
    </row>
    <row r="327" spans="2:12" x14ac:dyDescent="0.35">
      <c r="B327" s="8"/>
      <c r="C327" s="9"/>
      <c r="D327" s="9"/>
      <c r="E327" s="9"/>
      <c r="F327" s="9"/>
      <c r="G327" s="9"/>
      <c r="H327" s="9"/>
      <c r="I327" s="9"/>
      <c r="J327" s="9" t="s">
        <v>87</v>
      </c>
      <c r="K327" s="16">
        <f>SUM(E319:K325)</f>
        <v>0.99447827858490367</v>
      </c>
      <c r="L327" s="10"/>
    </row>
    <row r="328" spans="2:12" ht="15" thickBot="1" x14ac:dyDescent="0.4">
      <c r="B328" s="17"/>
      <c r="C328" s="18"/>
      <c r="D328" s="18"/>
      <c r="E328" s="18"/>
      <c r="F328" s="18"/>
      <c r="G328" s="18"/>
      <c r="H328" s="18"/>
      <c r="I328" s="18"/>
      <c r="J328" s="18"/>
      <c r="K328" s="18"/>
      <c r="L328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EPL DATA</vt:lpstr>
      <vt:lpstr>Bet365 Odds</vt:lpstr>
      <vt:lpstr>Calculator</vt:lpstr>
      <vt:lpstr>BackTest</vt:lpstr>
      <vt:lpstr>Games</vt:lpstr>
      <vt:lpstr> Poisson 2018</vt:lpstr>
      <vt:lpstr>Poisson BackTest</vt:lpstr>
      <vt:lpstr>BackTest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Brown</dc:creator>
  <cp:lastModifiedBy>Caelen Brown</cp:lastModifiedBy>
  <dcterms:created xsi:type="dcterms:W3CDTF">2021-07-05T04:06:02Z</dcterms:created>
  <dcterms:modified xsi:type="dcterms:W3CDTF">2021-08-02T08:07:46Z</dcterms:modified>
</cp:coreProperties>
</file>